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urahisashi/Library/CloudStorage/Dropbox/@仕事/01 全体/26.06.熱水分同時移動/"/>
    </mc:Choice>
  </mc:AlternateContent>
  <xr:revisionPtr revIDLastSave="0" documentId="13_ncr:1_{AAEB7A29-AD9A-8D43-94D5-A0F05D0681A0}" xr6:coauthVersionLast="47" xr6:coauthVersionMax="47" xr10:uidLastSave="{00000000-0000-0000-0000-000000000000}"/>
  <bookViews>
    <workbookView xWindow="0" yWindow="740" windowWidth="30240" windowHeight="18900" activeTab="3" xr2:uid="{9681EF4D-4A9D-C34A-9900-8EB91A1F3350}"/>
  </bookViews>
  <sheets>
    <sheet name="データファイル用" sheetId="7" r:id="rId1"/>
    <sheet name="湿気伝導率" sheetId="5" r:id="rId2"/>
    <sheet name="平衡含水率" sheetId="1" r:id="rId3"/>
    <sheet name="拡散係数" sheetId="6" r:id="rId4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2" i="1" l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K81" i="1"/>
  <c r="K80" i="1"/>
  <c r="K76" i="1"/>
  <c r="K73" i="1"/>
  <c r="K72" i="1"/>
  <c r="K68" i="1"/>
  <c r="K65" i="1"/>
  <c r="K64" i="1"/>
  <c r="K60" i="1"/>
  <c r="K57" i="1"/>
  <c r="K56" i="1"/>
  <c r="K52" i="1"/>
  <c r="K49" i="1"/>
  <c r="K48" i="1"/>
  <c r="K44" i="1"/>
  <c r="K41" i="1"/>
  <c r="K40" i="1"/>
  <c r="K36" i="1"/>
  <c r="K33" i="1"/>
  <c r="K32" i="1"/>
  <c r="K28" i="1"/>
  <c r="K25" i="1"/>
  <c r="K24" i="1"/>
  <c r="K20" i="1"/>
  <c r="K17" i="1"/>
  <c r="K16" i="1"/>
  <c r="K12" i="1"/>
  <c r="K9" i="1"/>
  <c r="K8" i="1"/>
  <c r="K4" i="1"/>
  <c r="F82" i="5"/>
  <c r="E82" i="5"/>
  <c r="D82" i="5"/>
  <c r="BT82" i="5" s="1"/>
  <c r="C82" i="5"/>
  <c r="BS82" i="5" s="1"/>
  <c r="B82" i="5"/>
  <c r="CA82" i="5"/>
  <c r="N82" i="5"/>
  <c r="I82" i="1"/>
  <c r="H82" i="1"/>
  <c r="K82" i="1" s="1"/>
  <c r="G82" i="1"/>
  <c r="F82" i="1"/>
  <c r="E82" i="1"/>
  <c r="D82" i="1"/>
  <c r="J82" i="1" s="1"/>
  <c r="C82" i="1"/>
  <c r="B82" i="1"/>
  <c r="I4" i="1"/>
  <c r="I5" i="1"/>
  <c r="I6" i="1"/>
  <c r="I85" i="1" s="1" a="1"/>
  <c r="I85" i="1" s="1"/>
  <c r="I7" i="1"/>
  <c r="I8" i="1"/>
  <c r="I9" i="1"/>
  <c r="I10" i="1"/>
  <c r="I11" i="1"/>
  <c r="I12" i="1"/>
  <c r="I13" i="1"/>
  <c r="I14" i="1"/>
  <c r="I15" i="1"/>
  <c r="I16" i="1"/>
  <c r="I17" i="1"/>
  <c r="I86" i="1" s="1" a="1"/>
  <c r="I86" i="1" s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87" i="1" s="1" a="1"/>
  <c r="I87" i="1" s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88" i="1" s="1" a="1"/>
  <c r="I88" i="1" s="1"/>
  <c r="I69" i="1"/>
  <c r="I70" i="1"/>
  <c r="I89" i="1" s="1" a="1"/>
  <c r="I89" i="1" s="1"/>
  <c r="I71" i="1"/>
  <c r="I72" i="1"/>
  <c r="I73" i="1"/>
  <c r="I74" i="1"/>
  <c r="I75" i="1"/>
  <c r="I76" i="1"/>
  <c r="I77" i="1"/>
  <c r="I78" i="1"/>
  <c r="I79" i="1"/>
  <c r="I80" i="1"/>
  <c r="I81" i="1"/>
  <c r="H4" i="1"/>
  <c r="H5" i="1"/>
  <c r="K5" i="1" s="1"/>
  <c r="H6" i="1"/>
  <c r="H85" i="1" s="1" a="1"/>
  <c r="H85" i="1" s="1"/>
  <c r="H7" i="1"/>
  <c r="K7" i="1" s="1"/>
  <c r="H8" i="1"/>
  <c r="H9" i="1"/>
  <c r="H10" i="1"/>
  <c r="K10" i="1" s="1"/>
  <c r="H11" i="1"/>
  <c r="K11" i="1" s="1"/>
  <c r="H12" i="1"/>
  <c r="H13" i="1"/>
  <c r="K13" i="1" s="1"/>
  <c r="H14" i="1"/>
  <c r="K14" i="1" s="1"/>
  <c r="H15" i="1"/>
  <c r="K15" i="1" s="1"/>
  <c r="H16" i="1"/>
  <c r="H17" i="1"/>
  <c r="H86" i="1" s="1" a="1"/>
  <c r="H86" i="1" s="1"/>
  <c r="H18" i="1"/>
  <c r="K18" i="1" s="1"/>
  <c r="H19" i="1"/>
  <c r="K19" i="1" s="1"/>
  <c r="H20" i="1"/>
  <c r="H21" i="1"/>
  <c r="K21" i="1" s="1"/>
  <c r="H22" i="1"/>
  <c r="K22" i="1" s="1"/>
  <c r="H23" i="1"/>
  <c r="K23" i="1" s="1"/>
  <c r="H24" i="1"/>
  <c r="H25" i="1"/>
  <c r="H26" i="1"/>
  <c r="K26" i="1" s="1"/>
  <c r="H27" i="1"/>
  <c r="K27" i="1" s="1"/>
  <c r="H28" i="1"/>
  <c r="H29" i="1"/>
  <c r="K29" i="1" s="1"/>
  <c r="H30" i="1"/>
  <c r="K30" i="1" s="1"/>
  <c r="H31" i="1"/>
  <c r="K31" i="1" s="1"/>
  <c r="H32" i="1"/>
  <c r="H33" i="1"/>
  <c r="H34" i="1"/>
  <c r="K34" i="1" s="1"/>
  <c r="H35" i="1"/>
  <c r="K35" i="1" s="1"/>
  <c r="H36" i="1"/>
  <c r="H37" i="1"/>
  <c r="K37" i="1" s="1"/>
  <c r="H38" i="1"/>
  <c r="K38" i="1" s="1"/>
  <c r="H39" i="1"/>
  <c r="K39" i="1" s="1"/>
  <c r="H40" i="1"/>
  <c r="H41" i="1"/>
  <c r="H42" i="1"/>
  <c r="K42" i="1" s="1"/>
  <c r="H43" i="1"/>
  <c r="K43" i="1" s="1"/>
  <c r="H44" i="1"/>
  <c r="H45" i="1"/>
  <c r="H87" i="1" s="1" a="1"/>
  <c r="H87" i="1" s="1"/>
  <c r="H46" i="1"/>
  <c r="K46" i="1" s="1"/>
  <c r="H47" i="1"/>
  <c r="K47" i="1" s="1"/>
  <c r="H48" i="1"/>
  <c r="H49" i="1"/>
  <c r="H50" i="1"/>
  <c r="K50" i="1" s="1"/>
  <c r="H51" i="1"/>
  <c r="K51" i="1" s="1"/>
  <c r="H52" i="1"/>
  <c r="H53" i="1"/>
  <c r="K53" i="1" s="1"/>
  <c r="H54" i="1"/>
  <c r="K54" i="1" s="1"/>
  <c r="H55" i="1"/>
  <c r="K55" i="1" s="1"/>
  <c r="H56" i="1"/>
  <c r="H57" i="1"/>
  <c r="H58" i="1"/>
  <c r="K58" i="1" s="1"/>
  <c r="H59" i="1"/>
  <c r="K59" i="1" s="1"/>
  <c r="H60" i="1"/>
  <c r="H61" i="1"/>
  <c r="K61" i="1" s="1"/>
  <c r="H62" i="1"/>
  <c r="K62" i="1" s="1"/>
  <c r="H63" i="1"/>
  <c r="K63" i="1" s="1"/>
  <c r="H64" i="1"/>
  <c r="H65" i="1"/>
  <c r="H66" i="1"/>
  <c r="K66" i="1" s="1"/>
  <c r="H67" i="1"/>
  <c r="K67" i="1" s="1"/>
  <c r="H68" i="1"/>
  <c r="H88" i="1" s="1" a="1"/>
  <c r="H88" i="1" s="1"/>
  <c r="H69" i="1"/>
  <c r="K69" i="1" s="1"/>
  <c r="H70" i="1"/>
  <c r="H89" i="1" s="1" a="1"/>
  <c r="H89" i="1" s="1"/>
  <c r="H71" i="1"/>
  <c r="K71" i="1" s="1"/>
  <c r="H72" i="1"/>
  <c r="H73" i="1"/>
  <c r="H74" i="1"/>
  <c r="K74" i="1" s="1"/>
  <c r="H75" i="1"/>
  <c r="K75" i="1" s="1"/>
  <c r="H76" i="1"/>
  <c r="H77" i="1"/>
  <c r="K77" i="1" s="1"/>
  <c r="H78" i="1"/>
  <c r="K78" i="1" s="1"/>
  <c r="H79" i="1"/>
  <c r="K79" i="1" s="1"/>
  <c r="H80" i="1"/>
  <c r="H81" i="1"/>
  <c r="C4" i="1"/>
  <c r="C5" i="1"/>
  <c r="C6" i="1"/>
  <c r="C85" i="1" s="1" a="1"/>
  <c r="C85" i="1" s="1"/>
  <c r="C7" i="1"/>
  <c r="C8" i="1"/>
  <c r="C9" i="1"/>
  <c r="C10" i="1"/>
  <c r="C11" i="1"/>
  <c r="C12" i="1"/>
  <c r="C13" i="1"/>
  <c r="C14" i="1"/>
  <c r="C15" i="1"/>
  <c r="C16" i="1"/>
  <c r="C17" i="1"/>
  <c r="C86" i="1" s="1" a="1"/>
  <c r="C86" i="1" s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87" i="1" s="1" a="1"/>
  <c r="C87" i="1" s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88" i="1" s="1" a="1"/>
  <c r="C88" i="1" s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I3" i="1"/>
  <c r="H3" i="1"/>
  <c r="K3" i="1" s="1"/>
  <c r="C3" i="1"/>
  <c r="G68" i="1"/>
  <c r="G88" i="1" s="1" a="1"/>
  <c r="G88" i="1" s="1"/>
  <c r="F68" i="1"/>
  <c r="F88" i="1" s="1" a="1"/>
  <c r="F88" i="1" s="1"/>
  <c r="E68" i="1"/>
  <c r="E88" i="1" s="1" a="1"/>
  <c r="E88" i="1" s="1"/>
  <c r="D68" i="1"/>
  <c r="D88" i="1" s="1" a="1"/>
  <c r="D88" i="1" s="1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AC69" i="6"/>
  <c r="AC89" i="6" s="1" a="1"/>
  <c r="AC89" i="6" s="1"/>
  <c r="AB69" i="6"/>
  <c r="AB89" i="6" s="1" a="1"/>
  <c r="AB89" i="6" s="1"/>
  <c r="AA69" i="6"/>
  <c r="AA89" i="6" s="1" a="1"/>
  <c r="AA89" i="6" s="1"/>
  <c r="Z69" i="6"/>
  <c r="Z89" i="6" s="1" a="1"/>
  <c r="Z89" i="6" s="1"/>
  <c r="Y69" i="6"/>
  <c r="Y89" i="6" s="1" a="1"/>
  <c r="Y89" i="6" s="1"/>
  <c r="X69" i="6"/>
  <c r="X89" i="6" s="1" a="1"/>
  <c r="X89" i="6" s="1"/>
  <c r="W69" i="6"/>
  <c r="W89" i="6" s="1" a="1"/>
  <c r="W89" i="6" s="1"/>
  <c r="V69" i="6"/>
  <c r="U69" i="6"/>
  <c r="U89" i="6" s="1" a="1"/>
  <c r="U89" i="6" s="1"/>
  <c r="T69" i="6"/>
  <c r="T89" i="6" s="1" a="1"/>
  <c r="T89" i="6" s="1"/>
  <c r="S69" i="6"/>
  <c r="S89" i="6" s="1" a="1"/>
  <c r="S89" i="6" s="1"/>
  <c r="R69" i="6"/>
  <c r="R89" i="6" s="1" a="1"/>
  <c r="R89" i="6" s="1"/>
  <c r="Q69" i="6"/>
  <c r="Q89" i="6" s="1" a="1"/>
  <c r="Q89" i="6" s="1"/>
  <c r="P69" i="6"/>
  <c r="P89" i="6" s="1" a="1"/>
  <c r="P89" i="6" s="1"/>
  <c r="O69" i="6"/>
  <c r="O89" i="6" s="1" a="1"/>
  <c r="O89" i="6" s="1"/>
  <c r="N69" i="6"/>
  <c r="N89" i="6" s="1" a="1"/>
  <c r="N89" i="6" s="1"/>
  <c r="M69" i="6"/>
  <c r="M89" i="6" s="1" a="1"/>
  <c r="M89" i="6" s="1"/>
  <c r="L69" i="6"/>
  <c r="L89" i="6" s="1" a="1"/>
  <c r="L89" i="6" s="1"/>
  <c r="K69" i="6"/>
  <c r="K89" i="6" s="1" a="1"/>
  <c r="K89" i="6" s="1"/>
  <c r="J69" i="6"/>
  <c r="J89" i="6" s="1" a="1"/>
  <c r="J89" i="6" s="1"/>
  <c r="I69" i="6"/>
  <c r="I89" i="6" s="1" a="1"/>
  <c r="I89" i="6" s="1"/>
  <c r="H69" i="6"/>
  <c r="H89" i="6" s="1" a="1"/>
  <c r="H89" i="6" s="1"/>
  <c r="G69" i="6"/>
  <c r="G89" i="6" s="1" a="1"/>
  <c r="G89" i="6" s="1"/>
  <c r="F69" i="6"/>
  <c r="F89" i="6" s="1" a="1"/>
  <c r="F89" i="6" s="1"/>
  <c r="E69" i="6"/>
  <c r="E89" i="6" s="1" a="1"/>
  <c r="E89" i="6" s="1"/>
  <c r="D69" i="6"/>
  <c r="D89" i="6" s="1" a="1"/>
  <c r="D89" i="6" s="1"/>
  <c r="C69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AC64" i="6"/>
  <c r="AC88" i="6" s="1" a="1"/>
  <c r="AC88" i="6" s="1"/>
  <c r="AB64" i="6"/>
  <c r="AB88" i="6" s="1" a="1"/>
  <c r="AB88" i="6" s="1"/>
  <c r="AA64" i="6"/>
  <c r="AA88" i="6" s="1" a="1"/>
  <c r="AA88" i="6" s="1"/>
  <c r="Z64" i="6"/>
  <c r="Z88" i="6" s="1" a="1"/>
  <c r="Z88" i="6" s="1"/>
  <c r="Y64" i="6"/>
  <c r="Y88" i="6" s="1" a="1"/>
  <c r="Y88" i="6" s="1"/>
  <c r="X64" i="6"/>
  <c r="X88" i="6" s="1" a="1"/>
  <c r="X88" i="6" s="1"/>
  <c r="W64" i="6"/>
  <c r="W88" i="6" s="1" a="1"/>
  <c r="W88" i="6" s="1"/>
  <c r="V64" i="6"/>
  <c r="U64" i="6"/>
  <c r="U88" i="6" s="1" a="1"/>
  <c r="U88" i="6" s="1"/>
  <c r="T64" i="6"/>
  <c r="T88" i="6" s="1" a="1"/>
  <c r="T88" i="6" s="1"/>
  <c r="S64" i="6"/>
  <c r="S88" i="6" s="1" a="1"/>
  <c r="S88" i="6" s="1"/>
  <c r="R64" i="6"/>
  <c r="R88" i="6" s="1" a="1"/>
  <c r="R88" i="6" s="1"/>
  <c r="Q64" i="6"/>
  <c r="Q88" i="6" s="1" a="1"/>
  <c r="Q88" i="6" s="1"/>
  <c r="P64" i="6"/>
  <c r="P88" i="6" s="1" a="1"/>
  <c r="P88" i="6" s="1"/>
  <c r="O64" i="6"/>
  <c r="O88" i="6" s="1" a="1"/>
  <c r="O88" i="6" s="1"/>
  <c r="N64" i="6"/>
  <c r="N88" i="6" s="1" a="1"/>
  <c r="N88" i="6" s="1"/>
  <c r="M64" i="6"/>
  <c r="M88" i="6" s="1" a="1"/>
  <c r="M88" i="6" s="1"/>
  <c r="L64" i="6"/>
  <c r="L88" i="6" s="1" a="1"/>
  <c r="L88" i="6" s="1"/>
  <c r="K64" i="6"/>
  <c r="K88" i="6" s="1" a="1"/>
  <c r="K88" i="6" s="1"/>
  <c r="J64" i="6"/>
  <c r="J88" i="6" s="1" a="1"/>
  <c r="J88" i="6" s="1"/>
  <c r="I64" i="6"/>
  <c r="I88" i="6" s="1" a="1"/>
  <c r="I88" i="6" s="1"/>
  <c r="H64" i="6"/>
  <c r="H88" i="6" s="1" a="1"/>
  <c r="H88" i="6" s="1"/>
  <c r="G64" i="6"/>
  <c r="G88" i="6" s="1" a="1"/>
  <c r="G88" i="6" s="1"/>
  <c r="F64" i="6"/>
  <c r="F88" i="6" s="1" a="1"/>
  <c r="F88" i="6" s="1"/>
  <c r="E64" i="6"/>
  <c r="E88" i="6" s="1" a="1"/>
  <c r="E88" i="6" s="1"/>
  <c r="D64" i="6"/>
  <c r="D88" i="6" s="1" a="1"/>
  <c r="D88" i="6" s="1"/>
  <c r="C64" i="6"/>
  <c r="C88" i="6" s="1" a="1"/>
  <c r="C88" i="6" s="1"/>
  <c r="AC63" i="6"/>
  <c r="AB63" i="6"/>
  <c r="AA63" i="6"/>
  <c r="Z63" i="6"/>
  <c r="Y63" i="6"/>
  <c r="X63" i="6"/>
  <c r="W63" i="6"/>
  <c r="V63" i="6"/>
  <c r="AD63" i="6" s="1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AC60" i="6"/>
  <c r="AC90" i="6" s="1" a="1"/>
  <c r="AC90" i="6" s="1"/>
  <c r="AB60" i="6"/>
  <c r="AB90" i="6" s="1" a="1"/>
  <c r="AB90" i="6" s="1"/>
  <c r="AA60" i="6"/>
  <c r="AA90" i="6" s="1" a="1"/>
  <c r="AA90" i="6" s="1"/>
  <c r="Z60" i="6"/>
  <c r="Z90" i="6" s="1" a="1"/>
  <c r="Z90" i="6" s="1"/>
  <c r="Y60" i="6"/>
  <c r="Y90" i="6" s="1" a="1"/>
  <c r="Y90" i="6" s="1"/>
  <c r="X60" i="6"/>
  <c r="X90" i="6" s="1" a="1"/>
  <c r="X90" i="6" s="1"/>
  <c r="W60" i="6"/>
  <c r="W90" i="6" s="1" a="1"/>
  <c r="W90" i="6" s="1"/>
  <c r="V60" i="6"/>
  <c r="U60" i="6"/>
  <c r="U90" i="6" s="1" a="1"/>
  <c r="U90" i="6" s="1"/>
  <c r="T60" i="6"/>
  <c r="T90" i="6" s="1" a="1"/>
  <c r="T90" i="6" s="1"/>
  <c r="S60" i="6"/>
  <c r="S90" i="6" s="1" a="1"/>
  <c r="S90" i="6" s="1"/>
  <c r="R60" i="6"/>
  <c r="R90" i="6" s="1" a="1"/>
  <c r="R90" i="6" s="1"/>
  <c r="Q60" i="6"/>
  <c r="Q90" i="6" s="1" a="1"/>
  <c r="Q90" i="6" s="1"/>
  <c r="P60" i="6"/>
  <c r="P90" i="6" s="1" a="1"/>
  <c r="P90" i="6" s="1"/>
  <c r="O60" i="6"/>
  <c r="O90" i="6" s="1" a="1"/>
  <c r="O90" i="6" s="1"/>
  <c r="N60" i="6"/>
  <c r="N90" i="6" s="1" a="1"/>
  <c r="N90" i="6" s="1"/>
  <c r="M60" i="6"/>
  <c r="M90" i="6" s="1" a="1"/>
  <c r="M90" i="6" s="1"/>
  <c r="L60" i="6"/>
  <c r="L90" i="6" s="1" a="1"/>
  <c r="L90" i="6" s="1"/>
  <c r="K60" i="6"/>
  <c r="K90" i="6" s="1" a="1"/>
  <c r="K90" i="6" s="1"/>
  <c r="J60" i="6"/>
  <c r="J90" i="6" s="1" a="1"/>
  <c r="J90" i="6" s="1"/>
  <c r="I60" i="6"/>
  <c r="I90" i="6" s="1" a="1"/>
  <c r="I90" i="6" s="1"/>
  <c r="H60" i="6"/>
  <c r="H90" i="6" s="1" a="1"/>
  <c r="H90" i="6" s="1"/>
  <c r="G60" i="6"/>
  <c r="G90" i="6" s="1" a="1"/>
  <c r="G90" i="6" s="1"/>
  <c r="F60" i="6"/>
  <c r="F90" i="6" s="1" a="1"/>
  <c r="F90" i="6" s="1"/>
  <c r="E60" i="6"/>
  <c r="E90" i="6" s="1" a="1"/>
  <c r="E90" i="6" s="1"/>
  <c r="D60" i="6"/>
  <c r="D90" i="6" s="1" a="1"/>
  <c r="D90" i="6" s="1"/>
  <c r="C60" i="6"/>
  <c r="AC59" i="6"/>
  <c r="AB59" i="6"/>
  <c r="AA59" i="6"/>
  <c r="Z59" i="6"/>
  <c r="Y59" i="6"/>
  <c r="X59" i="6"/>
  <c r="W59" i="6"/>
  <c r="V59" i="6"/>
  <c r="AD59" i="6" s="1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AC58" i="6"/>
  <c r="AB58" i="6"/>
  <c r="AA58" i="6"/>
  <c r="Z58" i="6"/>
  <c r="Y58" i="6"/>
  <c r="X58" i="6"/>
  <c r="W58" i="6"/>
  <c r="V58" i="6"/>
  <c r="AD58" i="6" s="1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AC57" i="6"/>
  <c r="AB57" i="6"/>
  <c r="AA57" i="6"/>
  <c r="Z57" i="6"/>
  <c r="Y57" i="6"/>
  <c r="X57" i="6"/>
  <c r="W57" i="6"/>
  <c r="V57" i="6"/>
  <c r="AD57" i="6" s="1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AC56" i="6"/>
  <c r="AB56" i="6"/>
  <c r="AA56" i="6"/>
  <c r="Z56" i="6"/>
  <c r="Y56" i="6"/>
  <c r="X56" i="6"/>
  <c r="W56" i="6"/>
  <c r="V56" i="6"/>
  <c r="AD56" i="6" s="1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AC55" i="6"/>
  <c r="AB55" i="6"/>
  <c r="AA55" i="6"/>
  <c r="Z55" i="6"/>
  <c r="Y55" i="6"/>
  <c r="X55" i="6"/>
  <c r="W55" i="6"/>
  <c r="V55" i="6"/>
  <c r="AD55" i="6" s="1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AC54" i="6"/>
  <c r="AB54" i="6"/>
  <c r="AA54" i="6"/>
  <c r="Z54" i="6"/>
  <c r="Y54" i="6"/>
  <c r="X54" i="6"/>
  <c r="W54" i="6"/>
  <c r="V54" i="6"/>
  <c r="AD54" i="6" s="1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AC53" i="6"/>
  <c r="AB53" i="6"/>
  <c r="AA53" i="6"/>
  <c r="Z53" i="6"/>
  <c r="Y53" i="6"/>
  <c r="X53" i="6"/>
  <c r="W53" i="6"/>
  <c r="V53" i="6"/>
  <c r="AD53" i="6" s="1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AC51" i="6"/>
  <c r="AB51" i="6"/>
  <c r="AA51" i="6"/>
  <c r="Z51" i="6"/>
  <c r="Y51" i="6"/>
  <c r="X51" i="6"/>
  <c r="W51" i="6"/>
  <c r="V51" i="6"/>
  <c r="AD51" i="6" s="1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AC50" i="6"/>
  <c r="AB50" i="6"/>
  <c r="AA50" i="6"/>
  <c r="Z50" i="6"/>
  <c r="Y50" i="6"/>
  <c r="X50" i="6"/>
  <c r="W50" i="6"/>
  <c r="V50" i="6"/>
  <c r="AD50" i="6" s="1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AC49" i="6"/>
  <c r="AB49" i="6"/>
  <c r="AA49" i="6"/>
  <c r="Z49" i="6"/>
  <c r="Y49" i="6"/>
  <c r="X49" i="6"/>
  <c r="W49" i="6"/>
  <c r="V49" i="6"/>
  <c r="AD49" i="6" s="1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AC48" i="6"/>
  <c r="AB48" i="6"/>
  <c r="AA48" i="6"/>
  <c r="Z48" i="6"/>
  <c r="Y48" i="6"/>
  <c r="X48" i="6"/>
  <c r="W48" i="6"/>
  <c r="V48" i="6"/>
  <c r="AD48" i="6" s="1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AC47" i="6"/>
  <c r="AB47" i="6"/>
  <c r="AA47" i="6"/>
  <c r="Z47" i="6"/>
  <c r="Y47" i="6"/>
  <c r="X47" i="6"/>
  <c r="W47" i="6"/>
  <c r="V47" i="6"/>
  <c r="AD47" i="6" s="1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AC46" i="6"/>
  <c r="AC87" i="6" s="1" a="1"/>
  <c r="AC87" i="6" s="1"/>
  <c r="AB46" i="6"/>
  <c r="AB87" i="6" s="1" a="1"/>
  <c r="AB87" i="6" s="1"/>
  <c r="AA46" i="6"/>
  <c r="AA87" i="6" s="1" a="1"/>
  <c r="AA87" i="6" s="1"/>
  <c r="Z46" i="6"/>
  <c r="Z87" i="6" s="1" a="1"/>
  <c r="Z87" i="6" s="1"/>
  <c r="Y46" i="6"/>
  <c r="Y87" i="6" s="1" a="1"/>
  <c r="Y87" i="6" s="1"/>
  <c r="X46" i="6"/>
  <c r="X87" i="6" s="1" a="1"/>
  <c r="X87" i="6" s="1"/>
  <c r="W46" i="6"/>
  <c r="W87" i="6" s="1" a="1"/>
  <c r="W87" i="6" s="1"/>
  <c r="V46" i="6"/>
  <c r="V87" i="6" s="1" a="1"/>
  <c r="V87" i="6" s="1"/>
  <c r="U46" i="6"/>
  <c r="U87" i="6" s="1" a="1"/>
  <c r="U87" i="6" s="1"/>
  <c r="T46" i="6"/>
  <c r="T87" i="6" s="1" a="1"/>
  <c r="T87" i="6" s="1"/>
  <c r="S46" i="6"/>
  <c r="S87" i="6" s="1" a="1"/>
  <c r="S87" i="6" s="1"/>
  <c r="R46" i="6"/>
  <c r="R87" i="6" s="1" a="1"/>
  <c r="R87" i="6" s="1"/>
  <c r="Q46" i="6"/>
  <c r="Q87" i="6" s="1" a="1"/>
  <c r="Q87" i="6" s="1"/>
  <c r="P46" i="6"/>
  <c r="P87" i="6" s="1" a="1"/>
  <c r="P87" i="6" s="1"/>
  <c r="O46" i="6"/>
  <c r="O87" i="6" s="1" a="1"/>
  <c r="O87" i="6" s="1"/>
  <c r="N46" i="6"/>
  <c r="N87" i="6" s="1" a="1"/>
  <c r="N87" i="6" s="1"/>
  <c r="M46" i="6"/>
  <c r="M87" i="6" s="1" a="1"/>
  <c r="M87" i="6" s="1"/>
  <c r="L46" i="6"/>
  <c r="L87" i="6" s="1" a="1"/>
  <c r="L87" i="6" s="1"/>
  <c r="K46" i="6"/>
  <c r="K87" i="6" s="1" a="1"/>
  <c r="K87" i="6" s="1"/>
  <c r="J46" i="6"/>
  <c r="J87" i="6" s="1" a="1"/>
  <c r="J87" i="6" s="1"/>
  <c r="I46" i="6"/>
  <c r="I87" i="6" s="1" a="1"/>
  <c r="I87" i="6" s="1"/>
  <c r="H46" i="6"/>
  <c r="H87" i="6" s="1" a="1"/>
  <c r="H87" i="6" s="1"/>
  <c r="G46" i="6"/>
  <c r="G87" i="6" s="1" a="1"/>
  <c r="G87" i="6" s="1"/>
  <c r="F46" i="6"/>
  <c r="F87" i="6" s="1" a="1"/>
  <c r="F87" i="6" s="1"/>
  <c r="E46" i="6"/>
  <c r="E87" i="6" s="1" a="1"/>
  <c r="E87" i="6" s="1"/>
  <c r="D46" i="6"/>
  <c r="D87" i="6" s="1" a="1"/>
  <c r="D87" i="6" s="1"/>
  <c r="C46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AC42" i="6"/>
  <c r="AB42" i="6"/>
  <c r="AA42" i="6"/>
  <c r="Z42" i="6"/>
  <c r="Y42" i="6"/>
  <c r="X42" i="6"/>
  <c r="W42" i="6"/>
  <c r="V42" i="6"/>
  <c r="AD42" i="6" s="1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AC41" i="6"/>
  <c r="AB41" i="6"/>
  <c r="AA41" i="6"/>
  <c r="Z41" i="6"/>
  <c r="Y41" i="6"/>
  <c r="X41" i="6"/>
  <c r="W41" i="6"/>
  <c r="V41" i="6"/>
  <c r="AD41" i="6" s="1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AC39" i="6"/>
  <c r="AB39" i="6"/>
  <c r="AA39" i="6"/>
  <c r="Z39" i="6"/>
  <c r="Y39" i="6"/>
  <c r="X39" i="6"/>
  <c r="W39" i="6"/>
  <c r="V39" i="6"/>
  <c r="AD39" i="6" s="1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AC37" i="6"/>
  <c r="AB37" i="6"/>
  <c r="AA37" i="6"/>
  <c r="Z37" i="6"/>
  <c r="Y37" i="6"/>
  <c r="X37" i="6"/>
  <c r="W37" i="6"/>
  <c r="V37" i="6"/>
  <c r="AD37" i="6" s="1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AC35" i="6"/>
  <c r="AB35" i="6"/>
  <c r="AA35" i="6"/>
  <c r="Z35" i="6"/>
  <c r="Y35" i="6"/>
  <c r="X35" i="6"/>
  <c r="W35" i="6"/>
  <c r="V35" i="6"/>
  <c r="AD35" i="6" s="1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AC34" i="6"/>
  <c r="AB34" i="6"/>
  <c r="AA34" i="6"/>
  <c r="Z34" i="6"/>
  <c r="Y34" i="6"/>
  <c r="X34" i="6"/>
  <c r="W34" i="6"/>
  <c r="V34" i="6"/>
  <c r="AD34" i="6" s="1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AC33" i="6"/>
  <c r="AB33" i="6"/>
  <c r="AA33" i="6"/>
  <c r="Z33" i="6"/>
  <c r="Y33" i="6"/>
  <c r="X33" i="6"/>
  <c r="W33" i="6"/>
  <c r="V33" i="6"/>
  <c r="AD33" i="6" s="1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AC31" i="6"/>
  <c r="AB31" i="6"/>
  <c r="AA31" i="6"/>
  <c r="Z31" i="6"/>
  <c r="Y31" i="6"/>
  <c r="X31" i="6"/>
  <c r="W31" i="6"/>
  <c r="V31" i="6"/>
  <c r="AD31" i="6" s="1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AC30" i="6"/>
  <c r="AB30" i="6"/>
  <c r="AA30" i="6"/>
  <c r="Z30" i="6"/>
  <c r="Y30" i="6"/>
  <c r="X30" i="6"/>
  <c r="W30" i="6"/>
  <c r="V30" i="6"/>
  <c r="AD30" i="6" s="1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AC29" i="6"/>
  <c r="AB29" i="6"/>
  <c r="AA29" i="6"/>
  <c r="Z29" i="6"/>
  <c r="Y29" i="6"/>
  <c r="X29" i="6"/>
  <c r="W29" i="6"/>
  <c r="V29" i="6"/>
  <c r="AD29" i="6" s="1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AC28" i="6"/>
  <c r="AB28" i="6"/>
  <c r="AA28" i="6"/>
  <c r="Z28" i="6"/>
  <c r="Y28" i="6"/>
  <c r="X28" i="6"/>
  <c r="W28" i="6"/>
  <c r="V28" i="6"/>
  <c r="AD28" i="6" s="1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AC27" i="6"/>
  <c r="AB27" i="6"/>
  <c r="AA27" i="6"/>
  <c r="Z27" i="6"/>
  <c r="Y27" i="6"/>
  <c r="X27" i="6"/>
  <c r="W27" i="6"/>
  <c r="V27" i="6"/>
  <c r="AD27" i="6" s="1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AC4" i="6"/>
  <c r="AC86" i="6" s="1" a="1"/>
  <c r="AC86" i="6" s="1"/>
  <c r="AB4" i="6"/>
  <c r="AB86" i="6" s="1" a="1"/>
  <c r="AB86" i="6" s="1"/>
  <c r="AA4" i="6"/>
  <c r="AA86" i="6" s="1" a="1"/>
  <c r="AA86" i="6" s="1"/>
  <c r="Z4" i="6"/>
  <c r="Z86" i="6" s="1" a="1"/>
  <c r="Z86" i="6" s="1"/>
  <c r="Y4" i="6"/>
  <c r="Y86" i="6" s="1" a="1"/>
  <c r="Y86" i="6" s="1"/>
  <c r="X4" i="6"/>
  <c r="X86" i="6" s="1" a="1"/>
  <c r="X86" i="6" s="1"/>
  <c r="W4" i="6"/>
  <c r="W86" i="6" s="1" a="1"/>
  <c r="W86" i="6" s="1"/>
  <c r="V4" i="6"/>
  <c r="AD4" i="6" s="1"/>
  <c r="U4" i="6"/>
  <c r="U86" i="6" s="1" a="1"/>
  <c r="U86" i="6" s="1"/>
  <c r="T4" i="6"/>
  <c r="T86" i="6" s="1" a="1"/>
  <c r="T86" i="6" s="1"/>
  <c r="S4" i="6"/>
  <c r="S86" i="6" s="1" a="1"/>
  <c r="S86" i="6" s="1"/>
  <c r="R4" i="6"/>
  <c r="R86" i="6" s="1" a="1"/>
  <c r="R86" i="6" s="1"/>
  <c r="Q4" i="6"/>
  <c r="Q86" i="6" s="1" a="1"/>
  <c r="Q86" i="6" s="1"/>
  <c r="P4" i="6"/>
  <c r="P86" i="6" s="1" a="1"/>
  <c r="P86" i="6" s="1"/>
  <c r="O4" i="6"/>
  <c r="O86" i="6" s="1" a="1"/>
  <c r="O86" i="6" s="1"/>
  <c r="N4" i="6"/>
  <c r="N86" i="6" s="1" a="1"/>
  <c r="N86" i="6" s="1"/>
  <c r="M4" i="6"/>
  <c r="M86" i="6" s="1" a="1"/>
  <c r="M86" i="6" s="1"/>
  <c r="L4" i="6"/>
  <c r="L86" i="6" s="1" a="1"/>
  <c r="L86" i="6" s="1"/>
  <c r="K4" i="6"/>
  <c r="K86" i="6" s="1" a="1"/>
  <c r="K86" i="6" s="1"/>
  <c r="J4" i="6"/>
  <c r="J86" i="6" s="1" a="1"/>
  <c r="J86" i="6" s="1"/>
  <c r="I4" i="6"/>
  <c r="I86" i="6" s="1" a="1"/>
  <c r="I86" i="6" s="1"/>
  <c r="H4" i="6"/>
  <c r="H86" i="6" s="1" a="1"/>
  <c r="H86" i="6" s="1"/>
  <c r="G4" i="6"/>
  <c r="G86" i="6" s="1" a="1"/>
  <c r="G86" i="6" s="1"/>
  <c r="F4" i="6"/>
  <c r="F86" i="6" s="1" a="1"/>
  <c r="F86" i="6" s="1"/>
  <c r="E4" i="6"/>
  <c r="E86" i="6" s="1" a="1"/>
  <c r="E86" i="6" s="1"/>
  <c r="D4" i="6"/>
  <c r="D86" i="6" s="1" a="1"/>
  <c r="D86" i="6" s="1"/>
  <c r="C4" i="6"/>
  <c r="C86" i="6" s="1" a="1"/>
  <c r="C86" i="6" s="1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89" i="6" s="1" a="1"/>
  <c r="B89" i="6" s="1"/>
  <c r="B68" i="6"/>
  <c r="B67" i="6"/>
  <c r="B66" i="6"/>
  <c r="B65" i="6"/>
  <c r="B64" i="6"/>
  <c r="B88" i="6" s="1" a="1"/>
  <c r="B88" i="6" s="1"/>
  <c r="B63" i="6"/>
  <c r="B62" i="6"/>
  <c r="B61" i="6"/>
  <c r="B60" i="6"/>
  <c r="B90" i="6" s="1" a="1"/>
  <c r="B90" i="6" s="1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87" i="6" s="1" a="1"/>
  <c r="B87" i="6" s="1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86" i="6" s="1" a="1"/>
  <c r="B86" i="6" s="1"/>
  <c r="G81" i="1"/>
  <c r="F81" i="1"/>
  <c r="E81" i="1"/>
  <c r="D81" i="1"/>
  <c r="J81" i="1" s="1"/>
  <c r="G80" i="1"/>
  <c r="F80" i="1"/>
  <c r="E80" i="1"/>
  <c r="D80" i="1"/>
  <c r="J80" i="1" s="1"/>
  <c r="G79" i="1"/>
  <c r="F79" i="1"/>
  <c r="E79" i="1"/>
  <c r="D79" i="1"/>
  <c r="J79" i="1" s="1"/>
  <c r="G78" i="1"/>
  <c r="F78" i="1"/>
  <c r="E78" i="1"/>
  <c r="D78" i="1"/>
  <c r="J78" i="1" s="1"/>
  <c r="G77" i="1"/>
  <c r="F77" i="1"/>
  <c r="E77" i="1"/>
  <c r="D77" i="1"/>
  <c r="J77" i="1" s="1"/>
  <c r="G76" i="1"/>
  <c r="F76" i="1"/>
  <c r="E76" i="1"/>
  <c r="D76" i="1"/>
  <c r="J76" i="1" s="1"/>
  <c r="G75" i="1"/>
  <c r="F75" i="1"/>
  <c r="E75" i="1"/>
  <c r="D75" i="1"/>
  <c r="J75" i="1" s="1"/>
  <c r="G74" i="1"/>
  <c r="F74" i="1"/>
  <c r="E74" i="1"/>
  <c r="D74" i="1"/>
  <c r="J74" i="1" s="1"/>
  <c r="G73" i="1"/>
  <c r="F73" i="1"/>
  <c r="E73" i="1"/>
  <c r="D73" i="1"/>
  <c r="J73" i="1" s="1"/>
  <c r="G72" i="1"/>
  <c r="F72" i="1"/>
  <c r="E72" i="1"/>
  <c r="D72" i="1"/>
  <c r="J72" i="1" s="1"/>
  <c r="G71" i="1"/>
  <c r="F71" i="1"/>
  <c r="E71" i="1"/>
  <c r="D71" i="1"/>
  <c r="J71" i="1" s="1"/>
  <c r="G70" i="1"/>
  <c r="G89" i="1" s="1" a="1"/>
  <c r="G89" i="1" s="1"/>
  <c r="F70" i="1"/>
  <c r="F89" i="1" s="1" a="1"/>
  <c r="F89" i="1" s="1"/>
  <c r="E70" i="1"/>
  <c r="E89" i="1" s="1" a="1"/>
  <c r="E89" i="1" s="1"/>
  <c r="D70" i="1"/>
  <c r="D89" i="1" s="1" a="1"/>
  <c r="D89" i="1" s="1"/>
  <c r="G69" i="1"/>
  <c r="F69" i="1"/>
  <c r="E69" i="1"/>
  <c r="D69" i="1"/>
  <c r="J69" i="1" s="1"/>
  <c r="G67" i="1"/>
  <c r="F67" i="1"/>
  <c r="E67" i="1"/>
  <c r="D67" i="1"/>
  <c r="J67" i="1" s="1"/>
  <c r="G66" i="1"/>
  <c r="F66" i="1"/>
  <c r="E66" i="1"/>
  <c r="D66" i="1"/>
  <c r="J66" i="1" s="1"/>
  <c r="G65" i="1"/>
  <c r="F65" i="1"/>
  <c r="E65" i="1"/>
  <c r="D65" i="1"/>
  <c r="J65" i="1" s="1"/>
  <c r="G64" i="1"/>
  <c r="F64" i="1"/>
  <c r="E64" i="1"/>
  <c r="D64" i="1"/>
  <c r="J64" i="1" s="1"/>
  <c r="G63" i="1"/>
  <c r="F63" i="1"/>
  <c r="E63" i="1"/>
  <c r="D63" i="1"/>
  <c r="J63" i="1" s="1"/>
  <c r="G62" i="1"/>
  <c r="F62" i="1"/>
  <c r="E62" i="1"/>
  <c r="D62" i="1"/>
  <c r="J62" i="1" s="1"/>
  <c r="G61" i="1"/>
  <c r="F61" i="1"/>
  <c r="E61" i="1"/>
  <c r="D61" i="1"/>
  <c r="J61" i="1" s="1"/>
  <c r="G60" i="1"/>
  <c r="F60" i="1"/>
  <c r="E60" i="1"/>
  <c r="D60" i="1"/>
  <c r="J60" i="1" s="1"/>
  <c r="G59" i="1"/>
  <c r="F59" i="1"/>
  <c r="E59" i="1"/>
  <c r="D59" i="1"/>
  <c r="J59" i="1" s="1"/>
  <c r="G58" i="1"/>
  <c r="F58" i="1"/>
  <c r="E58" i="1"/>
  <c r="D58" i="1"/>
  <c r="J58" i="1" s="1"/>
  <c r="G57" i="1"/>
  <c r="F57" i="1"/>
  <c r="E57" i="1"/>
  <c r="D57" i="1"/>
  <c r="J57" i="1" s="1"/>
  <c r="G56" i="1"/>
  <c r="F56" i="1"/>
  <c r="E56" i="1"/>
  <c r="D56" i="1"/>
  <c r="J56" i="1" s="1"/>
  <c r="G55" i="1"/>
  <c r="F55" i="1"/>
  <c r="E55" i="1"/>
  <c r="D55" i="1"/>
  <c r="J55" i="1" s="1"/>
  <c r="G54" i="1"/>
  <c r="F54" i="1"/>
  <c r="E54" i="1"/>
  <c r="D54" i="1"/>
  <c r="J54" i="1" s="1"/>
  <c r="G53" i="1"/>
  <c r="F53" i="1"/>
  <c r="E53" i="1"/>
  <c r="D53" i="1"/>
  <c r="J53" i="1" s="1"/>
  <c r="G52" i="1"/>
  <c r="F52" i="1"/>
  <c r="E52" i="1"/>
  <c r="D52" i="1"/>
  <c r="J52" i="1" s="1"/>
  <c r="G51" i="1"/>
  <c r="F51" i="1"/>
  <c r="E51" i="1"/>
  <c r="D51" i="1"/>
  <c r="J51" i="1" s="1"/>
  <c r="G50" i="1"/>
  <c r="F50" i="1"/>
  <c r="E50" i="1"/>
  <c r="D50" i="1"/>
  <c r="J50" i="1" s="1"/>
  <c r="G49" i="1"/>
  <c r="F49" i="1"/>
  <c r="E49" i="1"/>
  <c r="D49" i="1"/>
  <c r="J49" i="1" s="1"/>
  <c r="G48" i="1"/>
  <c r="F48" i="1"/>
  <c r="E48" i="1"/>
  <c r="D48" i="1"/>
  <c r="J48" i="1" s="1"/>
  <c r="G47" i="1"/>
  <c r="F47" i="1"/>
  <c r="E47" i="1"/>
  <c r="D47" i="1"/>
  <c r="J47" i="1" s="1"/>
  <c r="G46" i="1"/>
  <c r="F46" i="1"/>
  <c r="E46" i="1"/>
  <c r="D46" i="1"/>
  <c r="J46" i="1" s="1"/>
  <c r="G45" i="1"/>
  <c r="G87" i="1" s="1" a="1"/>
  <c r="G87" i="1" s="1"/>
  <c r="F45" i="1"/>
  <c r="F87" i="1" s="1" a="1"/>
  <c r="F87" i="1" s="1"/>
  <c r="E45" i="1"/>
  <c r="E87" i="1" s="1" a="1"/>
  <c r="E87" i="1" s="1"/>
  <c r="D45" i="1"/>
  <c r="D87" i="1" s="1" a="1"/>
  <c r="D87" i="1" s="1"/>
  <c r="G44" i="1"/>
  <c r="F44" i="1"/>
  <c r="E44" i="1"/>
  <c r="D44" i="1"/>
  <c r="J44" i="1" s="1"/>
  <c r="G43" i="1"/>
  <c r="F43" i="1"/>
  <c r="E43" i="1"/>
  <c r="D43" i="1"/>
  <c r="J43" i="1" s="1"/>
  <c r="G42" i="1"/>
  <c r="F42" i="1"/>
  <c r="E42" i="1"/>
  <c r="D42" i="1"/>
  <c r="J42" i="1" s="1"/>
  <c r="G41" i="1"/>
  <c r="F41" i="1"/>
  <c r="E41" i="1"/>
  <c r="D41" i="1"/>
  <c r="J41" i="1" s="1"/>
  <c r="G40" i="1"/>
  <c r="F40" i="1"/>
  <c r="E40" i="1"/>
  <c r="D40" i="1"/>
  <c r="J40" i="1" s="1"/>
  <c r="G39" i="1"/>
  <c r="F39" i="1"/>
  <c r="E39" i="1"/>
  <c r="D39" i="1"/>
  <c r="J39" i="1" s="1"/>
  <c r="G38" i="1"/>
  <c r="F38" i="1"/>
  <c r="E38" i="1"/>
  <c r="D38" i="1"/>
  <c r="J38" i="1" s="1"/>
  <c r="G37" i="1"/>
  <c r="F37" i="1"/>
  <c r="E37" i="1"/>
  <c r="D37" i="1"/>
  <c r="J37" i="1" s="1"/>
  <c r="G36" i="1"/>
  <c r="F36" i="1"/>
  <c r="E36" i="1"/>
  <c r="D36" i="1"/>
  <c r="J36" i="1" s="1"/>
  <c r="G35" i="1"/>
  <c r="F35" i="1"/>
  <c r="E35" i="1"/>
  <c r="D35" i="1"/>
  <c r="J35" i="1" s="1"/>
  <c r="G34" i="1"/>
  <c r="F34" i="1"/>
  <c r="E34" i="1"/>
  <c r="D34" i="1"/>
  <c r="J34" i="1" s="1"/>
  <c r="G33" i="1"/>
  <c r="F33" i="1"/>
  <c r="E33" i="1"/>
  <c r="D33" i="1"/>
  <c r="J33" i="1" s="1"/>
  <c r="G32" i="1"/>
  <c r="F32" i="1"/>
  <c r="E32" i="1"/>
  <c r="D32" i="1"/>
  <c r="J32" i="1" s="1"/>
  <c r="G31" i="1"/>
  <c r="F31" i="1"/>
  <c r="E31" i="1"/>
  <c r="D31" i="1"/>
  <c r="J31" i="1" s="1"/>
  <c r="G30" i="1"/>
  <c r="F30" i="1"/>
  <c r="E30" i="1"/>
  <c r="D30" i="1"/>
  <c r="J30" i="1" s="1"/>
  <c r="G29" i="1"/>
  <c r="F29" i="1"/>
  <c r="E29" i="1"/>
  <c r="D29" i="1"/>
  <c r="J29" i="1" s="1"/>
  <c r="G28" i="1"/>
  <c r="F28" i="1"/>
  <c r="E28" i="1"/>
  <c r="D28" i="1"/>
  <c r="J28" i="1" s="1"/>
  <c r="G27" i="1"/>
  <c r="F27" i="1"/>
  <c r="E27" i="1"/>
  <c r="D27" i="1"/>
  <c r="J27" i="1" s="1"/>
  <c r="G26" i="1"/>
  <c r="F26" i="1"/>
  <c r="E26" i="1"/>
  <c r="D26" i="1"/>
  <c r="J26" i="1" s="1"/>
  <c r="G25" i="1"/>
  <c r="F25" i="1"/>
  <c r="E25" i="1"/>
  <c r="D25" i="1"/>
  <c r="J25" i="1" s="1"/>
  <c r="G24" i="1"/>
  <c r="F24" i="1"/>
  <c r="E24" i="1"/>
  <c r="D24" i="1"/>
  <c r="J24" i="1" s="1"/>
  <c r="G23" i="1"/>
  <c r="F23" i="1"/>
  <c r="E23" i="1"/>
  <c r="D23" i="1"/>
  <c r="J23" i="1" s="1"/>
  <c r="G22" i="1"/>
  <c r="F22" i="1"/>
  <c r="E22" i="1"/>
  <c r="D22" i="1"/>
  <c r="J22" i="1" s="1"/>
  <c r="G21" i="1"/>
  <c r="F21" i="1"/>
  <c r="E21" i="1"/>
  <c r="D21" i="1"/>
  <c r="J21" i="1" s="1"/>
  <c r="G20" i="1"/>
  <c r="F20" i="1"/>
  <c r="E20" i="1"/>
  <c r="D20" i="1"/>
  <c r="J20" i="1" s="1"/>
  <c r="G19" i="1"/>
  <c r="F19" i="1"/>
  <c r="E19" i="1"/>
  <c r="D19" i="1"/>
  <c r="J19" i="1" s="1"/>
  <c r="G18" i="1"/>
  <c r="F18" i="1"/>
  <c r="E18" i="1"/>
  <c r="D18" i="1"/>
  <c r="J18" i="1" s="1"/>
  <c r="G17" i="1"/>
  <c r="G86" i="1" s="1" a="1"/>
  <c r="G86" i="1" s="1"/>
  <c r="F17" i="1"/>
  <c r="F86" i="1" s="1" a="1"/>
  <c r="F86" i="1" s="1"/>
  <c r="E17" i="1"/>
  <c r="E86" i="1" s="1" a="1"/>
  <c r="E86" i="1" s="1"/>
  <c r="D17" i="1"/>
  <c r="D86" i="1" s="1" a="1"/>
  <c r="D86" i="1" s="1"/>
  <c r="G16" i="1"/>
  <c r="F16" i="1"/>
  <c r="E16" i="1"/>
  <c r="D16" i="1"/>
  <c r="J16" i="1" s="1"/>
  <c r="G15" i="1"/>
  <c r="F15" i="1"/>
  <c r="E15" i="1"/>
  <c r="D15" i="1"/>
  <c r="J15" i="1" s="1"/>
  <c r="G14" i="1"/>
  <c r="F14" i="1"/>
  <c r="E14" i="1"/>
  <c r="D14" i="1"/>
  <c r="J14" i="1" s="1"/>
  <c r="G13" i="1"/>
  <c r="F13" i="1"/>
  <c r="E13" i="1"/>
  <c r="D13" i="1"/>
  <c r="J13" i="1" s="1"/>
  <c r="G12" i="1"/>
  <c r="F12" i="1"/>
  <c r="E12" i="1"/>
  <c r="D12" i="1"/>
  <c r="J12" i="1" s="1"/>
  <c r="G11" i="1"/>
  <c r="F11" i="1"/>
  <c r="E11" i="1"/>
  <c r="D11" i="1"/>
  <c r="J11" i="1" s="1"/>
  <c r="G10" i="1"/>
  <c r="F10" i="1"/>
  <c r="E10" i="1"/>
  <c r="D10" i="1"/>
  <c r="J10" i="1" s="1"/>
  <c r="G9" i="1"/>
  <c r="F9" i="1"/>
  <c r="E9" i="1"/>
  <c r="D9" i="1"/>
  <c r="J9" i="1" s="1"/>
  <c r="G8" i="1"/>
  <c r="F8" i="1"/>
  <c r="E8" i="1"/>
  <c r="D8" i="1"/>
  <c r="J8" i="1" s="1"/>
  <c r="G7" i="1"/>
  <c r="F7" i="1"/>
  <c r="E7" i="1"/>
  <c r="D7" i="1"/>
  <c r="J7" i="1" s="1"/>
  <c r="G6" i="1"/>
  <c r="G85" i="1" s="1" a="1"/>
  <c r="G85" i="1" s="1"/>
  <c r="F6" i="1"/>
  <c r="F85" i="1" s="1" a="1"/>
  <c r="F85" i="1" s="1"/>
  <c r="E6" i="1"/>
  <c r="E85" i="1" s="1" a="1"/>
  <c r="E85" i="1" s="1"/>
  <c r="D6" i="1"/>
  <c r="D85" i="1" s="1" a="1"/>
  <c r="D85" i="1" s="1"/>
  <c r="G5" i="1"/>
  <c r="F5" i="1"/>
  <c r="E5" i="1"/>
  <c r="D5" i="1"/>
  <c r="J5" i="1" s="1"/>
  <c r="G4" i="1"/>
  <c r="F4" i="1"/>
  <c r="E4" i="1"/>
  <c r="D4" i="1"/>
  <c r="J4" i="1" s="1"/>
  <c r="G3" i="1"/>
  <c r="F3" i="1"/>
  <c r="E3" i="1"/>
  <c r="D3" i="1"/>
  <c r="J3" i="1" s="1"/>
  <c r="B81" i="1"/>
  <c r="B80" i="1"/>
  <c r="B79" i="1"/>
  <c r="B78" i="1"/>
  <c r="B77" i="1"/>
  <c r="B76" i="1"/>
  <c r="B75" i="1"/>
  <c r="B74" i="1"/>
  <c r="B73" i="1"/>
  <c r="B72" i="1"/>
  <c r="B71" i="1"/>
  <c r="B70" i="1"/>
  <c r="B89" i="1" s="1" a="1"/>
  <c r="B89" i="1" s="1"/>
  <c r="B69" i="1"/>
  <c r="B68" i="1"/>
  <c r="B88" i="1" s="1" a="1"/>
  <c r="B88" i="1" s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87" i="1" s="1" a="1"/>
  <c r="B87" i="1" s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86" i="1" s="1" a="1"/>
  <c r="B86" i="1" s="1"/>
  <c r="B16" i="1"/>
  <c r="B15" i="1"/>
  <c r="B14" i="1"/>
  <c r="B13" i="1"/>
  <c r="B12" i="1"/>
  <c r="B11" i="1"/>
  <c r="B10" i="1"/>
  <c r="B9" i="1"/>
  <c r="B8" i="1"/>
  <c r="B7" i="1"/>
  <c r="B6" i="1"/>
  <c r="B85" i="1" s="1" a="1"/>
  <c r="B85" i="1" s="1"/>
  <c r="B5" i="1"/>
  <c r="B4" i="1"/>
  <c r="B3" i="1"/>
  <c r="B81" i="5"/>
  <c r="B80" i="5"/>
  <c r="B79" i="5"/>
  <c r="B78" i="5"/>
  <c r="B77" i="5"/>
  <c r="B89" i="5" s="1" a="1"/>
  <c r="B89" i="5" s="1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88" i="5" s="1" a="1"/>
  <c r="B88" i="5" s="1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87" i="5" s="1" a="1"/>
  <c r="B87" i="5" s="1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85" i="5" s="1" a="1"/>
  <c r="B85" i="5" s="1"/>
  <c r="AM82" i="5" l="1"/>
  <c r="J68" i="1"/>
  <c r="CQ82" i="5"/>
  <c r="J17" i="1"/>
  <c r="J45" i="1"/>
  <c r="K45" i="1"/>
  <c r="P82" i="5"/>
  <c r="J6" i="1"/>
  <c r="J70" i="1"/>
  <c r="X82" i="5"/>
  <c r="K6" i="1"/>
  <c r="K70" i="1"/>
  <c r="BZ82" i="5"/>
  <c r="AV82" i="5"/>
  <c r="BB82" i="5"/>
  <c r="H82" i="5"/>
  <c r="AL82" i="5"/>
  <c r="BR82" i="5"/>
  <c r="B86" i="5" a="1"/>
  <c r="B86" i="5" s="1"/>
  <c r="O82" i="5"/>
  <c r="AU82" i="5"/>
  <c r="CN82" i="5"/>
  <c r="CV82" i="1"/>
  <c r="AD82" i="5"/>
  <c r="BC82" i="5"/>
  <c r="CB82" i="5"/>
  <c r="AE82" i="5"/>
  <c r="BD82" i="5"/>
  <c r="CJ82" i="5"/>
  <c r="G82" i="5"/>
  <c r="AF82" i="5"/>
  <c r="BJ82" i="5"/>
  <c r="CP82" i="5"/>
  <c r="CR82" i="1"/>
  <c r="V82" i="5"/>
  <c r="AN82" i="5"/>
  <c r="BK82" i="5"/>
  <c r="CH82" i="5"/>
  <c r="BU82" i="1"/>
  <c r="W82" i="5"/>
  <c r="AT82" i="5"/>
  <c r="BL82" i="5"/>
  <c r="CI82" i="5"/>
  <c r="BM82" i="5"/>
  <c r="M82" i="5"/>
  <c r="U82" i="5"/>
  <c r="AC82" i="5"/>
  <c r="AK82" i="5"/>
  <c r="AS82" i="5"/>
  <c r="BA82" i="5"/>
  <c r="BI82" i="5"/>
  <c r="BQ82" i="5"/>
  <c r="BY82" i="5"/>
  <c r="CG82" i="5"/>
  <c r="CO82" i="5"/>
  <c r="CC82" i="5"/>
  <c r="J82" i="5"/>
  <c r="R82" i="5"/>
  <c r="Z82" i="5"/>
  <c r="AH82" i="5"/>
  <c r="AP82" i="5"/>
  <c r="AX82" i="5"/>
  <c r="BF82" i="5"/>
  <c r="BN82" i="5"/>
  <c r="BV82" i="5"/>
  <c r="CD82" i="5"/>
  <c r="CL82" i="5"/>
  <c r="I82" i="5"/>
  <c r="Q82" i="5"/>
  <c r="Y82" i="5"/>
  <c r="AG82" i="5"/>
  <c r="AO82" i="5"/>
  <c r="AW82" i="5"/>
  <c r="BE82" i="5"/>
  <c r="CK82" i="5"/>
  <c r="K82" i="5"/>
  <c r="S82" i="5"/>
  <c r="AA82" i="5"/>
  <c r="AI82" i="5"/>
  <c r="AQ82" i="5"/>
  <c r="AY82" i="5"/>
  <c r="BG82" i="5"/>
  <c r="BO82" i="5"/>
  <c r="BW82" i="5"/>
  <c r="CE82" i="5"/>
  <c r="CM82" i="5"/>
  <c r="BU82" i="5"/>
  <c r="L82" i="5"/>
  <c r="T82" i="5"/>
  <c r="AB82" i="5"/>
  <c r="AJ82" i="5"/>
  <c r="AR82" i="5"/>
  <c r="AZ82" i="5"/>
  <c r="BH82" i="5"/>
  <c r="BP82" i="5"/>
  <c r="BX82" i="5"/>
  <c r="CF82" i="5"/>
  <c r="T74" i="1"/>
  <c r="CK82" i="1"/>
  <c r="M81" i="1"/>
  <c r="S73" i="1"/>
  <c r="CW82" i="1"/>
  <c r="CL82" i="1"/>
  <c r="S80" i="1"/>
  <c r="N72" i="1"/>
  <c r="CQ82" i="1"/>
  <c r="O79" i="1"/>
  <c r="BK71" i="1"/>
  <c r="N78" i="1"/>
  <c r="CA70" i="1"/>
  <c r="CC82" i="1"/>
  <c r="CS82" i="1"/>
  <c r="BY82" i="1"/>
  <c r="CD82" i="1"/>
  <c r="CT82" i="1"/>
  <c r="N3" i="1"/>
  <c r="N76" i="1"/>
  <c r="CI82" i="1"/>
  <c r="C89" i="1" a="1"/>
  <c r="C89" i="1" s="1"/>
  <c r="X75" i="1"/>
  <c r="CJ82" i="1"/>
  <c r="AP82" i="1"/>
  <c r="N82" i="1"/>
  <c r="V82" i="1"/>
  <c r="AD82" i="1"/>
  <c r="AL82" i="1"/>
  <c r="AT82" i="1"/>
  <c r="BB82" i="1"/>
  <c r="BJ82" i="1"/>
  <c r="BR82" i="1"/>
  <c r="BZ82" i="1"/>
  <c r="CH82" i="1"/>
  <c r="CP82" i="1"/>
  <c r="O82" i="1"/>
  <c r="W82" i="1"/>
  <c r="AE82" i="1"/>
  <c r="AM82" i="1"/>
  <c r="AU82" i="1"/>
  <c r="BC82" i="1"/>
  <c r="BK82" i="1"/>
  <c r="BS82" i="1"/>
  <c r="CA82" i="1"/>
  <c r="P82" i="1"/>
  <c r="X82" i="1"/>
  <c r="AF82" i="1"/>
  <c r="AN82" i="1"/>
  <c r="AV82" i="1"/>
  <c r="BD82" i="1"/>
  <c r="BL82" i="1"/>
  <c r="BT82" i="1"/>
  <c r="CB82" i="1"/>
  <c r="Q82" i="1"/>
  <c r="Y82" i="1"/>
  <c r="AG82" i="1"/>
  <c r="AO82" i="1"/>
  <c r="AW82" i="1"/>
  <c r="BE82" i="1"/>
  <c r="BM82" i="1"/>
  <c r="Z82" i="1"/>
  <c r="BN82" i="1"/>
  <c r="S82" i="1"/>
  <c r="AA82" i="1"/>
  <c r="AI82" i="1"/>
  <c r="AQ82" i="1"/>
  <c r="AY82" i="1"/>
  <c r="BG82" i="1"/>
  <c r="BO82" i="1"/>
  <c r="BW82" i="1"/>
  <c r="CE82" i="1"/>
  <c r="CM82" i="1"/>
  <c r="CU82" i="1"/>
  <c r="AX82" i="1"/>
  <c r="T82" i="1"/>
  <c r="AB82" i="1"/>
  <c r="AJ82" i="1"/>
  <c r="AR82" i="1"/>
  <c r="AZ82" i="1"/>
  <c r="BH82" i="1"/>
  <c r="BP82" i="1"/>
  <c r="BX82" i="1"/>
  <c r="CF82" i="1"/>
  <c r="CN82" i="1"/>
  <c r="R82" i="1"/>
  <c r="AH82" i="1"/>
  <c r="BF82" i="1"/>
  <c r="BV82" i="1"/>
  <c r="M82" i="1"/>
  <c r="U82" i="1"/>
  <c r="AC82" i="1"/>
  <c r="AK82" i="1"/>
  <c r="AS82" i="1"/>
  <c r="BA82" i="1"/>
  <c r="BI82" i="1"/>
  <c r="BQ82" i="1"/>
  <c r="CG82" i="1"/>
  <c r="CO82" i="1"/>
  <c r="R77" i="1"/>
  <c r="Z77" i="1"/>
  <c r="AH77" i="1"/>
  <c r="AP77" i="1"/>
  <c r="AX77" i="1"/>
  <c r="BF77" i="1"/>
  <c r="BN77" i="1"/>
  <c r="BV77" i="1"/>
  <c r="CD77" i="1"/>
  <c r="CL77" i="1"/>
  <c r="CT77" i="1"/>
  <c r="S77" i="1"/>
  <c r="AA77" i="1"/>
  <c r="AI77" i="1"/>
  <c r="AQ77" i="1"/>
  <c r="AY77" i="1"/>
  <c r="BG77" i="1"/>
  <c r="BO77" i="1"/>
  <c r="BW77" i="1"/>
  <c r="CE77" i="1"/>
  <c r="T77" i="1"/>
  <c r="AB77" i="1"/>
  <c r="AJ77" i="1"/>
  <c r="AR77" i="1"/>
  <c r="AZ77" i="1"/>
  <c r="BH77" i="1"/>
  <c r="BP77" i="1"/>
  <c r="BX77" i="1"/>
  <c r="CF77" i="1"/>
  <c r="CN77" i="1"/>
  <c r="CV77" i="1"/>
  <c r="R69" i="1"/>
  <c r="Z69" i="1"/>
  <c r="AH69" i="1"/>
  <c r="AP69" i="1"/>
  <c r="AX69" i="1"/>
  <c r="BF69" i="1"/>
  <c r="BN69" i="1"/>
  <c r="BV69" i="1"/>
  <c r="CD69" i="1"/>
  <c r="CL69" i="1"/>
  <c r="CT69" i="1"/>
  <c r="N69" i="1"/>
  <c r="W69" i="1"/>
  <c r="AF69" i="1"/>
  <c r="AO69" i="1"/>
  <c r="AY69" i="1"/>
  <c r="BH69" i="1"/>
  <c r="BQ69" i="1"/>
  <c r="BZ69" i="1"/>
  <c r="CI69" i="1"/>
  <c r="CR69" i="1"/>
  <c r="O69" i="1"/>
  <c r="X69" i="1"/>
  <c r="AG69" i="1"/>
  <c r="AQ69" i="1"/>
  <c r="AZ69" i="1"/>
  <c r="BI69" i="1"/>
  <c r="BR69" i="1"/>
  <c r="CA69" i="1"/>
  <c r="CJ69" i="1"/>
  <c r="CS69" i="1"/>
  <c r="P69" i="1"/>
  <c r="Y69" i="1"/>
  <c r="AI69" i="1"/>
  <c r="AR69" i="1"/>
  <c r="BA69" i="1"/>
  <c r="BJ69" i="1"/>
  <c r="BS69" i="1"/>
  <c r="CB69" i="1"/>
  <c r="CK69" i="1"/>
  <c r="CU69" i="1"/>
  <c r="Q69" i="1"/>
  <c r="AA69" i="1"/>
  <c r="AJ69" i="1"/>
  <c r="AS69" i="1"/>
  <c r="BB69" i="1"/>
  <c r="BK69" i="1"/>
  <c r="BT69" i="1"/>
  <c r="CC69" i="1"/>
  <c r="CM69" i="1"/>
  <c r="CV69" i="1"/>
  <c r="S69" i="1"/>
  <c r="AB69" i="1"/>
  <c r="AK69" i="1"/>
  <c r="AT69" i="1"/>
  <c r="BC69" i="1"/>
  <c r="BL69" i="1"/>
  <c r="BU69" i="1"/>
  <c r="CE69" i="1"/>
  <c r="CN69" i="1"/>
  <c r="CW69" i="1"/>
  <c r="T69" i="1"/>
  <c r="AC69" i="1"/>
  <c r="AL69" i="1"/>
  <c r="AU69" i="1"/>
  <c r="BD69" i="1"/>
  <c r="BM69" i="1"/>
  <c r="BW69" i="1"/>
  <c r="CF69" i="1"/>
  <c r="CO69" i="1"/>
  <c r="U69" i="1"/>
  <c r="AD69" i="1"/>
  <c r="AM69" i="1"/>
  <c r="AV69" i="1"/>
  <c r="BE69" i="1"/>
  <c r="BO69" i="1"/>
  <c r="BX69" i="1"/>
  <c r="CG69" i="1"/>
  <c r="CP69" i="1"/>
  <c r="M69" i="1"/>
  <c r="V69" i="1"/>
  <c r="AE69" i="1"/>
  <c r="AN69" i="1"/>
  <c r="AW69" i="1"/>
  <c r="BG69" i="1"/>
  <c r="BP69" i="1"/>
  <c r="BY69" i="1"/>
  <c r="R61" i="1"/>
  <c r="Z61" i="1"/>
  <c r="AH61" i="1"/>
  <c r="AP61" i="1"/>
  <c r="AX61" i="1"/>
  <c r="BF61" i="1"/>
  <c r="BN61" i="1"/>
  <c r="BV61" i="1"/>
  <c r="CD61" i="1"/>
  <c r="CL61" i="1"/>
  <c r="CT61" i="1"/>
  <c r="S61" i="1"/>
  <c r="AA61" i="1"/>
  <c r="AI61" i="1"/>
  <c r="AQ61" i="1"/>
  <c r="AY61" i="1"/>
  <c r="BG61" i="1"/>
  <c r="BO61" i="1"/>
  <c r="BW61" i="1"/>
  <c r="CE61" i="1"/>
  <c r="CM61" i="1"/>
  <c r="CU61" i="1"/>
  <c r="T61" i="1"/>
  <c r="AB61" i="1"/>
  <c r="AJ61" i="1"/>
  <c r="AR61" i="1"/>
  <c r="AZ61" i="1"/>
  <c r="BH61" i="1"/>
  <c r="BP61" i="1"/>
  <c r="BX61" i="1"/>
  <c r="CF61" i="1"/>
  <c r="CN61" i="1"/>
  <c r="CV61" i="1"/>
  <c r="M61" i="1"/>
  <c r="U61" i="1"/>
  <c r="AC61" i="1"/>
  <c r="AK61" i="1"/>
  <c r="AS61" i="1"/>
  <c r="BA61" i="1"/>
  <c r="BI61" i="1"/>
  <c r="BQ61" i="1"/>
  <c r="BY61" i="1"/>
  <c r="CG61" i="1"/>
  <c r="CO61" i="1"/>
  <c r="CW61" i="1"/>
  <c r="P61" i="1"/>
  <c r="X61" i="1"/>
  <c r="AF61" i="1"/>
  <c r="AN61" i="1"/>
  <c r="AV61" i="1"/>
  <c r="BD61" i="1"/>
  <c r="BL61" i="1"/>
  <c r="BT61" i="1"/>
  <c r="CB61" i="1"/>
  <c r="CJ61" i="1"/>
  <c r="CR61" i="1"/>
  <c r="Q61" i="1"/>
  <c r="Y61" i="1"/>
  <c r="AG61" i="1"/>
  <c r="AO61" i="1"/>
  <c r="AW61" i="1"/>
  <c r="BE61" i="1"/>
  <c r="BM61" i="1"/>
  <c r="BU61" i="1"/>
  <c r="CC61" i="1"/>
  <c r="CK61" i="1"/>
  <c r="CS61" i="1"/>
  <c r="W61" i="1"/>
  <c r="BC61" i="1"/>
  <c r="CI61" i="1"/>
  <c r="AD61" i="1"/>
  <c r="BJ61" i="1"/>
  <c r="CP61" i="1"/>
  <c r="AE61" i="1"/>
  <c r="BK61" i="1"/>
  <c r="CQ61" i="1"/>
  <c r="AL61" i="1"/>
  <c r="BR61" i="1"/>
  <c r="AM61" i="1"/>
  <c r="BS61" i="1"/>
  <c r="N61" i="1"/>
  <c r="AT61" i="1"/>
  <c r="BZ61" i="1"/>
  <c r="O61" i="1"/>
  <c r="AU61" i="1"/>
  <c r="CA61" i="1"/>
  <c r="V61" i="1"/>
  <c r="BB61" i="1"/>
  <c r="CH61" i="1"/>
  <c r="M53" i="1"/>
  <c r="U53" i="1"/>
  <c r="AC53" i="1"/>
  <c r="AK53" i="1"/>
  <c r="AS53" i="1"/>
  <c r="BA53" i="1"/>
  <c r="BI53" i="1"/>
  <c r="BQ53" i="1"/>
  <c r="BY53" i="1"/>
  <c r="CG53" i="1"/>
  <c r="CO53" i="1"/>
  <c r="CW53" i="1"/>
  <c r="N53" i="1"/>
  <c r="V53" i="1"/>
  <c r="AD53" i="1"/>
  <c r="AL53" i="1"/>
  <c r="AT53" i="1"/>
  <c r="BB53" i="1"/>
  <c r="BJ53" i="1"/>
  <c r="BR53" i="1"/>
  <c r="BZ53" i="1"/>
  <c r="CH53" i="1"/>
  <c r="CP53" i="1"/>
  <c r="O53" i="1"/>
  <c r="W53" i="1"/>
  <c r="AE53" i="1"/>
  <c r="AM53" i="1"/>
  <c r="AU53" i="1"/>
  <c r="BC53" i="1"/>
  <c r="BK53" i="1"/>
  <c r="BS53" i="1"/>
  <c r="CA53" i="1"/>
  <c r="CI53" i="1"/>
  <c r="CQ53" i="1"/>
  <c r="R53" i="1"/>
  <c r="Z53" i="1"/>
  <c r="AH53" i="1"/>
  <c r="AP53" i="1"/>
  <c r="AX53" i="1"/>
  <c r="BF53" i="1"/>
  <c r="BN53" i="1"/>
  <c r="S53" i="1"/>
  <c r="AA53" i="1"/>
  <c r="AI53" i="1"/>
  <c r="AQ53" i="1"/>
  <c r="AY53" i="1"/>
  <c r="BG53" i="1"/>
  <c r="BO53" i="1"/>
  <c r="BW53" i="1"/>
  <c r="AF53" i="1"/>
  <c r="AZ53" i="1"/>
  <c r="BU53" i="1"/>
  <c r="CJ53" i="1"/>
  <c r="CU53" i="1"/>
  <c r="AG53" i="1"/>
  <c r="BD53" i="1"/>
  <c r="BV53" i="1"/>
  <c r="CK53" i="1"/>
  <c r="CV53" i="1"/>
  <c r="P53" i="1"/>
  <c r="AJ53" i="1"/>
  <c r="BE53" i="1"/>
  <c r="BX53" i="1"/>
  <c r="CL53" i="1"/>
  <c r="Q53" i="1"/>
  <c r="AN53" i="1"/>
  <c r="BH53" i="1"/>
  <c r="CB53" i="1"/>
  <c r="CM53" i="1"/>
  <c r="T53" i="1"/>
  <c r="AO53" i="1"/>
  <c r="BL53" i="1"/>
  <c r="CC53" i="1"/>
  <c r="CN53" i="1"/>
  <c r="X53" i="1"/>
  <c r="AR53" i="1"/>
  <c r="BM53" i="1"/>
  <c r="CD53" i="1"/>
  <c r="CR53" i="1"/>
  <c r="Y53" i="1"/>
  <c r="AV53" i="1"/>
  <c r="BP53" i="1"/>
  <c r="CE53" i="1"/>
  <c r="CS53" i="1"/>
  <c r="AB53" i="1"/>
  <c r="AW53" i="1"/>
  <c r="BT53" i="1"/>
  <c r="CF53" i="1"/>
  <c r="CT53" i="1"/>
  <c r="O45" i="1"/>
  <c r="W45" i="1"/>
  <c r="AE45" i="1"/>
  <c r="AM45" i="1"/>
  <c r="AU45" i="1"/>
  <c r="BC45" i="1"/>
  <c r="BK45" i="1"/>
  <c r="BS45" i="1"/>
  <c r="CA45" i="1"/>
  <c r="CI45" i="1"/>
  <c r="CQ45" i="1"/>
  <c r="P45" i="1"/>
  <c r="X45" i="1"/>
  <c r="AF45" i="1"/>
  <c r="AN45" i="1"/>
  <c r="AV45" i="1"/>
  <c r="BD45" i="1"/>
  <c r="BL45" i="1"/>
  <c r="BT45" i="1"/>
  <c r="CB45" i="1"/>
  <c r="CJ45" i="1"/>
  <c r="CR45" i="1"/>
  <c r="Q45" i="1"/>
  <c r="Y45" i="1"/>
  <c r="AG45" i="1"/>
  <c r="AO45" i="1"/>
  <c r="AW45" i="1"/>
  <c r="BE45" i="1"/>
  <c r="BM45" i="1"/>
  <c r="BU45" i="1"/>
  <c r="CC45" i="1"/>
  <c r="CK45" i="1"/>
  <c r="CS45" i="1"/>
  <c r="U45" i="1"/>
  <c r="AI45" i="1"/>
  <c r="AT45" i="1"/>
  <c r="BH45" i="1"/>
  <c r="BV45" i="1"/>
  <c r="CG45" i="1"/>
  <c r="CU45" i="1"/>
  <c r="V45" i="1"/>
  <c r="AJ45" i="1"/>
  <c r="AX45" i="1"/>
  <c r="BI45" i="1"/>
  <c r="BW45" i="1"/>
  <c r="CH45" i="1"/>
  <c r="CV45" i="1"/>
  <c r="Z45" i="1"/>
  <c r="AK45" i="1"/>
  <c r="AY45" i="1"/>
  <c r="BJ45" i="1"/>
  <c r="BX45" i="1"/>
  <c r="CL45" i="1"/>
  <c r="CW45" i="1"/>
  <c r="M45" i="1"/>
  <c r="AA45" i="1"/>
  <c r="AL45" i="1"/>
  <c r="AZ45" i="1"/>
  <c r="BN45" i="1"/>
  <c r="BY45" i="1"/>
  <c r="CM45" i="1"/>
  <c r="N45" i="1"/>
  <c r="AB45" i="1"/>
  <c r="AP45" i="1"/>
  <c r="BA45" i="1"/>
  <c r="BO45" i="1"/>
  <c r="BZ45" i="1"/>
  <c r="CN45" i="1"/>
  <c r="R45" i="1"/>
  <c r="AC45" i="1"/>
  <c r="AQ45" i="1"/>
  <c r="BB45" i="1"/>
  <c r="BP45" i="1"/>
  <c r="CD45" i="1"/>
  <c r="CO45" i="1"/>
  <c r="S45" i="1"/>
  <c r="AD45" i="1"/>
  <c r="AR45" i="1"/>
  <c r="BF45" i="1"/>
  <c r="BQ45" i="1"/>
  <c r="CE45" i="1"/>
  <c r="CP45" i="1"/>
  <c r="T45" i="1"/>
  <c r="AH45" i="1"/>
  <c r="AS45" i="1"/>
  <c r="BG45" i="1"/>
  <c r="BR45" i="1"/>
  <c r="CF45" i="1"/>
  <c r="CT45" i="1"/>
  <c r="R37" i="1"/>
  <c r="Z37" i="1"/>
  <c r="AH37" i="1"/>
  <c r="AP37" i="1"/>
  <c r="AX37" i="1"/>
  <c r="BF37" i="1"/>
  <c r="BN37" i="1"/>
  <c r="BV37" i="1"/>
  <c r="CD37" i="1"/>
  <c r="CL37" i="1"/>
  <c r="CT37" i="1"/>
  <c r="S37" i="1"/>
  <c r="AA37" i="1"/>
  <c r="AI37" i="1"/>
  <c r="AQ37" i="1"/>
  <c r="AY37" i="1"/>
  <c r="BG37" i="1"/>
  <c r="BO37" i="1"/>
  <c r="BW37" i="1"/>
  <c r="T37" i="1"/>
  <c r="AB37" i="1"/>
  <c r="AJ37" i="1"/>
  <c r="AR37" i="1"/>
  <c r="AZ37" i="1"/>
  <c r="M37" i="1"/>
  <c r="X37" i="1"/>
  <c r="AL37" i="1"/>
  <c r="AW37" i="1"/>
  <c r="BJ37" i="1"/>
  <c r="BT37" i="1"/>
  <c r="CE37" i="1"/>
  <c r="CN37" i="1"/>
  <c r="CW37" i="1"/>
  <c r="N37" i="1"/>
  <c r="Y37" i="1"/>
  <c r="AM37" i="1"/>
  <c r="BA37" i="1"/>
  <c r="BK37" i="1"/>
  <c r="BU37" i="1"/>
  <c r="CF37" i="1"/>
  <c r="CO37" i="1"/>
  <c r="O37" i="1"/>
  <c r="AC37" i="1"/>
  <c r="AN37" i="1"/>
  <c r="BB37" i="1"/>
  <c r="BL37" i="1"/>
  <c r="BX37" i="1"/>
  <c r="CG37" i="1"/>
  <c r="CP37" i="1"/>
  <c r="P37" i="1"/>
  <c r="AD37" i="1"/>
  <c r="AO37" i="1"/>
  <c r="BC37" i="1"/>
  <c r="BM37" i="1"/>
  <c r="BY37" i="1"/>
  <c r="CH37" i="1"/>
  <c r="CQ37" i="1"/>
  <c r="Q37" i="1"/>
  <c r="AE37" i="1"/>
  <c r="AS37" i="1"/>
  <c r="BD37" i="1"/>
  <c r="BP37" i="1"/>
  <c r="BZ37" i="1"/>
  <c r="CI37" i="1"/>
  <c r="CR37" i="1"/>
  <c r="U37" i="1"/>
  <c r="AF37" i="1"/>
  <c r="AT37" i="1"/>
  <c r="BE37" i="1"/>
  <c r="BQ37" i="1"/>
  <c r="CA37" i="1"/>
  <c r="CJ37" i="1"/>
  <c r="CS37" i="1"/>
  <c r="V37" i="1"/>
  <c r="AG37" i="1"/>
  <c r="AU37" i="1"/>
  <c r="BH37" i="1"/>
  <c r="BR37" i="1"/>
  <c r="CB37" i="1"/>
  <c r="CK37" i="1"/>
  <c r="CU37" i="1"/>
  <c r="W37" i="1"/>
  <c r="AK37" i="1"/>
  <c r="AV37" i="1"/>
  <c r="BI37" i="1"/>
  <c r="BS37" i="1"/>
  <c r="CC37" i="1"/>
  <c r="CM37" i="1"/>
  <c r="CV37" i="1"/>
  <c r="P29" i="1"/>
  <c r="X29" i="1"/>
  <c r="Q29" i="1"/>
  <c r="Z29" i="1"/>
  <c r="AH29" i="1"/>
  <c r="AP29" i="1"/>
  <c r="AX29" i="1"/>
  <c r="BF29" i="1"/>
  <c r="BN29" i="1"/>
  <c r="BV29" i="1"/>
  <c r="CD29" i="1"/>
  <c r="CL29" i="1"/>
  <c r="CT29" i="1"/>
  <c r="R29" i="1"/>
  <c r="AA29" i="1"/>
  <c r="AI29" i="1"/>
  <c r="AQ29" i="1"/>
  <c r="AY29" i="1"/>
  <c r="BG29" i="1"/>
  <c r="BO29" i="1"/>
  <c r="BW29" i="1"/>
  <c r="CE29" i="1"/>
  <c r="CM29" i="1"/>
  <c r="CU29" i="1"/>
  <c r="S29" i="1"/>
  <c r="AB29" i="1"/>
  <c r="AJ29" i="1"/>
  <c r="AR29" i="1"/>
  <c r="AZ29" i="1"/>
  <c r="BH29" i="1"/>
  <c r="BP29" i="1"/>
  <c r="BX29" i="1"/>
  <c r="CF29" i="1"/>
  <c r="CN29" i="1"/>
  <c r="CV29" i="1"/>
  <c r="T29" i="1"/>
  <c r="AC29" i="1"/>
  <c r="AK29" i="1"/>
  <c r="AS29" i="1"/>
  <c r="BA29" i="1"/>
  <c r="BI29" i="1"/>
  <c r="BQ29" i="1"/>
  <c r="BY29" i="1"/>
  <c r="CG29" i="1"/>
  <c r="CO29" i="1"/>
  <c r="CW29" i="1"/>
  <c r="U29" i="1"/>
  <c r="AD29" i="1"/>
  <c r="AL29" i="1"/>
  <c r="AT29" i="1"/>
  <c r="BB29" i="1"/>
  <c r="BJ29" i="1"/>
  <c r="BR29" i="1"/>
  <c r="BZ29" i="1"/>
  <c r="CH29" i="1"/>
  <c r="CP29" i="1"/>
  <c r="M29" i="1"/>
  <c r="V29" i="1"/>
  <c r="AE29" i="1"/>
  <c r="AM29" i="1"/>
  <c r="AU29" i="1"/>
  <c r="BC29" i="1"/>
  <c r="BK29" i="1"/>
  <c r="BS29" i="1"/>
  <c r="CA29" i="1"/>
  <c r="CI29" i="1"/>
  <c r="CQ29" i="1"/>
  <c r="N29" i="1"/>
  <c r="W29" i="1"/>
  <c r="AF29" i="1"/>
  <c r="AN29" i="1"/>
  <c r="AV29" i="1"/>
  <c r="BD29" i="1"/>
  <c r="BL29" i="1"/>
  <c r="BT29" i="1"/>
  <c r="CB29" i="1"/>
  <c r="CJ29" i="1"/>
  <c r="CR29" i="1"/>
  <c r="O29" i="1"/>
  <c r="Y29" i="1"/>
  <c r="AG29" i="1"/>
  <c r="AO29" i="1"/>
  <c r="AW29" i="1"/>
  <c r="BE29" i="1"/>
  <c r="BM29" i="1"/>
  <c r="BU29" i="1"/>
  <c r="CC29" i="1"/>
  <c r="CK29" i="1"/>
  <c r="CS29" i="1"/>
  <c r="S21" i="1"/>
  <c r="AA21" i="1"/>
  <c r="AI21" i="1"/>
  <c r="AQ21" i="1"/>
  <c r="U21" i="1"/>
  <c r="AD21" i="1"/>
  <c r="AM21" i="1"/>
  <c r="AV21" i="1"/>
  <c r="BD21" i="1"/>
  <c r="BL21" i="1"/>
  <c r="BT21" i="1"/>
  <c r="CB21" i="1"/>
  <c r="CJ21" i="1"/>
  <c r="CR21" i="1"/>
  <c r="M21" i="1"/>
  <c r="V21" i="1"/>
  <c r="AE21" i="1"/>
  <c r="AN21" i="1"/>
  <c r="AW21" i="1"/>
  <c r="BE21" i="1"/>
  <c r="BM21" i="1"/>
  <c r="BU21" i="1"/>
  <c r="CC21" i="1"/>
  <c r="CK21" i="1"/>
  <c r="CS21" i="1"/>
  <c r="N21" i="1"/>
  <c r="W21" i="1"/>
  <c r="AF21" i="1"/>
  <c r="AO21" i="1"/>
  <c r="AX21" i="1"/>
  <c r="BF21" i="1"/>
  <c r="BN21" i="1"/>
  <c r="BV21" i="1"/>
  <c r="CD21" i="1"/>
  <c r="CL21" i="1"/>
  <c r="CT21" i="1"/>
  <c r="O21" i="1"/>
  <c r="X21" i="1"/>
  <c r="AG21" i="1"/>
  <c r="AP21" i="1"/>
  <c r="AY21" i="1"/>
  <c r="BG21" i="1"/>
  <c r="BO21" i="1"/>
  <c r="BW21" i="1"/>
  <c r="CE21" i="1"/>
  <c r="CM21" i="1"/>
  <c r="CU21" i="1"/>
  <c r="P21" i="1"/>
  <c r="Y21" i="1"/>
  <c r="AH21" i="1"/>
  <c r="AR21" i="1"/>
  <c r="AZ21" i="1"/>
  <c r="BH21" i="1"/>
  <c r="BP21" i="1"/>
  <c r="BX21" i="1"/>
  <c r="CF21" i="1"/>
  <c r="CN21" i="1"/>
  <c r="CV21" i="1"/>
  <c r="Q21" i="1"/>
  <c r="Z21" i="1"/>
  <c r="AJ21" i="1"/>
  <c r="AS21" i="1"/>
  <c r="BA21" i="1"/>
  <c r="BI21" i="1"/>
  <c r="BQ21" i="1"/>
  <c r="BY21" i="1"/>
  <c r="CG21" i="1"/>
  <c r="CO21" i="1"/>
  <c r="CW21" i="1"/>
  <c r="R21" i="1"/>
  <c r="AB21" i="1"/>
  <c r="AK21" i="1"/>
  <c r="AT21" i="1"/>
  <c r="BB21" i="1"/>
  <c r="BJ21" i="1"/>
  <c r="BR21" i="1"/>
  <c r="BZ21" i="1"/>
  <c r="CH21" i="1"/>
  <c r="CP21" i="1"/>
  <c r="T21" i="1"/>
  <c r="AC21" i="1"/>
  <c r="AL21" i="1"/>
  <c r="AU21" i="1"/>
  <c r="BC21" i="1"/>
  <c r="BK21" i="1"/>
  <c r="BS21" i="1"/>
  <c r="CA21" i="1"/>
  <c r="CI21" i="1"/>
  <c r="CQ21" i="1"/>
  <c r="P13" i="1"/>
  <c r="X13" i="1"/>
  <c r="AF13" i="1"/>
  <c r="AN13" i="1"/>
  <c r="AV13" i="1"/>
  <c r="BD13" i="1"/>
  <c r="BL13" i="1"/>
  <c r="BT13" i="1"/>
  <c r="CB13" i="1"/>
  <c r="CJ13" i="1"/>
  <c r="CR13" i="1"/>
  <c r="Q13" i="1"/>
  <c r="Y13" i="1"/>
  <c r="AG13" i="1"/>
  <c r="AO13" i="1"/>
  <c r="AW13" i="1"/>
  <c r="BE13" i="1"/>
  <c r="BM13" i="1"/>
  <c r="BU13" i="1"/>
  <c r="CC13" i="1"/>
  <c r="CK13" i="1"/>
  <c r="CS13" i="1"/>
  <c r="R13" i="1"/>
  <c r="Z13" i="1"/>
  <c r="AH13" i="1"/>
  <c r="AP13" i="1"/>
  <c r="AX13" i="1"/>
  <c r="BF13" i="1"/>
  <c r="BN13" i="1"/>
  <c r="BV13" i="1"/>
  <c r="CD13" i="1"/>
  <c r="CL13" i="1"/>
  <c r="CT13" i="1"/>
  <c r="O13" i="1"/>
  <c r="AC13" i="1"/>
  <c r="AQ13" i="1"/>
  <c r="BB13" i="1"/>
  <c r="BP13" i="1"/>
  <c r="CA13" i="1"/>
  <c r="CO13" i="1"/>
  <c r="S13" i="1"/>
  <c r="AD13" i="1"/>
  <c r="AR13" i="1"/>
  <c r="BC13" i="1"/>
  <c r="BQ13" i="1"/>
  <c r="CE13" i="1"/>
  <c r="CP13" i="1"/>
  <c r="T13" i="1"/>
  <c r="AE13" i="1"/>
  <c r="AS13" i="1"/>
  <c r="BG13" i="1"/>
  <c r="BR13" i="1"/>
  <c r="CF13" i="1"/>
  <c r="CQ13" i="1"/>
  <c r="U13" i="1"/>
  <c r="AI13" i="1"/>
  <c r="AT13" i="1"/>
  <c r="BH13" i="1"/>
  <c r="BS13" i="1"/>
  <c r="CG13" i="1"/>
  <c r="CU13" i="1"/>
  <c r="V13" i="1"/>
  <c r="AJ13" i="1"/>
  <c r="AU13" i="1"/>
  <c r="BI13" i="1"/>
  <c r="BW13" i="1"/>
  <c r="CH13" i="1"/>
  <c r="CV13" i="1"/>
  <c r="W13" i="1"/>
  <c r="AK13" i="1"/>
  <c r="AY13" i="1"/>
  <c r="BJ13" i="1"/>
  <c r="BX13" i="1"/>
  <c r="CI13" i="1"/>
  <c r="CW13" i="1"/>
  <c r="M13" i="1"/>
  <c r="AA13" i="1"/>
  <c r="AL13" i="1"/>
  <c r="AZ13" i="1"/>
  <c r="BK13" i="1"/>
  <c r="BY13" i="1"/>
  <c r="CM13" i="1"/>
  <c r="N13" i="1"/>
  <c r="AB13" i="1"/>
  <c r="AM13" i="1"/>
  <c r="BA13" i="1"/>
  <c r="BO13" i="1"/>
  <c r="BZ13" i="1"/>
  <c r="CN13" i="1"/>
  <c r="O5" i="1"/>
  <c r="W5" i="1"/>
  <c r="AE5" i="1"/>
  <c r="AM5" i="1"/>
  <c r="AU5" i="1"/>
  <c r="BC5" i="1"/>
  <c r="BK5" i="1"/>
  <c r="BS5" i="1"/>
  <c r="CA5" i="1"/>
  <c r="CI5" i="1"/>
  <c r="CQ5" i="1"/>
  <c r="P5" i="1"/>
  <c r="X5" i="1"/>
  <c r="AF5" i="1"/>
  <c r="AN5" i="1"/>
  <c r="AV5" i="1"/>
  <c r="BD5" i="1"/>
  <c r="BL5" i="1"/>
  <c r="BT5" i="1"/>
  <c r="Q5" i="1"/>
  <c r="AA5" i="1"/>
  <c r="AK5" i="1"/>
  <c r="AW5" i="1"/>
  <c r="BG5" i="1"/>
  <c r="BQ5" i="1"/>
  <c r="CB5" i="1"/>
  <c r="CK5" i="1"/>
  <c r="CT5" i="1"/>
  <c r="R5" i="1"/>
  <c r="AB5" i="1"/>
  <c r="AL5" i="1"/>
  <c r="AX5" i="1"/>
  <c r="BH5" i="1"/>
  <c r="BR5" i="1"/>
  <c r="CC5" i="1"/>
  <c r="CL5" i="1"/>
  <c r="CU5" i="1"/>
  <c r="S5" i="1"/>
  <c r="AC5" i="1"/>
  <c r="AO5" i="1"/>
  <c r="AY5" i="1"/>
  <c r="BI5" i="1"/>
  <c r="BU5" i="1"/>
  <c r="CD5" i="1"/>
  <c r="CM5" i="1"/>
  <c r="CV5" i="1"/>
  <c r="M5" i="1"/>
  <c r="Y5" i="1"/>
  <c r="AI5" i="1"/>
  <c r="AS5" i="1"/>
  <c r="BE5" i="1"/>
  <c r="BO5" i="1"/>
  <c r="BY5" i="1"/>
  <c r="CH5" i="1"/>
  <c r="CR5" i="1"/>
  <c r="N5" i="1"/>
  <c r="Z5" i="1"/>
  <c r="AJ5" i="1"/>
  <c r="AT5" i="1"/>
  <c r="BF5" i="1"/>
  <c r="BP5" i="1"/>
  <c r="BZ5" i="1"/>
  <c r="CJ5" i="1"/>
  <c r="CS5" i="1"/>
  <c r="V5" i="1"/>
  <c r="BA5" i="1"/>
  <c r="CE5" i="1"/>
  <c r="AD5" i="1"/>
  <c r="BB5" i="1"/>
  <c r="CF5" i="1"/>
  <c r="AG5" i="1"/>
  <c r="BJ5" i="1"/>
  <c r="CG5" i="1"/>
  <c r="AH5" i="1"/>
  <c r="BM5" i="1"/>
  <c r="CN5" i="1"/>
  <c r="AP5" i="1"/>
  <c r="BN5" i="1"/>
  <c r="CO5" i="1"/>
  <c r="AQ5" i="1"/>
  <c r="BV5" i="1"/>
  <c r="CP5" i="1"/>
  <c r="T5" i="1"/>
  <c r="AR5" i="1"/>
  <c r="BW5" i="1"/>
  <c r="CW5" i="1"/>
  <c r="U5" i="1"/>
  <c r="AZ5" i="1"/>
  <c r="BX5" i="1"/>
  <c r="CW3" i="1"/>
  <c r="CO3" i="1"/>
  <c r="CG3" i="1"/>
  <c r="BY3" i="1"/>
  <c r="BQ3" i="1"/>
  <c r="BI3" i="1"/>
  <c r="BA3" i="1"/>
  <c r="AS3" i="1"/>
  <c r="AK3" i="1"/>
  <c r="AC3" i="1"/>
  <c r="U3" i="1"/>
  <c r="CW81" i="1"/>
  <c r="CO81" i="1"/>
  <c r="CG81" i="1"/>
  <c r="BY81" i="1"/>
  <c r="BQ81" i="1"/>
  <c r="BI81" i="1"/>
  <c r="BA81" i="1"/>
  <c r="AR81" i="1"/>
  <c r="AI81" i="1"/>
  <c r="Z81" i="1"/>
  <c r="Q81" i="1"/>
  <c r="CS80" i="1"/>
  <c r="CJ80" i="1"/>
  <c r="BZ80" i="1"/>
  <c r="BQ80" i="1"/>
  <c r="BH80" i="1"/>
  <c r="AY80" i="1"/>
  <c r="AP80" i="1"/>
  <c r="AG80" i="1"/>
  <c r="X80" i="1"/>
  <c r="N80" i="1"/>
  <c r="CP79" i="1"/>
  <c r="CG79" i="1"/>
  <c r="BX79" i="1"/>
  <c r="BO79" i="1"/>
  <c r="BF79" i="1"/>
  <c r="AW79" i="1"/>
  <c r="AM79" i="1"/>
  <c r="AD79" i="1"/>
  <c r="U79" i="1"/>
  <c r="CW78" i="1"/>
  <c r="CN78" i="1"/>
  <c r="CE78" i="1"/>
  <c r="BV78" i="1"/>
  <c r="BL78" i="1"/>
  <c r="BB78" i="1"/>
  <c r="AR78" i="1"/>
  <c r="AF78" i="1"/>
  <c r="V78" i="1"/>
  <c r="CW77" i="1"/>
  <c r="CK77" i="1"/>
  <c r="BZ77" i="1"/>
  <c r="BL77" i="1"/>
  <c r="BA77" i="1"/>
  <c r="AM77" i="1"/>
  <c r="Y77" i="1"/>
  <c r="N77" i="1"/>
  <c r="CK76" i="1"/>
  <c r="BZ76" i="1"/>
  <c r="BL76" i="1"/>
  <c r="AX76" i="1"/>
  <c r="AM76" i="1"/>
  <c r="Y76" i="1"/>
  <c r="CK75" i="1"/>
  <c r="BW75" i="1"/>
  <c r="BL75" i="1"/>
  <c r="AX75" i="1"/>
  <c r="AM75" i="1"/>
  <c r="Y75" i="1"/>
  <c r="CV74" i="1"/>
  <c r="CK74" i="1"/>
  <c r="BW74" i="1"/>
  <c r="BL74" i="1"/>
  <c r="AX74" i="1"/>
  <c r="AJ74" i="1"/>
  <c r="Y74" i="1"/>
  <c r="CV73" i="1"/>
  <c r="CK73" i="1"/>
  <c r="BW73" i="1"/>
  <c r="BI73" i="1"/>
  <c r="AX73" i="1"/>
  <c r="AJ73" i="1"/>
  <c r="Y73" i="1"/>
  <c r="CV72" i="1"/>
  <c r="CH72" i="1"/>
  <c r="BW72" i="1"/>
  <c r="BI72" i="1"/>
  <c r="AX72" i="1"/>
  <c r="AJ72" i="1"/>
  <c r="V72" i="1"/>
  <c r="CM71" i="1"/>
  <c r="AM71" i="1"/>
  <c r="BI70" i="1"/>
  <c r="S76" i="1"/>
  <c r="AA76" i="1"/>
  <c r="AI76" i="1"/>
  <c r="AQ76" i="1"/>
  <c r="AY76" i="1"/>
  <c r="BG76" i="1"/>
  <c r="BO76" i="1"/>
  <c r="BW76" i="1"/>
  <c r="CE76" i="1"/>
  <c r="CM76" i="1"/>
  <c r="CU76" i="1"/>
  <c r="T76" i="1"/>
  <c r="AB76" i="1"/>
  <c r="AJ76" i="1"/>
  <c r="AR76" i="1"/>
  <c r="AZ76" i="1"/>
  <c r="BH76" i="1"/>
  <c r="BP76" i="1"/>
  <c r="BX76" i="1"/>
  <c r="CF76" i="1"/>
  <c r="CN76" i="1"/>
  <c r="CV76" i="1"/>
  <c r="M76" i="1"/>
  <c r="U76" i="1"/>
  <c r="AC76" i="1"/>
  <c r="AK76" i="1"/>
  <c r="AS76" i="1"/>
  <c r="BA76" i="1"/>
  <c r="BI76" i="1"/>
  <c r="BQ76" i="1"/>
  <c r="BY76" i="1"/>
  <c r="CG76" i="1"/>
  <c r="CO76" i="1"/>
  <c r="CW76" i="1"/>
  <c r="S68" i="1"/>
  <c r="AA68" i="1"/>
  <c r="AI68" i="1"/>
  <c r="AQ68" i="1"/>
  <c r="AY68" i="1"/>
  <c r="BG68" i="1"/>
  <c r="BO68" i="1"/>
  <c r="BW68" i="1"/>
  <c r="CE68" i="1"/>
  <c r="CM68" i="1"/>
  <c r="CU68" i="1"/>
  <c r="M68" i="1"/>
  <c r="U68" i="1"/>
  <c r="AC68" i="1"/>
  <c r="AK68" i="1"/>
  <c r="AS68" i="1"/>
  <c r="BA68" i="1"/>
  <c r="BI68" i="1"/>
  <c r="BQ68" i="1"/>
  <c r="BY68" i="1"/>
  <c r="CG68" i="1"/>
  <c r="CO68" i="1"/>
  <c r="R68" i="1"/>
  <c r="AD68" i="1"/>
  <c r="AN68" i="1"/>
  <c r="AX68" i="1"/>
  <c r="BJ68" i="1"/>
  <c r="BT68" i="1"/>
  <c r="CD68" i="1"/>
  <c r="CP68" i="1"/>
  <c r="T68" i="1"/>
  <c r="AE68" i="1"/>
  <c r="AO68" i="1"/>
  <c r="AZ68" i="1"/>
  <c r="BK68" i="1"/>
  <c r="BU68" i="1"/>
  <c r="CF68" i="1"/>
  <c r="CQ68" i="1"/>
  <c r="V68" i="1"/>
  <c r="AF68" i="1"/>
  <c r="AP68" i="1"/>
  <c r="BB68" i="1"/>
  <c r="BL68" i="1"/>
  <c r="BV68" i="1"/>
  <c r="CH68" i="1"/>
  <c r="CR68" i="1"/>
  <c r="W68" i="1"/>
  <c r="AG68" i="1"/>
  <c r="AR68" i="1"/>
  <c r="BC68" i="1"/>
  <c r="BM68" i="1"/>
  <c r="BX68" i="1"/>
  <c r="CI68" i="1"/>
  <c r="CS68" i="1"/>
  <c r="N68" i="1"/>
  <c r="X68" i="1"/>
  <c r="AH68" i="1"/>
  <c r="AT68" i="1"/>
  <c r="BD68" i="1"/>
  <c r="BN68" i="1"/>
  <c r="BZ68" i="1"/>
  <c r="CJ68" i="1"/>
  <c r="CT68" i="1"/>
  <c r="O68" i="1"/>
  <c r="Y68" i="1"/>
  <c r="AJ68" i="1"/>
  <c r="AU68" i="1"/>
  <c r="BE68" i="1"/>
  <c r="BP68" i="1"/>
  <c r="CA68" i="1"/>
  <c r="CK68" i="1"/>
  <c r="CV68" i="1"/>
  <c r="P68" i="1"/>
  <c r="Z68" i="1"/>
  <c r="AL68" i="1"/>
  <c r="AV68" i="1"/>
  <c r="BF68" i="1"/>
  <c r="BR68" i="1"/>
  <c r="CB68" i="1"/>
  <c r="CL68" i="1"/>
  <c r="CW68" i="1"/>
  <c r="Q68" i="1"/>
  <c r="AB68" i="1"/>
  <c r="AM68" i="1"/>
  <c r="AW68" i="1"/>
  <c r="BH68" i="1"/>
  <c r="BS68" i="1"/>
  <c r="CC68" i="1"/>
  <c r="CN68" i="1"/>
  <c r="S60" i="1"/>
  <c r="AA60" i="1"/>
  <c r="AI60" i="1"/>
  <c r="AQ60" i="1"/>
  <c r="AY60" i="1"/>
  <c r="BG60" i="1"/>
  <c r="BO60" i="1"/>
  <c r="BW60" i="1"/>
  <c r="CE60" i="1"/>
  <c r="CM60" i="1"/>
  <c r="CU60" i="1"/>
  <c r="T60" i="1"/>
  <c r="AB60" i="1"/>
  <c r="AJ60" i="1"/>
  <c r="AR60" i="1"/>
  <c r="AZ60" i="1"/>
  <c r="BH60" i="1"/>
  <c r="BP60" i="1"/>
  <c r="BX60" i="1"/>
  <c r="CF60" i="1"/>
  <c r="CN60" i="1"/>
  <c r="CV60" i="1"/>
  <c r="M60" i="1"/>
  <c r="U60" i="1"/>
  <c r="AC60" i="1"/>
  <c r="AK60" i="1"/>
  <c r="AS60" i="1"/>
  <c r="BA60" i="1"/>
  <c r="BI60" i="1"/>
  <c r="BQ60" i="1"/>
  <c r="BY60" i="1"/>
  <c r="CG60" i="1"/>
  <c r="CO60" i="1"/>
  <c r="CW60" i="1"/>
  <c r="N60" i="1"/>
  <c r="V60" i="1"/>
  <c r="AD60" i="1"/>
  <c r="AL60" i="1"/>
  <c r="AT60" i="1"/>
  <c r="BB60" i="1"/>
  <c r="BJ60" i="1"/>
  <c r="BR60" i="1"/>
  <c r="BZ60" i="1"/>
  <c r="CH60" i="1"/>
  <c r="CP60" i="1"/>
  <c r="P60" i="1"/>
  <c r="X60" i="1"/>
  <c r="AF60" i="1"/>
  <c r="AN60" i="1"/>
  <c r="AV60" i="1"/>
  <c r="BD60" i="1"/>
  <c r="BL60" i="1"/>
  <c r="Q60" i="1"/>
  <c r="Y60" i="1"/>
  <c r="AG60" i="1"/>
  <c r="AO60" i="1"/>
  <c r="AW60" i="1"/>
  <c r="BE60" i="1"/>
  <c r="BM60" i="1"/>
  <c r="BU60" i="1"/>
  <c r="CC60" i="1"/>
  <c r="CK60" i="1"/>
  <c r="CS60" i="1"/>
  <c r="R60" i="1"/>
  <c r="Z60" i="1"/>
  <c r="AH60" i="1"/>
  <c r="AP60" i="1"/>
  <c r="AX60" i="1"/>
  <c r="BF60" i="1"/>
  <c r="BN60" i="1"/>
  <c r="BV60" i="1"/>
  <c r="CD60" i="1"/>
  <c r="CL60" i="1"/>
  <c r="CT60" i="1"/>
  <c r="AE60" i="1"/>
  <c r="CB60" i="1"/>
  <c r="AM60" i="1"/>
  <c r="CI60" i="1"/>
  <c r="AU60" i="1"/>
  <c r="CJ60" i="1"/>
  <c r="BC60" i="1"/>
  <c r="CQ60" i="1"/>
  <c r="BK60" i="1"/>
  <c r="CR60" i="1"/>
  <c r="BS60" i="1"/>
  <c r="O60" i="1"/>
  <c r="BT60" i="1"/>
  <c r="W60" i="1"/>
  <c r="CA60" i="1"/>
  <c r="M52" i="1"/>
  <c r="U52" i="1"/>
  <c r="N52" i="1"/>
  <c r="V52" i="1"/>
  <c r="AD52" i="1"/>
  <c r="AL52" i="1"/>
  <c r="AT52" i="1"/>
  <c r="BB52" i="1"/>
  <c r="BJ52" i="1"/>
  <c r="BR52" i="1"/>
  <c r="BZ52" i="1"/>
  <c r="CH52" i="1"/>
  <c r="CP52" i="1"/>
  <c r="O52" i="1"/>
  <c r="W52" i="1"/>
  <c r="AE52" i="1"/>
  <c r="AM52" i="1"/>
  <c r="AU52" i="1"/>
  <c r="BC52" i="1"/>
  <c r="BK52" i="1"/>
  <c r="BS52" i="1"/>
  <c r="CA52" i="1"/>
  <c r="CI52" i="1"/>
  <c r="CQ52" i="1"/>
  <c r="P52" i="1"/>
  <c r="X52" i="1"/>
  <c r="AF52" i="1"/>
  <c r="AN52" i="1"/>
  <c r="AV52" i="1"/>
  <c r="BD52" i="1"/>
  <c r="BL52" i="1"/>
  <c r="BT52" i="1"/>
  <c r="CB52" i="1"/>
  <c r="CJ52" i="1"/>
  <c r="CR52" i="1"/>
  <c r="R52" i="1"/>
  <c r="S52" i="1"/>
  <c r="AA52" i="1"/>
  <c r="AI52" i="1"/>
  <c r="AQ52" i="1"/>
  <c r="AY52" i="1"/>
  <c r="BG52" i="1"/>
  <c r="BO52" i="1"/>
  <c r="BW52" i="1"/>
  <c r="CE52" i="1"/>
  <c r="CM52" i="1"/>
  <c r="CU52" i="1"/>
  <c r="T52" i="1"/>
  <c r="AB52" i="1"/>
  <c r="AJ52" i="1"/>
  <c r="AR52" i="1"/>
  <c r="AZ52" i="1"/>
  <c r="BH52" i="1"/>
  <c r="BP52" i="1"/>
  <c r="BX52" i="1"/>
  <c r="CF52" i="1"/>
  <c r="CN52" i="1"/>
  <c r="CV52" i="1"/>
  <c r="AH52" i="1"/>
  <c r="BE52" i="1"/>
  <c r="BY52" i="1"/>
  <c r="CT52" i="1"/>
  <c r="AK52" i="1"/>
  <c r="BF52" i="1"/>
  <c r="CC52" i="1"/>
  <c r="CW52" i="1"/>
  <c r="AO52" i="1"/>
  <c r="BI52" i="1"/>
  <c r="CD52" i="1"/>
  <c r="Q52" i="1"/>
  <c r="AP52" i="1"/>
  <c r="BM52" i="1"/>
  <c r="CG52" i="1"/>
  <c r="Y52" i="1"/>
  <c r="AS52" i="1"/>
  <c r="BN52" i="1"/>
  <c r="CK52" i="1"/>
  <c r="Z52" i="1"/>
  <c r="AW52" i="1"/>
  <c r="BQ52" i="1"/>
  <c r="CL52" i="1"/>
  <c r="AC52" i="1"/>
  <c r="AX52" i="1"/>
  <c r="BU52" i="1"/>
  <c r="CO52" i="1"/>
  <c r="AG52" i="1"/>
  <c r="BA52" i="1"/>
  <c r="BV52" i="1"/>
  <c r="CS52" i="1"/>
  <c r="P44" i="1"/>
  <c r="X44" i="1"/>
  <c r="AF44" i="1"/>
  <c r="AN44" i="1"/>
  <c r="AV44" i="1"/>
  <c r="BD44" i="1"/>
  <c r="BL44" i="1"/>
  <c r="BT44" i="1"/>
  <c r="CB44" i="1"/>
  <c r="CJ44" i="1"/>
  <c r="CR44" i="1"/>
  <c r="Q44" i="1"/>
  <c r="Y44" i="1"/>
  <c r="AG44" i="1"/>
  <c r="AO44" i="1"/>
  <c r="AW44" i="1"/>
  <c r="BE44" i="1"/>
  <c r="BM44" i="1"/>
  <c r="BU44" i="1"/>
  <c r="CC44" i="1"/>
  <c r="CK44" i="1"/>
  <c r="CS44" i="1"/>
  <c r="R44" i="1"/>
  <c r="Z44" i="1"/>
  <c r="AH44" i="1"/>
  <c r="AP44" i="1"/>
  <c r="AX44" i="1"/>
  <c r="BF44" i="1"/>
  <c r="BN44" i="1"/>
  <c r="BV44" i="1"/>
  <c r="CD44" i="1"/>
  <c r="CL44" i="1"/>
  <c r="CT44" i="1"/>
  <c r="U44" i="1"/>
  <c r="AI44" i="1"/>
  <c r="AT44" i="1"/>
  <c r="BH44" i="1"/>
  <c r="BS44" i="1"/>
  <c r="CG44" i="1"/>
  <c r="CU44" i="1"/>
  <c r="V44" i="1"/>
  <c r="AJ44" i="1"/>
  <c r="AU44" i="1"/>
  <c r="BI44" i="1"/>
  <c r="BW44" i="1"/>
  <c r="CH44" i="1"/>
  <c r="CV44" i="1"/>
  <c r="W44" i="1"/>
  <c r="AK44" i="1"/>
  <c r="AY44" i="1"/>
  <c r="BJ44" i="1"/>
  <c r="BX44" i="1"/>
  <c r="CI44" i="1"/>
  <c r="CW44" i="1"/>
  <c r="M44" i="1"/>
  <c r="AA44" i="1"/>
  <c r="AL44" i="1"/>
  <c r="AZ44" i="1"/>
  <c r="BK44" i="1"/>
  <c r="BY44" i="1"/>
  <c r="CM44" i="1"/>
  <c r="N44" i="1"/>
  <c r="AB44" i="1"/>
  <c r="AM44" i="1"/>
  <c r="BA44" i="1"/>
  <c r="BO44" i="1"/>
  <c r="BZ44" i="1"/>
  <c r="CN44" i="1"/>
  <c r="O44" i="1"/>
  <c r="AC44" i="1"/>
  <c r="AQ44" i="1"/>
  <c r="BB44" i="1"/>
  <c r="BP44" i="1"/>
  <c r="CA44" i="1"/>
  <c r="CO44" i="1"/>
  <c r="S44" i="1"/>
  <c r="AD44" i="1"/>
  <c r="AR44" i="1"/>
  <c r="BC44" i="1"/>
  <c r="BQ44" i="1"/>
  <c r="CE44" i="1"/>
  <c r="CP44" i="1"/>
  <c r="T44" i="1"/>
  <c r="AE44" i="1"/>
  <c r="AS44" i="1"/>
  <c r="BG44" i="1"/>
  <c r="BR44" i="1"/>
  <c r="CF44" i="1"/>
  <c r="CQ44" i="1"/>
  <c r="S36" i="1"/>
  <c r="AA36" i="1"/>
  <c r="AI36" i="1"/>
  <c r="AQ36" i="1"/>
  <c r="AY36" i="1"/>
  <c r="BG36" i="1"/>
  <c r="BO36" i="1"/>
  <c r="BW36" i="1"/>
  <c r="CE36" i="1"/>
  <c r="CM36" i="1"/>
  <c r="CU36" i="1"/>
  <c r="T36" i="1"/>
  <c r="AB36" i="1"/>
  <c r="AJ36" i="1"/>
  <c r="AR36" i="1"/>
  <c r="AZ36" i="1"/>
  <c r="BH36" i="1"/>
  <c r="BP36" i="1"/>
  <c r="BX36" i="1"/>
  <c r="CF36" i="1"/>
  <c r="CN36" i="1"/>
  <c r="CV36" i="1"/>
  <c r="M36" i="1"/>
  <c r="U36" i="1"/>
  <c r="AC36" i="1"/>
  <c r="AK36" i="1"/>
  <c r="AS36" i="1"/>
  <c r="BA36" i="1"/>
  <c r="BI36" i="1"/>
  <c r="BQ36" i="1"/>
  <c r="BY36" i="1"/>
  <c r="CG36" i="1"/>
  <c r="CO36" i="1"/>
  <c r="CW36" i="1"/>
  <c r="X36" i="1"/>
  <c r="AL36" i="1"/>
  <c r="AW36" i="1"/>
  <c r="BK36" i="1"/>
  <c r="BV36" i="1"/>
  <c r="CJ36" i="1"/>
  <c r="N36" i="1"/>
  <c r="Y36" i="1"/>
  <c r="AM36" i="1"/>
  <c r="AX36" i="1"/>
  <c r="BL36" i="1"/>
  <c r="BZ36" i="1"/>
  <c r="CK36" i="1"/>
  <c r="O36" i="1"/>
  <c r="Z36" i="1"/>
  <c r="AN36" i="1"/>
  <c r="BB36" i="1"/>
  <c r="BM36" i="1"/>
  <c r="CA36" i="1"/>
  <c r="CL36" i="1"/>
  <c r="P36" i="1"/>
  <c r="AD36" i="1"/>
  <c r="AO36" i="1"/>
  <c r="BC36" i="1"/>
  <c r="BN36" i="1"/>
  <c r="CB36" i="1"/>
  <c r="CP36" i="1"/>
  <c r="Q36" i="1"/>
  <c r="AE36" i="1"/>
  <c r="AP36" i="1"/>
  <c r="BD36" i="1"/>
  <c r="BR36" i="1"/>
  <c r="CC36" i="1"/>
  <c r="CQ36" i="1"/>
  <c r="R36" i="1"/>
  <c r="AF36" i="1"/>
  <c r="AT36" i="1"/>
  <c r="BE36" i="1"/>
  <c r="BS36" i="1"/>
  <c r="CD36" i="1"/>
  <c r="CR36" i="1"/>
  <c r="V36" i="1"/>
  <c r="AG36" i="1"/>
  <c r="AU36" i="1"/>
  <c r="BF36" i="1"/>
  <c r="BT36" i="1"/>
  <c r="CH36" i="1"/>
  <c r="CS36" i="1"/>
  <c r="W36" i="1"/>
  <c r="AH36" i="1"/>
  <c r="AV36" i="1"/>
  <c r="BJ36" i="1"/>
  <c r="BU36" i="1"/>
  <c r="CI36" i="1"/>
  <c r="CT36" i="1"/>
  <c r="Q28" i="1"/>
  <c r="Y28" i="1"/>
  <c r="AG28" i="1"/>
  <c r="AO28" i="1"/>
  <c r="AW28" i="1"/>
  <c r="BE28" i="1"/>
  <c r="BM28" i="1"/>
  <c r="BU28" i="1"/>
  <c r="CC28" i="1"/>
  <c r="CK28" i="1"/>
  <c r="CS28" i="1"/>
  <c r="R28" i="1"/>
  <c r="Z28" i="1"/>
  <c r="AH28" i="1"/>
  <c r="S28" i="1"/>
  <c r="AA28" i="1"/>
  <c r="AI28" i="1"/>
  <c r="AQ28" i="1"/>
  <c r="AY28" i="1"/>
  <c r="BG28" i="1"/>
  <c r="BO28" i="1"/>
  <c r="BW28" i="1"/>
  <c r="V28" i="1"/>
  <c r="AJ28" i="1"/>
  <c r="AT28" i="1"/>
  <c r="BD28" i="1"/>
  <c r="BP28" i="1"/>
  <c r="BZ28" i="1"/>
  <c r="CI28" i="1"/>
  <c r="CR28" i="1"/>
  <c r="W28" i="1"/>
  <c r="AK28" i="1"/>
  <c r="AU28" i="1"/>
  <c r="BF28" i="1"/>
  <c r="BQ28" i="1"/>
  <c r="CA28" i="1"/>
  <c r="CJ28" i="1"/>
  <c r="CT28" i="1"/>
  <c r="M28" i="1"/>
  <c r="X28" i="1"/>
  <c r="AL28" i="1"/>
  <c r="AV28" i="1"/>
  <c r="BH28" i="1"/>
  <c r="BR28" i="1"/>
  <c r="CB28" i="1"/>
  <c r="CL28" i="1"/>
  <c r="CU28" i="1"/>
  <c r="N28" i="1"/>
  <c r="AB28" i="1"/>
  <c r="AM28" i="1"/>
  <c r="AX28" i="1"/>
  <c r="BI28" i="1"/>
  <c r="BS28" i="1"/>
  <c r="CD28" i="1"/>
  <c r="CM28" i="1"/>
  <c r="CV28" i="1"/>
  <c r="O28" i="1"/>
  <c r="AC28" i="1"/>
  <c r="AN28" i="1"/>
  <c r="AZ28" i="1"/>
  <c r="BJ28" i="1"/>
  <c r="BT28" i="1"/>
  <c r="CE28" i="1"/>
  <c r="CN28" i="1"/>
  <c r="CW28" i="1"/>
  <c r="P28" i="1"/>
  <c r="AD28" i="1"/>
  <c r="AP28" i="1"/>
  <c r="BA28" i="1"/>
  <c r="BK28" i="1"/>
  <c r="BV28" i="1"/>
  <c r="CF28" i="1"/>
  <c r="CO28" i="1"/>
  <c r="T28" i="1"/>
  <c r="AE28" i="1"/>
  <c r="AR28" i="1"/>
  <c r="BB28" i="1"/>
  <c r="BL28" i="1"/>
  <c r="BX28" i="1"/>
  <c r="CG28" i="1"/>
  <c r="CP28" i="1"/>
  <c r="U28" i="1"/>
  <c r="AF28" i="1"/>
  <c r="AS28" i="1"/>
  <c r="BC28" i="1"/>
  <c r="BN28" i="1"/>
  <c r="BY28" i="1"/>
  <c r="CH28" i="1"/>
  <c r="CQ28" i="1"/>
  <c r="S20" i="1"/>
  <c r="AA20" i="1"/>
  <c r="AI20" i="1"/>
  <c r="AQ20" i="1"/>
  <c r="AY20" i="1"/>
  <c r="BG20" i="1"/>
  <c r="BO20" i="1"/>
  <c r="BW20" i="1"/>
  <c r="CE20" i="1"/>
  <c r="CM20" i="1"/>
  <c r="T20" i="1"/>
  <c r="AB20" i="1"/>
  <c r="AJ20" i="1"/>
  <c r="AR20" i="1"/>
  <c r="AZ20" i="1"/>
  <c r="BH20" i="1"/>
  <c r="BP20" i="1"/>
  <c r="BX20" i="1"/>
  <c r="CF20" i="1"/>
  <c r="CN20" i="1"/>
  <c r="CV20" i="1"/>
  <c r="P20" i="1"/>
  <c r="Z20" i="1"/>
  <c r="AL20" i="1"/>
  <c r="AV20" i="1"/>
  <c r="BF20" i="1"/>
  <c r="BR20" i="1"/>
  <c r="CB20" i="1"/>
  <c r="CL20" i="1"/>
  <c r="CW20" i="1"/>
  <c r="Q20" i="1"/>
  <c r="AC20" i="1"/>
  <c r="AM20" i="1"/>
  <c r="AW20" i="1"/>
  <c r="BI20" i="1"/>
  <c r="BS20" i="1"/>
  <c r="CC20" i="1"/>
  <c r="CO20" i="1"/>
  <c r="R20" i="1"/>
  <c r="AD20" i="1"/>
  <c r="AN20" i="1"/>
  <c r="AX20" i="1"/>
  <c r="BJ20" i="1"/>
  <c r="BT20" i="1"/>
  <c r="CD20" i="1"/>
  <c r="CP20" i="1"/>
  <c r="U20" i="1"/>
  <c r="AE20" i="1"/>
  <c r="AO20" i="1"/>
  <c r="BA20" i="1"/>
  <c r="BK20" i="1"/>
  <c r="BU20" i="1"/>
  <c r="CG20" i="1"/>
  <c r="CQ20" i="1"/>
  <c r="V20" i="1"/>
  <c r="AF20" i="1"/>
  <c r="AP20" i="1"/>
  <c r="BB20" i="1"/>
  <c r="BL20" i="1"/>
  <c r="BV20" i="1"/>
  <c r="CH20" i="1"/>
  <c r="CR20" i="1"/>
  <c r="M20" i="1"/>
  <c r="W20" i="1"/>
  <c r="AG20" i="1"/>
  <c r="AS20" i="1"/>
  <c r="BC20" i="1"/>
  <c r="BM20" i="1"/>
  <c r="BY20" i="1"/>
  <c r="CI20" i="1"/>
  <c r="CS20" i="1"/>
  <c r="N20" i="1"/>
  <c r="X20" i="1"/>
  <c r="AH20" i="1"/>
  <c r="AT20" i="1"/>
  <c r="BD20" i="1"/>
  <c r="BN20" i="1"/>
  <c r="BZ20" i="1"/>
  <c r="CJ20" i="1"/>
  <c r="CT20" i="1"/>
  <c r="O20" i="1"/>
  <c r="Y20" i="1"/>
  <c r="AK20" i="1"/>
  <c r="AU20" i="1"/>
  <c r="BE20" i="1"/>
  <c r="BQ20" i="1"/>
  <c r="CA20" i="1"/>
  <c r="CK20" i="1"/>
  <c r="CU20" i="1"/>
  <c r="Q12" i="1"/>
  <c r="Y12" i="1"/>
  <c r="AG12" i="1"/>
  <c r="AO12" i="1"/>
  <c r="AW12" i="1"/>
  <c r="BE12" i="1"/>
  <c r="BM12" i="1"/>
  <c r="BU12" i="1"/>
  <c r="CC12" i="1"/>
  <c r="CK12" i="1"/>
  <c r="CS12" i="1"/>
  <c r="R12" i="1"/>
  <c r="Z12" i="1"/>
  <c r="AH12" i="1"/>
  <c r="AP12" i="1"/>
  <c r="AX12" i="1"/>
  <c r="BF12" i="1"/>
  <c r="BN12" i="1"/>
  <c r="BV12" i="1"/>
  <c r="CD12" i="1"/>
  <c r="CL12" i="1"/>
  <c r="CT12" i="1"/>
  <c r="S12" i="1"/>
  <c r="AA12" i="1"/>
  <c r="AI12" i="1"/>
  <c r="AQ12" i="1"/>
  <c r="AY12" i="1"/>
  <c r="BG12" i="1"/>
  <c r="BO12" i="1"/>
  <c r="BW12" i="1"/>
  <c r="CE12" i="1"/>
  <c r="CM12" i="1"/>
  <c r="CU12" i="1"/>
  <c r="O12" i="1"/>
  <c r="AC12" i="1"/>
  <c r="AN12" i="1"/>
  <c r="BB12" i="1"/>
  <c r="BP12" i="1"/>
  <c r="CA12" i="1"/>
  <c r="CO12" i="1"/>
  <c r="P12" i="1"/>
  <c r="AD12" i="1"/>
  <c r="AR12" i="1"/>
  <c r="BC12" i="1"/>
  <c r="BQ12" i="1"/>
  <c r="CB12" i="1"/>
  <c r="CP12" i="1"/>
  <c r="T12" i="1"/>
  <c r="AE12" i="1"/>
  <c r="AS12" i="1"/>
  <c r="BD12" i="1"/>
  <c r="BR12" i="1"/>
  <c r="CF12" i="1"/>
  <c r="CQ12" i="1"/>
  <c r="U12" i="1"/>
  <c r="AF12" i="1"/>
  <c r="AT12" i="1"/>
  <c r="BH12" i="1"/>
  <c r="BS12" i="1"/>
  <c r="CG12" i="1"/>
  <c r="CR12" i="1"/>
  <c r="V12" i="1"/>
  <c r="AJ12" i="1"/>
  <c r="AU12" i="1"/>
  <c r="BI12" i="1"/>
  <c r="BT12" i="1"/>
  <c r="CH12" i="1"/>
  <c r="CV12" i="1"/>
  <c r="W12" i="1"/>
  <c r="AK12" i="1"/>
  <c r="AV12" i="1"/>
  <c r="BJ12" i="1"/>
  <c r="BX12" i="1"/>
  <c r="CI12" i="1"/>
  <c r="CW12" i="1"/>
  <c r="M12" i="1"/>
  <c r="X12" i="1"/>
  <c r="AL12" i="1"/>
  <c r="AZ12" i="1"/>
  <c r="BK12" i="1"/>
  <c r="BY12" i="1"/>
  <c r="CJ12" i="1"/>
  <c r="N12" i="1"/>
  <c r="AB12" i="1"/>
  <c r="AM12" i="1"/>
  <c r="BA12" i="1"/>
  <c r="BL12" i="1"/>
  <c r="BZ12" i="1"/>
  <c r="CN12" i="1"/>
  <c r="P4" i="1"/>
  <c r="X4" i="1"/>
  <c r="AF4" i="1"/>
  <c r="AN4" i="1"/>
  <c r="AV4" i="1"/>
  <c r="BD4" i="1"/>
  <c r="BL4" i="1"/>
  <c r="BT4" i="1"/>
  <c r="CB4" i="1"/>
  <c r="CJ4" i="1"/>
  <c r="CR4" i="1"/>
  <c r="Q4" i="1"/>
  <c r="Y4" i="1"/>
  <c r="AG4" i="1"/>
  <c r="AO4" i="1"/>
  <c r="AW4" i="1"/>
  <c r="BE4" i="1"/>
  <c r="BM4" i="1"/>
  <c r="BU4" i="1"/>
  <c r="CC4" i="1"/>
  <c r="CK4" i="1"/>
  <c r="CS4" i="1"/>
  <c r="R4" i="1"/>
  <c r="Z4" i="1"/>
  <c r="AH4" i="1"/>
  <c r="AP4" i="1"/>
  <c r="AX4" i="1"/>
  <c r="BF4" i="1"/>
  <c r="W4" i="1"/>
  <c r="AK4" i="1"/>
  <c r="AY4" i="1"/>
  <c r="BJ4" i="1"/>
  <c r="BV4" i="1"/>
  <c r="CF4" i="1"/>
  <c r="CP4" i="1"/>
  <c r="M4" i="1"/>
  <c r="AA4" i="1"/>
  <c r="AL4" i="1"/>
  <c r="AZ4" i="1"/>
  <c r="BK4" i="1"/>
  <c r="BW4" i="1"/>
  <c r="CG4" i="1"/>
  <c r="CQ4" i="1"/>
  <c r="N4" i="1"/>
  <c r="AB4" i="1"/>
  <c r="AM4" i="1"/>
  <c r="BA4" i="1"/>
  <c r="BN4" i="1"/>
  <c r="BX4" i="1"/>
  <c r="CH4" i="1"/>
  <c r="CT4" i="1"/>
  <c r="O4" i="1"/>
  <c r="AC4" i="1"/>
  <c r="AQ4" i="1"/>
  <c r="BB4" i="1"/>
  <c r="BO4" i="1"/>
  <c r="BY4" i="1"/>
  <c r="CI4" i="1"/>
  <c r="S4" i="1"/>
  <c r="AD4" i="1"/>
  <c r="AR4" i="1"/>
  <c r="BC4" i="1"/>
  <c r="BP4" i="1"/>
  <c r="BZ4" i="1"/>
  <c r="CL4" i="1"/>
  <c r="CV4" i="1"/>
  <c r="U4" i="1"/>
  <c r="AI4" i="1"/>
  <c r="AT4" i="1"/>
  <c r="BH4" i="1"/>
  <c r="BR4" i="1"/>
  <c r="CD4" i="1"/>
  <c r="CN4" i="1"/>
  <c r="V4" i="1"/>
  <c r="AJ4" i="1"/>
  <c r="AU4" i="1"/>
  <c r="BI4" i="1"/>
  <c r="BS4" i="1"/>
  <c r="CE4" i="1"/>
  <c r="CO4" i="1"/>
  <c r="BG4" i="1"/>
  <c r="BQ4" i="1"/>
  <c r="CA4" i="1"/>
  <c r="CM4" i="1"/>
  <c r="CU4" i="1"/>
  <c r="T4" i="1"/>
  <c r="CW4" i="1"/>
  <c r="AE4" i="1"/>
  <c r="AS4" i="1"/>
  <c r="CV3" i="1"/>
  <c r="CN3" i="1"/>
  <c r="CF3" i="1"/>
  <c r="BX3" i="1"/>
  <c r="BP3" i="1"/>
  <c r="BH3" i="1"/>
  <c r="AZ3" i="1"/>
  <c r="AR3" i="1"/>
  <c r="AJ3" i="1"/>
  <c r="AB3" i="1"/>
  <c r="T3" i="1"/>
  <c r="CV81" i="1"/>
  <c r="CN81" i="1"/>
  <c r="CF81" i="1"/>
  <c r="BX81" i="1"/>
  <c r="BP81" i="1"/>
  <c r="BH81" i="1"/>
  <c r="AZ81" i="1"/>
  <c r="AQ81" i="1"/>
  <c r="AH81" i="1"/>
  <c r="Y81" i="1"/>
  <c r="P81" i="1"/>
  <c r="CR80" i="1"/>
  <c r="CH80" i="1"/>
  <c r="BY80" i="1"/>
  <c r="BP80" i="1"/>
  <c r="BG80" i="1"/>
  <c r="AX80" i="1"/>
  <c r="AO80" i="1"/>
  <c r="AF80" i="1"/>
  <c r="V80" i="1"/>
  <c r="M80" i="1"/>
  <c r="CO79" i="1"/>
  <c r="CF79" i="1"/>
  <c r="BW79" i="1"/>
  <c r="BN79" i="1"/>
  <c r="BE79" i="1"/>
  <c r="AU79" i="1"/>
  <c r="AL79" i="1"/>
  <c r="AC79" i="1"/>
  <c r="T79" i="1"/>
  <c r="CV78" i="1"/>
  <c r="CM78" i="1"/>
  <c r="CD78" i="1"/>
  <c r="BT78" i="1"/>
  <c r="BK78" i="1"/>
  <c r="BA78" i="1"/>
  <c r="AP78" i="1"/>
  <c r="AE78" i="1"/>
  <c r="U78" i="1"/>
  <c r="CU77" i="1"/>
  <c r="CJ77" i="1"/>
  <c r="BY77" i="1"/>
  <c r="BK77" i="1"/>
  <c r="AW77" i="1"/>
  <c r="AL77" i="1"/>
  <c r="X77" i="1"/>
  <c r="M77" i="1"/>
  <c r="CJ76" i="1"/>
  <c r="BV76" i="1"/>
  <c r="BK76" i="1"/>
  <c r="AW76" i="1"/>
  <c r="AL76" i="1"/>
  <c r="X76" i="1"/>
  <c r="CU75" i="1"/>
  <c r="CJ75" i="1"/>
  <c r="BV75" i="1"/>
  <c r="BK75" i="1"/>
  <c r="AW75" i="1"/>
  <c r="AI75" i="1"/>
  <c r="CU74" i="1"/>
  <c r="CJ74" i="1"/>
  <c r="BV74" i="1"/>
  <c r="BH74" i="1"/>
  <c r="AW74" i="1"/>
  <c r="AI74" i="1"/>
  <c r="X74" i="1"/>
  <c r="CU73" i="1"/>
  <c r="CG73" i="1"/>
  <c r="BV73" i="1"/>
  <c r="BH73" i="1"/>
  <c r="AW73" i="1"/>
  <c r="AI73" i="1"/>
  <c r="U73" i="1"/>
  <c r="CU72" i="1"/>
  <c r="CG72" i="1"/>
  <c r="BV72" i="1"/>
  <c r="BH72" i="1"/>
  <c r="AT72" i="1"/>
  <c r="AI72" i="1"/>
  <c r="T72" i="1"/>
  <c r="CI71" i="1"/>
  <c r="AE71" i="1"/>
  <c r="AZ70" i="1"/>
  <c r="T75" i="1"/>
  <c r="AB75" i="1"/>
  <c r="AJ75" i="1"/>
  <c r="AR75" i="1"/>
  <c r="AZ75" i="1"/>
  <c r="BH75" i="1"/>
  <c r="BP75" i="1"/>
  <c r="BX75" i="1"/>
  <c r="CF75" i="1"/>
  <c r="CN75" i="1"/>
  <c r="CV75" i="1"/>
  <c r="M75" i="1"/>
  <c r="U75" i="1"/>
  <c r="AC75" i="1"/>
  <c r="AK75" i="1"/>
  <c r="AS75" i="1"/>
  <c r="BA75" i="1"/>
  <c r="BI75" i="1"/>
  <c r="BQ75" i="1"/>
  <c r="BY75" i="1"/>
  <c r="CG75" i="1"/>
  <c r="CO75" i="1"/>
  <c r="CW75" i="1"/>
  <c r="N75" i="1"/>
  <c r="V75" i="1"/>
  <c r="AD75" i="1"/>
  <c r="AL75" i="1"/>
  <c r="AT75" i="1"/>
  <c r="BB75" i="1"/>
  <c r="BJ75" i="1"/>
  <c r="BR75" i="1"/>
  <c r="BZ75" i="1"/>
  <c r="CH75" i="1"/>
  <c r="CP75" i="1"/>
  <c r="T67" i="1"/>
  <c r="AB67" i="1"/>
  <c r="AJ67" i="1"/>
  <c r="AR67" i="1"/>
  <c r="AZ67" i="1"/>
  <c r="BH67" i="1"/>
  <c r="BP67" i="1"/>
  <c r="BX67" i="1"/>
  <c r="CF67" i="1"/>
  <c r="CN67" i="1"/>
  <c r="CV67" i="1"/>
  <c r="M67" i="1"/>
  <c r="U67" i="1"/>
  <c r="AC67" i="1"/>
  <c r="AK67" i="1"/>
  <c r="AS67" i="1"/>
  <c r="BA67" i="1"/>
  <c r="BI67" i="1"/>
  <c r="N67" i="1"/>
  <c r="V67" i="1"/>
  <c r="AD67" i="1"/>
  <c r="AL67" i="1"/>
  <c r="AT67" i="1"/>
  <c r="BB67" i="1"/>
  <c r="BJ67" i="1"/>
  <c r="BR67" i="1"/>
  <c r="BZ67" i="1"/>
  <c r="CH67" i="1"/>
  <c r="CP67" i="1"/>
  <c r="O67" i="1"/>
  <c r="Z67" i="1"/>
  <c r="AN67" i="1"/>
  <c r="AY67" i="1"/>
  <c r="BM67" i="1"/>
  <c r="BW67" i="1"/>
  <c r="CI67" i="1"/>
  <c r="CS67" i="1"/>
  <c r="P67" i="1"/>
  <c r="AA67" i="1"/>
  <c r="AO67" i="1"/>
  <c r="BC67" i="1"/>
  <c r="BN67" i="1"/>
  <c r="BY67" i="1"/>
  <c r="CJ67" i="1"/>
  <c r="CT67" i="1"/>
  <c r="Q67" i="1"/>
  <c r="AE67" i="1"/>
  <c r="AP67" i="1"/>
  <c r="BD67" i="1"/>
  <c r="BO67" i="1"/>
  <c r="CA67" i="1"/>
  <c r="CK67" i="1"/>
  <c r="CU67" i="1"/>
  <c r="R67" i="1"/>
  <c r="AF67" i="1"/>
  <c r="AQ67" i="1"/>
  <c r="BE67" i="1"/>
  <c r="BQ67" i="1"/>
  <c r="CB67" i="1"/>
  <c r="CL67" i="1"/>
  <c r="CW67" i="1"/>
  <c r="S67" i="1"/>
  <c r="AG67" i="1"/>
  <c r="AU67" i="1"/>
  <c r="BF67" i="1"/>
  <c r="BS67" i="1"/>
  <c r="CC67" i="1"/>
  <c r="CM67" i="1"/>
  <c r="W67" i="1"/>
  <c r="AH67" i="1"/>
  <c r="AV67" i="1"/>
  <c r="BG67" i="1"/>
  <c r="BT67" i="1"/>
  <c r="CD67" i="1"/>
  <c r="CO67" i="1"/>
  <c r="X67" i="1"/>
  <c r="AI67" i="1"/>
  <c r="AW67" i="1"/>
  <c r="BK67" i="1"/>
  <c r="BU67" i="1"/>
  <c r="CE67" i="1"/>
  <c r="CQ67" i="1"/>
  <c r="Y67" i="1"/>
  <c r="AM67" i="1"/>
  <c r="AX67" i="1"/>
  <c r="BL67" i="1"/>
  <c r="BV67" i="1"/>
  <c r="CG67" i="1"/>
  <c r="CR67" i="1"/>
  <c r="T59" i="1"/>
  <c r="AB59" i="1"/>
  <c r="AJ59" i="1"/>
  <c r="AR59" i="1"/>
  <c r="AZ59" i="1"/>
  <c r="BH59" i="1"/>
  <c r="BP59" i="1"/>
  <c r="BX59" i="1"/>
  <c r="CF59" i="1"/>
  <c r="CN59" i="1"/>
  <c r="CV59" i="1"/>
  <c r="M59" i="1"/>
  <c r="U59" i="1"/>
  <c r="AC59" i="1"/>
  <c r="AK59" i="1"/>
  <c r="AS59" i="1"/>
  <c r="BA59" i="1"/>
  <c r="BI59" i="1"/>
  <c r="BQ59" i="1"/>
  <c r="BY59" i="1"/>
  <c r="CG59" i="1"/>
  <c r="CO59" i="1"/>
  <c r="CW59" i="1"/>
  <c r="N59" i="1"/>
  <c r="V59" i="1"/>
  <c r="AD59" i="1"/>
  <c r="AL59" i="1"/>
  <c r="AT59" i="1"/>
  <c r="BB59" i="1"/>
  <c r="BJ59" i="1"/>
  <c r="BR59" i="1"/>
  <c r="BZ59" i="1"/>
  <c r="CH59" i="1"/>
  <c r="CP59" i="1"/>
  <c r="O59" i="1"/>
  <c r="W59" i="1"/>
  <c r="AE59" i="1"/>
  <c r="AM59" i="1"/>
  <c r="AU59" i="1"/>
  <c r="BC59" i="1"/>
  <c r="BK59" i="1"/>
  <c r="BS59" i="1"/>
  <c r="CA59" i="1"/>
  <c r="CI59" i="1"/>
  <c r="CQ59" i="1"/>
  <c r="Q59" i="1"/>
  <c r="Y59" i="1"/>
  <c r="AG59" i="1"/>
  <c r="AO59" i="1"/>
  <c r="AW59" i="1"/>
  <c r="BE59" i="1"/>
  <c r="BM59" i="1"/>
  <c r="BU59" i="1"/>
  <c r="CC59" i="1"/>
  <c r="CK59" i="1"/>
  <c r="CS59" i="1"/>
  <c r="R59" i="1"/>
  <c r="Z59" i="1"/>
  <c r="AH59" i="1"/>
  <c r="AP59" i="1"/>
  <c r="AX59" i="1"/>
  <c r="BF59" i="1"/>
  <c r="BN59" i="1"/>
  <c r="BV59" i="1"/>
  <c r="CD59" i="1"/>
  <c r="CL59" i="1"/>
  <c r="CT59" i="1"/>
  <c r="S59" i="1"/>
  <c r="AA59" i="1"/>
  <c r="AI59" i="1"/>
  <c r="AQ59" i="1"/>
  <c r="AY59" i="1"/>
  <c r="BG59" i="1"/>
  <c r="BO59" i="1"/>
  <c r="BW59" i="1"/>
  <c r="CE59" i="1"/>
  <c r="CM59" i="1"/>
  <c r="CU59" i="1"/>
  <c r="BD59" i="1"/>
  <c r="BL59" i="1"/>
  <c r="BT59" i="1"/>
  <c r="P59" i="1"/>
  <c r="CB59" i="1"/>
  <c r="X59" i="1"/>
  <c r="CJ59" i="1"/>
  <c r="AF59" i="1"/>
  <c r="CR59" i="1"/>
  <c r="AN59" i="1"/>
  <c r="AV59" i="1"/>
  <c r="N51" i="1"/>
  <c r="V51" i="1"/>
  <c r="AD51" i="1"/>
  <c r="AL51" i="1"/>
  <c r="AT51" i="1"/>
  <c r="BB51" i="1"/>
  <c r="BJ51" i="1"/>
  <c r="BR51" i="1"/>
  <c r="BZ51" i="1"/>
  <c r="CH51" i="1"/>
  <c r="CP51" i="1"/>
  <c r="O51" i="1"/>
  <c r="W51" i="1"/>
  <c r="AE51" i="1"/>
  <c r="AM51" i="1"/>
  <c r="AU51" i="1"/>
  <c r="BC51" i="1"/>
  <c r="BK51" i="1"/>
  <c r="BS51" i="1"/>
  <c r="CA51" i="1"/>
  <c r="CI51" i="1"/>
  <c r="CQ51" i="1"/>
  <c r="P51" i="1"/>
  <c r="X51" i="1"/>
  <c r="AF51" i="1"/>
  <c r="AN51" i="1"/>
  <c r="AV51" i="1"/>
  <c r="BD51" i="1"/>
  <c r="BL51" i="1"/>
  <c r="BT51" i="1"/>
  <c r="CB51" i="1"/>
  <c r="CJ51" i="1"/>
  <c r="CR51" i="1"/>
  <c r="Q51" i="1"/>
  <c r="Y51" i="1"/>
  <c r="AG51" i="1"/>
  <c r="AO51" i="1"/>
  <c r="AW51" i="1"/>
  <c r="BE51" i="1"/>
  <c r="BM51" i="1"/>
  <c r="BU51" i="1"/>
  <c r="CC51" i="1"/>
  <c r="CK51" i="1"/>
  <c r="CS51" i="1"/>
  <c r="R51" i="1"/>
  <c r="Z51" i="1"/>
  <c r="AH51" i="1"/>
  <c r="AP51" i="1"/>
  <c r="AX51" i="1"/>
  <c r="BF51" i="1"/>
  <c r="BN51" i="1"/>
  <c r="BV51" i="1"/>
  <c r="S51" i="1"/>
  <c r="AA51" i="1"/>
  <c r="AI51" i="1"/>
  <c r="AQ51" i="1"/>
  <c r="AY51" i="1"/>
  <c r="BG51" i="1"/>
  <c r="BO51" i="1"/>
  <c r="BW51" i="1"/>
  <c r="CE51" i="1"/>
  <c r="CM51" i="1"/>
  <c r="CU51" i="1"/>
  <c r="T51" i="1"/>
  <c r="AB51" i="1"/>
  <c r="AJ51" i="1"/>
  <c r="AR51" i="1"/>
  <c r="AZ51" i="1"/>
  <c r="BH51" i="1"/>
  <c r="BP51" i="1"/>
  <c r="BX51" i="1"/>
  <c r="CF51" i="1"/>
  <c r="CN51" i="1"/>
  <c r="CV51" i="1"/>
  <c r="M51" i="1"/>
  <c r="U51" i="1"/>
  <c r="AC51" i="1"/>
  <c r="AK51" i="1"/>
  <c r="AS51" i="1"/>
  <c r="BA51" i="1"/>
  <c r="BI51" i="1"/>
  <c r="BQ51" i="1"/>
  <c r="BY51" i="1"/>
  <c r="CG51" i="1"/>
  <c r="CO51" i="1"/>
  <c r="CW51" i="1"/>
  <c r="CD51" i="1"/>
  <c r="CL51" i="1"/>
  <c r="CT51" i="1"/>
  <c r="Q43" i="1"/>
  <c r="Y43" i="1"/>
  <c r="AG43" i="1"/>
  <c r="AO43" i="1"/>
  <c r="AW43" i="1"/>
  <c r="BE43" i="1"/>
  <c r="BM43" i="1"/>
  <c r="BU43" i="1"/>
  <c r="CC43" i="1"/>
  <c r="CK43" i="1"/>
  <c r="CS43" i="1"/>
  <c r="R43" i="1"/>
  <c r="Z43" i="1"/>
  <c r="AH43" i="1"/>
  <c r="AP43" i="1"/>
  <c r="AX43" i="1"/>
  <c r="BF43" i="1"/>
  <c r="BN43" i="1"/>
  <c r="BV43" i="1"/>
  <c r="CD43" i="1"/>
  <c r="CL43" i="1"/>
  <c r="CT43" i="1"/>
  <c r="S43" i="1"/>
  <c r="AA43" i="1"/>
  <c r="AI43" i="1"/>
  <c r="AQ43" i="1"/>
  <c r="AY43" i="1"/>
  <c r="BG43" i="1"/>
  <c r="BO43" i="1"/>
  <c r="BW43" i="1"/>
  <c r="CE43" i="1"/>
  <c r="CM43" i="1"/>
  <c r="CU43" i="1"/>
  <c r="U43" i="1"/>
  <c r="AF43" i="1"/>
  <c r="AT43" i="1"/>
  <c r="BH43" i="1"/>
  <c r="BS43" i="1"/>
  <c r="CG43" i="1"/>
  <c r="CR43" i="1"/>
  <c r="V43" i="1"/>
  <c r="AJ43" i="1"/>
  <c r="AU43" i="1"/>
  <c r="BI43" i="1"/>
  <c r="BT43" i="1"/>
  <c r="CH43" i="1"/>
  <c r="CV43" i="1"/>
  <c r="W43" i="1"/>
  <c r="AK43" i="1"/>
  <c r="AV43" i="1"/>
  <c r="BJ43" i="1"/>
  <c r="BX43" i="1"/>
  <c r="CI43" i="1"/>
  <c r="CW43" i="1"/>
  <c r="M43" i="1"/>
  <c r="X43" i="1"/>
  <c r="AL43" i="1"/>
  <c r="AZ43" i="1"/>
  <c r="BK43" i="1"/>
  <c r="BY43" i="1"/>
  <c r="CJ43" i="1"/>
  <c r="N43" i="1"/>
  <c r="AB43" i="1"/>
  <c r="AM43" i="1"/>
  <c r="BA43" i="1"/>
  <c r="BL43" i="1"/>
  <c r="BZ43" i="1"/>
  <c r="CN43" i="1"/>
  <c r="O43" i="1"/>
  <c r="AC43" i="1"/>
  <c r="AN43" i="1"/>
  <c r="BB43" i="1"/>
  <c r="BP43" i="1"/>
  <c r="CA43" i="1"/>
  <c r="CO43" i="1"/>
  <c r="P43" i="1"/>
  <c r="AD43" i="1"/>
  <c r="AR43" i="1"/>
  <c r="BC43" i="1"/>
  <c r="BQ43" i="1"/>
  <c r="CB43" i="1"/>
  <c r="CP43" i="1"/>
  <c r="T43" i="1"/>
  <c r="AE43" i="1"/>
  <c r="AS43" i="1"/>
  <c r="BD43" i="1"/>
  <c r="BR43" i="1"/>
  <c r="CF43" i="1"/>
  <c r="CQ43" i="1"/>
  <c r="T35" i="1"/>
  <c r="AB35" i="1"/>
  <c r="AJ35" i="1"/>
  <c r="AR35" i="1"/>
  <c r="AZ35" i="1"/>
  <c r="BH35" i="1"/>
  <c r="BP35" i="1"/>
  <c r="BX35" i="1"/>
  <c r="CF35" i="1"/>
  <c r="CN35" i="1"/>
  <c r="CV35" i="1"/>
  <c r="M35" i="1"/>
  <c r="U35" i="1"/>
  <c r="AC35" i="1"/>
  <c r="AK35" i="1"/>
  <c r="AS35" i="1"/>
  <c r="BA35" i="1"/>
  <c r="BI35" i="1"/>
  <c r="BQ35" i="1"/>
  <c r="BY35" i="1"/>
  <c r="CG35" i="1"/>
  <c r="CO35" i="1"/>
  <c r="CW35" i="1"/>
  <c r="N35" i="1"/>
  <c r="V35" i="1"/>
  <c r="AD35" i="1"/>
  <c r="AL35" i="1"/>
  <c r="AT35" i="1"/>
  <c r="BB35" i="1"/>
  <c r="BJ35" i="1"/>
  <c r="BR35" i="1"/>
  <c r="BZ35" i="1"/>
  <c r="CH35" i="1"/>
  <c r="CP35" i="1"/>
  <c r="O35" i="1"/>
  <c r="W35" i="1"/>
  <c r="AE35" i="1"/>
  <c r="AM35" i="1"/>
  <c r="AU35" i="1"/>
  <c r="BC35" i="1"/>
  <c r="BK35" i="1"/>
  <c r="AA35" i="1"/>
  <c r="AQ35" i="1"/>
  <c r="BG35" i="1"/>
  <c r="BV35" i="1"/>
  <c r="CJ35" i="1"/>
  <c r="CU35" i="1"/>
  <c r="P35" i="1"/>
  <c r="AF35" i="1"/>
  <c r="AV35" i="1"/>
  <c r="BL35" i="1"/>
  <c r="BW35" i="1"/>
  <c r="CK35" i="1"/>
  <c r="Q35" i="1"/>
  <c r="AG35" i="1"/>
  <c r="AW35" i="1"/>
  <c r="BM35" i="1"/>
  <c r="CA35" i="1"/>
  <c r="CL35" i="1"/>
  <c r="R35" i="1"/>
  <c r="AH35" i="1"/>
  <c r="AX35" i="1"/>
  <c r="BN35" i="1"/>
  <c r="CB35" i="1"/>
  <c r="CM35" i="1"/>
  <c r="S35" i="1"/>
  <c r="AI35" i="1"/>
  <c r="AY35" i="1"/>
  <c r="BO35" i="1"/>
  <c r="CC35" i="1"/>
  <c r="CQ35" i="1"/>
  <c r="X35" i="1"/>
  <c r="AN35" i="1"/>
  <c r="BD35" i="1"/>
  <c r="BS35" i="1"/>
  <c r="CD35" i="1"/>
  <c r="CR35" i="1"/>
  <c r="Y35" i="1"/>
  <c r="AO35" i="1"/>
  <c r="BE35" i="1"/>
  <c r="BT35" i="1"/>
  <c r="CE35" i="1"/>
  <c r="CS35" i="1"/>
  <c r="Z35" i="1"/>
  <c r="AP35" i="1"/>
  <c r="BF35" i="1"/>
  <c r="BU35" i="1"/>
  <c r="CI35" i="1"/>
  <c r="CT35" i="1"/>
  <c r="R27" i="1"/>
  <c r="Z27" i="1"/>
  <c r="AH27" i="1"/>
  <c r="AP27" i="1"/>
  <c r="AX27" i="1"/>
  <c r="BF27" i="1"/>
  <c r="BN27" i="1"/>
  <c r="BV27" i="1"/>
  <c r="CD27" i="1"/>
  <c r="CL27" i="1"/>
  <c r="CT27" i="1"/>
  <c r="S27" i="1"/>
  <c r="AA27" i="1"/>
  <c r="AI27" i="1"/>
  <c r="AQ27" i="1"/>
  <c r="AY27" i="1"/>
  <c r="BG27" i="1"/>
  <c r="BO27" i="1"/>
  <c r="BW27" i="1"/>
  <c r="CE27" i="1"/>
  <c r="CM27" i="1"/>
  <c r="CU27" i="1"/>
  <c r="T27" i="1"/>
  <c r="AB27" i="1"/>
  <c r="AJ27" i="1"/>
  <c r="AR27" i="1"/>
  <c r="AZ27" i="1"/>
  <c r="BH27" i="1"/>
  <c r="BP27" i="1"/>
  <c r="BX27" i="1"/>
  <c r="CF27" i="1"/>
  <c r="CN27" i="1"/>
  <c r="CV27" i="1"/>
  <c r="V27" i="1"/>
  <c r="AG27" i="1"/>
  <c r="AU27" i="1"/>
  <c r="BI27" i="1"/>
  <c r="BT27" i="1"/>
  <c r="CH27" i="1"/>
  <c r="CS27" i="1"/>
  <c r="W27" i="1"/>
  <c r="AK27" i="1"/>
  <c r="AV27" i="1"/>
  <c r="BJ27" i="1"/>
  <c r="BU27" i="1"/>
  <c r="CI27" i="1"/>
  <c r="CW27" i="1"/>
  <c r="M27" i="1"/>
  <c r="X27" i="1"/>
  <c r="AL27" i="1"/>
  <c r="AW27" i="1"/>
  <c r="BK27" i="1"/>
  <c r="BY27" i="1"/>
  <c r="CJ27" i="1"/>
  <c r="N27" i="1"/>
  <c r="Y27" i="1"/>
  <c r="AM27" i="1"/>
  <c r="BA27" i="1"/>
  <c r="BL27" i="1"/>
  <c r="BZ27" i="1"/>
  <c r="CK27" i="1"/>
  <c r="O27" i="1"/>
  <c r="AC27" i="1"/>
  <c r="AN27" i="1"/>
  <c r="BB27" i="1"/>
  <c r="BM27" i="1"/>
  <c r="CA27" i="1"/>
  <c r="CO27" i="1"/>
  <c r="P27" i="1"/>
  <c r="AD27" i="1"/>
  <c r="AO27" i="1"/>
  <c r="BC27" i="1"/>
  <c r="BQ27" i="1"/>
  <c r="CB27" i="1"/>
  <c r="CP27" i="1"/>
  <c r="Q27" i="1"/>
  <c r="AE27" i="1"/>
  <c r="AS27" i="1"/>
  <c r="BD27" i="1"/>
  <c r="BR27" i="1"/>
  <c r="CC27" i="1"/>
  <c r="CQ27" i="1"/>
  <c r="U27" i="1"/>
  <c r="AF27" i="1"/>
  <c r="AT27" i="1"/>
  <c r="BE27" i="1"/>
  <c r="BS27" i="1"/>
  <c r="CG27" i="1"/>
  <c r="CR27" i="1"/>
  <c r="S19" i="1"/>
  <c r="AA19" i="1"/>
  <c r="AI19" i="1"/>
  <c r="AQ19" i="1"/>
  <c r="AY19" i="1"/>
  <c r="BG19" i="1"/>
  <c r="T19" i="1"/>
  <c r="AB19" i="1"/>
  <c r="AJ19" i="1"/>
  <c r="AR19" i="1"/>
  <c r="AZ19" i="1"/>
  <c r="BH19" i="1"/>
  <c r="BP19" i="1"/>
  <c r="BX19" i="1"/>
  <c r="CF19" i="1"/>
  <c r="CN19" i="1"/>
  <c r="CV19" i="1"/>
  <c r="M19" i="1"/>
  <c r="U19" i="1"/>
  <c r="AC19" i="1"/>
  <c r="AK19" i="1"/>
  <c r="AS19" i="1"/>
  <c r="BA19" i="1"/>
  <c r="BI19" i="1"/>
  <c r="BQ19" i="1"/>
  <c r="BY19" i="1"/>
  <c r="CG19" i="1"/>
  <c r="CO19" i="1"/>
  <c r="CW19" i="1"/>
  <c r="X19" i="1"/>
  <c r="AL19" i="1"/>
  <c r="AW19" i="1"/>
  <c r="BK19" i="1"/>
  <c r="BU19" i="1"/>
  <c r="CE19" i="1"/>
  <c r="CQ19" i="1"/>
  <c r="N19" i="1"/>
  <c r="Y19" i="1"/>
  <c r="AM19" i="1"/>
  <c r="AX19" i="1"/>
  <c r="BL19" i="1"/>
  <c r="BV19" i="1"/>
  <c r="CH19" i="1"/>
  <c r="CR19" i="1"/>
  <c r="O19" i="1"/>
  <c r="Z19" i="1"/>
  <c r="AN19" i="1"/>
  <c r="BB19" i="1"/>
  <c r="BM19" i="1"/>
  <c r="BW19" i="1"/>
  <c r="CI19" i="1"/>
  <c r="CS19" i="1"/>
  <c r="P19" i="1"/>
  <c r="AD19" i="1"/>
  <c r="AO19" i="1"/>
  <c r="BC19" i="1"/>
  <c r="BN19" i="1"/>
  <c r="BZ19" i="1"/>
  <c r="CJ19" i="1"/>
  <c r="CT19" i="1"/>
  <c r="Q19" i="1"/>
  <c r="AE19" i="1"/>
  <c r="AP19" i="1"/>
  <c r="BD19" i="1"/>
  <c r="BO19" i="1"/>
  <c r="CA19" i="1"/>
  <c r="CK19" i="1"/>
  <c r="CU19" i="1"/>
  <c r="R19" i="1"/>
  <c r="AF19" i="1"/>
  <c r="AT19" i="1"/>
  <c r="BE19" i="1"/>
  <c r="BR19" i="1"/>
  <c r="CB19" i="1"/>
  <c r="CL19" i="1"/>
  <c r="V19" i="1"/>
  <c r="AG19" i="1"/>
  <c r="AU19" i="1"/>
  <c r="BF19" i="1"/>
  <c r="BS19" i="1"/>
  <c r="CC19" i="1"/>
  <c r="CM19" i="1"/>
  <c r="W19" i="1"/>
  <c r="AH19" i="1"/>
  <c r="AV19" i="1"/>
  <c r="BJ19" i="1"/>
  <c r="BT19" i="1"/>
  <c r="CD19" i="1"/>
  <c r="CP19" i="1"/>
  <c r="R11" i="1"/>
  <c r="Z11" i="1"/>
  <c r="AH11" i="1"/>
  <c r="AP11" i="1"/>
  <c r="AX11" i="1"/>
  <c r="BF11" i="1"/>
  <c r="BN11" i="1"/>
  <c r="BV11" i="1"/>
  <c r="CD11" i="1"/>
  <c r="CL11" i="1"/>
  <c r="CT11" i="1"/>
  <c r="S11" i="1"/>
  <c r="AA11" i="1"/>
  <c r="AI11" i="1"/>
  <c r="AQ11" i="1"/>
  <c r="AY11" i="1"/>
  <c r="BG11" i="1"/>
  <c r="BO11" i="1"/>
  <c r="BW11" i="1"/>
  <c r="CE11" i="1"/>
  <c r="CM11" i="1"/>
  <c r="CU11" i="1"/>
  <c r="T11" i="1"/>
  <c r="AB11" i="1"/>
  <c r="AJ11" i="1"/>
  <c r="AR11" i="1"/>
  <c r="AZ11" i="1"/>
  <c r="BH11" i="1"/>
  <c r="BP11" i="1"/>
  <c r="BX11" i="1"/>
  <c r="CF11" i="1"/>
  <c r="CN11" i="1"/>
  <c r="CV11" i="1"/>
  <c r="O11" i="1"/>
  <c r="AC11" i="1"/>
  <c r="AN11" i="1"/>
  <c r="BB11" i="1"/>
  <c r="BM11" i="1"/>
  <c r="CA11" i="1"/>
  <c r="CO11" i="1"/>
  <c r="P11" i="1"/>
  <c r="AD11" i="1"/>
  <c r="AO11" i="1"/>
  <c r="BC11" i="1"/>
  <c r="BQ11" i="1"/>
  <c r="CB11" i="1"/>
  <c r="CP11" i="1"/>
  <c r="Q11" i="1"/>
  <c r="AE11" i="1"/>
  <c r="AS11" i="1"/>
  <c r="BD11" i="1"/>
  <c r="BR11" i="1"/>
  <c r="CC11" i="1"/>
  <c r="CQ11" i="1"/>
  <c r="U11" i="1"/>
  <c r="AF11" i="1"/>
  <c r="AT11" i="1"/>
  <c r="BE11" i="1"/>
  <c r="BS11" i="1"/>
  <c r="CG11" i="1"/>
  <c r="CR11" i="1"/>
  <c r="V11" i="1"/>
  <c r="AG11" i="1"/>
  <c r="AU11" i="1"/>
  <c r="BI11" i="1"/>
  <c r="BT11" i="1"/>
  <c r="CH11" i="1"/>
  <c r="CS11" i="1"/>
  <c r="W11" i="1"/>
  <c r="AK11" i="1"/>
  <c r="AV11" i="1"/>
  <c r="BJ11" i="1"/>
  <c r="BU11" i="1"/>
  <c r="CI11" i="1"/>
  <c r="CW11" i="1"/>
  <c r="M11" i="1"/>
  <c r="X11" i="1"/>
  <c r="AL11" i="1"/>
  <c r="AW11" i="1"/>
  <c r="BK11" i="1"/>
  <c r="BY11" i="1"/>
  <c r="CJ11" i="1"/>
  <c r="N11" i="1"/>
  <c r="Y11" i="1"/>
  <c r="AM11" i="1"/>
  <c r="BA11" i="1"/>
  <c r="BL11" i="1"/>
  <c r="BZ11" i="1"/>
  <c r="CK11" i="1"/>
  <c r="CU3" i="1"/>
  <c r="CM3" i="1"/>
  <c r="CE3" i="1"/>
  <c r="BW3" i="1"/>
  <c r="BO3" i="1"/>
  <c r="BG3" i="1"/>
  <c r="AY3" i="1"/>
  <c r="AQ3" i="1"/>
  <c r="AI3" i="1"/>
  <c r="AA3" i="1"/>
  <c r="S3" i="1"/>
  <c r="CU81" i="1"/>
  <c r="CM81" i="1"/>
  <c r="CE81" i="1"/>
  <c r="BW81" i="1"/>
  <c r="BO81" i="1"/>
  <c r="BG81" i="1"/>
  <c r="AY81" i="1"/>
  <c r="AP81" i="1"/>
  <c r="AG81" i="1"/>
  <c r="X81" i="1"/>
  <c r="O81" i="1"/>
  <c r="CP80" i="1"/>
  <c r="CG80" i="1"/>
  <c r="BX80" i="1"/>
  <c r="BO80" i="1"/>
  <c r="BF80" i="1"/>
  <c r="AW80" i="1"/>
  <c r="AN80" i="1"/>
  <c r="AD80" i="1"/>
  <c r="U80" i="1"/>
  <c r="CW79" i="1"/>
  <c r="CN79" i="1"/>
  <c r="CE79" i="1"/>
  <c r="BV79" i="1"/>
  <c r="BM79" i="1"/>
  <c r="BC79" i="1"/>
  <c r="AT79" i="1"/>
  <c r="AK79" i="1"/>
  <c r="AB79" i="1"/>
  <c r="S79" i="1"/>
  <c r="CU78" i="1"/>
  <c r="CL78" i="1"/>
  <c r="CB78" i="1"/>
  <c r="BS78" i="1"/>
  <c r="BJ78" i="1"/>
  <c r="AZ78" i="1"/>
  <c r="AN78" i="1"/>
  <c r="AD78" i="1"/>
  <c r="T78" i="1"/>
  <c r="CS77" i="1"/>
  <c r="CI77" i="1"/>
  <c r="BU77" i="1"/>
  <c r="BJ77" i="1"/>
  <c r="AV77" i="1"/>
  <c r="AK77" i="1"/>
  <c r="W77" i="1"/>
  <c r="CT76" i="1"/>
  <c r="CI76" i="1"/>
  <c r="BU76" i="1"/>
  <c r="BJ76" i="1"/>
  <c r="AV76" i="1"/>
  <c r="AH76" i="1"/>
  <c r="W76" i="1"/>
  <c r="CT75" i="1"/>
  <c r="CI75" i="1"/>
  <c r="BU75" i="1"/>
  <c r="BG75" i="1"/>
  <c r="AV75" i="1"/>
  <c r="AH75" i="1"/>
  <c r="W75" i="1"/>
  <c r="CT74" i="1"/>
  <c r="CF74" i="1"/>
  <c r="BU74" i="1"/>
  <c r="BG74" i="1"/>
  <c r="AV74" i="1"/>
  <c r="AH74" i="1"/>
  <c r="CT73" i="1"/>
  <c r="CF73" i="1"/>
  <c r="BU73" i="1"/>
  <c r="BG73" i="1"/>
  <c r="AS73" i="1"/>
  <c r="AH73" i="1"/>
  <c r="T73" i="1"/>
  <c r="CT72" i="1"/>
  <c r="CF72" i="1"/>
  <c r="BR72" i="1"/>
  <c r="BG72" i="1"/>
  <c r="AS72" i="1"/>
  <c r="AH72" i="1"/>
  <c r="S72" i="1"/>
  <c r="CE71" i="1"/>
  <c r="W71" i="1"/>
  <c r="AQ70" i="1"/>
  <c r="M74" i="1"/>
  <c r="U74" i="1"/>
  <c r="AC74" i="1"/>
  <c r="AK74" i="1"/>
  <c r="AS74" i="1"/>
  <c r="BA74" i="1"/>
  <c r="BI74" i="1"/>
  <c r="BQ74" i="1"/>
  <c r="BY74" i="1"/>
  <c r="CG74" i="1"/>
  <c r="CO74" i="1"/>
  <c r="CW74" i="1"/>
  <c r="N74" i="1"/>
  <c r="V74" i="1"/>
  <c r="AD74" i="1"/>
  <c r="AL74" i="1"/>
  <c r="AT74" i="1"/>
  <c r="BB74" i="1"/>
  <c r="BJ74" i="1"/>
  <c r="BR74" i="1"/>
  <c r="BZ74" i="1"/>
  <c r="CH74" i="1"/>
  <c r="CP74" i="1"/>
  <c r="O74" i="1"/>
  <c r="W74" i="1"/>
  <c r="AE74" i="1"/>
  <c r="AM74" i="1"/>
  <c r="AU74" i="1"/>
  <c r="BC74" i="1"/>
  <c r="BK74" i="1"/>
  <c r="BS74" i="1"/>
  <c r="CA74" i="1"/>
  <c r="CI74" i="1"/>
  <c r="CQ74" i="1"/>
  <c r="M66" i="1"/>
  <c r="U66" i="1"/>
  <c r="AC66" i="1"/>
  <c r="AK66" i="1"/>
  <c r="AS66" i="1"/>
  <c r="BA66" i="1"/>
  <c r="BI66" i="1"/>
  <c r="BQ66" i="1"/>
  <c r="BY66" i="1"/>
  <c r="CG66" i="1"/>
  <c r="CO66" i="1"/>
  <c r="CW66" i="1"/>
  <c r="N66" i="1"/>
  <c r="V66" i="1"/>
  <c r="AD66" i="1"/>
  <c r="AL66" i="1"/>
  <c r="AT66" i="1"/>
  <c r="BB66" i="1"/>
  <c r="BJ66" i="1"/>
  <c r="BR66" i="1"/>
  <c r="BZ66" i="1"/>
  <c r="CH66" i="1"/>
  <c r="CP66" i="1"/>
  <c r="O66" i="1"/>
  <c r="W66" i="1"/>
  <c r="AE66" i="1"/>
  <c r="AM66" i="1"/>
  <c r="AU66" i="1"/>
  <c r="BC66" i="1"/>
  <c r="BK66" i="1"/>
  <c r="BS66" i="1"/>
  <c r="CA66" i="1"/>
  <c r="CI66" i="1"/>
  <c r="CQ66" i="1"/>
  <c r="Z66" i="1"/>
  <c r="AN66" i="1"/>
  <c r="AY66" i="1"/>
  <c r="BM66" i="1"/>
  <c r="BX66" i="1"/>
  <c r="CL66" i="1"/>
  <c r="P66" i="1"/>
  <c r="AA66" i="1"/>
  <c r="AO66" i="1"/>
  <c r="AZ66" i="1"/>
  <c r="BN66" i="1"/>
  <c r="CB66" i="1"/>
  <c r="CM66" i="1"/>
  <c r="Q66" i="1"/>
  <c r="AB66" i="1"/>
  <c r="AP66" i="1"/>
  <c r="BD66" i="1"/>
  <c r="BO66" i="1"/>
  <c r="CC66" i="1"/>
  <c r="CN66" i="1"/>
  <c r="R66" i="1"/>
  <c r="AF66" i="1"/>
  <c r="AQ66" i="1"/>
  <c r="BE66" i="1"/>
  <c r="BP66" i="1"/>
  <c r="CD66" i="1"/>
  <c r="CR66" i="1"/>
  <c r="S66" i="1"/>
  <c r="AG66" i="1"/>
  <c r="AR66" i="1"/>
  <c r="BF66" i="1"/>
  <c r="BT66" i="1"/>
  <c r="CE66" i="1"/>
  <c r="CS66" i="1"/>
  <c r="T66" i="1"/>
  <c r="AH66" i="1"/>
  <c r="AV66" i="1"/>
  <c r="BG66" i="1"/>
  <c r="BU66" i="1"/>
  <c r="CF66" i="1"/>
  <c r="CT66" i="1"/>
  <c r="X66" i="1"/>
  <c r="AI66" i="1"/>
  <c r="AW66" i="1"/>
  <c r="BH66" i="1"/>
  <c r="BV66" i="1"/>
  <c r="CJ66" i="1"/>
  <c r="CU66" i="1"/>
  <c r="Y66" i="1"/>
  <c r="AJ66" i="1"/>
  <c r="AX66" i="1"/>
  <c r="BL66" i="1"/>
  <c r="BW66" i="1"/>
  <c r="CK66" i="1"/>
  <c r="CV66" i="1"/>
  <c r="M58" i="1"/>
  <c r="U58" i="1"/>
  <c r="AC58" i="1"/>
  <c r="AK58" i="1"/>
  <c r="AS58" i="1"/>
  <c r="BA58" i="1"/>
  <c r="BI58" i="1"/>
  <c r="BQ58" i="1"/>
  <c r="BY58" i="1"/>
  <c r="CG58" i="1"/>
  <c r="CO58" i="1"/>
  <c r="CW58" i="1"/>
  <c r="N58" i="1"/>
  <c r="V58" i="1"/>
  <c r="AD58" i="1"/>
  <c r="AL58" i="1"/>
  <c r="AT58" i="1"/>
  <c r="BB58" i="1"/>
  <c r="BJ58" i="1"/>
  <c r="BR58" i="1"/>
  <c r="BZ58" i="1"/>
  <c r="CH58" i="1"/>
  <c r="CP58" i="1"/>
  <c r="O58" i="1"/>
  <c r="W58" i="1"/>
  <c r="AE58" i="1"/>
  <c r="AM58" i="1"/>
  <c r="AU58" i="1"/>
  <c r="BC58" i="1"/>
  <c r="BK58" i="1"/>
  <c r="BS58" i="1"/>
  <c r="CA58" i="1"/>
  <c r="CI58" i="1"/>
  <c r="CQ58" i="1"/>
  <c r="P58" i="1"/>
  <c r="X58" i="1"/>
  <c r="AF58" i="1"/>
  <c r="AN58" i="1"/>
  <c r="AV58" i="1"/>
  <c r="BD58" i="1"/>
  <c r="BL58" i="1"/>
  <c r="BT58" i="1"/>
  <c r="CB58" i="1"/>
  <c r="CJ58" i="1"/>
  <c r="CR58" i="1"/>
  <c r="Q58" i="1"/>
  <c r="Y58" i="1"/>
  <c r="AG58" i="1"/>
  <c r="AO58" i="1"/>
  <c r="AW58" i="1"/>
  <c r="BE58" i="1"/>
  <c r="BM58" i="1"/>
  <c r="BU58" i="1"/>
  <c r="R58" i="1"/>
  <c r="Z58" i="1"/>
  <c r="AH58" i="1"/>
  <c r="AP58" i="1"/>
  <c r="AX58" i="1"/>
  <c r="BF58" i="1"/>
  <c r="BN58" i="1"/>
  <c r="BV58" i="1"/>
  <c r="CD58" i="1"/>
  <c r="CL58" i="1"/>
  <c r="CT58" i="1"/>
  <c r="S58" i="1"/>
  <c r="AA58" i="1"/>
  <c r="AI58" i="1"/>
  <c r="AQ58" i="1"/>
  <c r="AY58" i="1"/>
  <c r="BG58" i="1"/>
  <c r="BO58" i="1"/>
  <c r="BW58" i="1"/>
  <c r="CE58" i="1"/>
  <c r="CM58" i="1"/>
  <c r="CU58" i="1"/>
  <c r="T58" i="1"/>
  <c r="AB58" i="1"/>
  <c r="AJ58" i="1"/>
  <c r="AR58" i="1"/>
  <c r="AZ58" i="1"/>
  <c r="BH58" i="1"/>
  <c r="BP58" i="1"/>
  <c r="BX58" i="1"/>
  <c r="CF58" i="1"/>
  <c r="CN58" i="1"/>
  <c r="CV58" i="1"/>
  <c r="CC58" i="1"/>
  <c r="CK58" i="1"/>
  <c r="CS58" i="1"/>
  <c r="R50" i="1"/>
  <c r="Z50" i="1"/>
  <c r="AH50" i="1"/>
  <c r="AP50" i="1"/>
  <c r="AX50" i="1"/>
  <c r="BF50" i="1"/>
  <c r="BN50" i="1"/>
  <c r="BV50" i="1"/>
  <c r="CD50" i="1"/>
  <c r="CL50" i="1"/>
  <c r="CT50" i="1"/>
  <c r="U50" i="1"/>
  <c r="AD50" i="1"/>
  <c r="AM50" i="1"/>
  <c r="AV50" i="1"/>
  <c r="BE50" i="1"/>
  <c r="BO50" i="1"/>
  <c r="BX50" i="1"/>
  <c r="CG50" i="1"/>
  <c r="CP50" i="1"/>
  <c r="M50" i="1"/>
  <c r="V50" i="1"/>
  <c r="AE50" i="1"/>
  <c r="AN50" i="1"/>
  <c r="AW50" i="1"/>
  <c r="BG50" i="1"/>
  <c r="BP50" i="1"/>
  <c r="BY50" i="1"/>
  <c r="CH50" i="1"/>
  <c r="CQ50" i="1"/>
  <c r="N50" i="1"/>
  <c r="W50" i="1"/>
  <c r="AF50" i="1"/>
  <c r="AO50" i="1"/>
  <c r="AY50" i="1"/>
  <c r="BH50" i="1"/>
  <c r="BQ50" i="1"/>
  <c r="BZ50" i="1"/>
  <c r="CI50" i="1"/>
  <c r="CR50" i="1"/>
  <c r="O50" i="1"/>
  <c r="X50" i="1"/>
  <c r="AG50" i="1"/>
  <c r="AQ50" i="1"/>
  <c r="AZ50" i="1"/>
  <c r="BI50" i="1"/>
  <c r="BR50" i="1"/>
  <c r="CA50" i="1"/>
  <c r="CJ50" i="1"/>
  <c r="CS50" i="1"/>
  <c r="P50" i="1"/>
  <c r="Y50" i="1"/>
  <c r="AI50" i="1"/>
  <c r="AR50" i="1"/>
  <c r="BA50" i="1"/>
  <c r="BJ50" i="1"/>
  <c r="BS50" i="1"/>
  <c r="CB50" i="1"/>
  <c r="CK50" i="1"/>
  <c r="CU50" i="1"/>
  <c r="Q50" i="1"/>
  <c r="AA50" i="1"/>
  <c r="AJ50" i="1"/>
  <c r="AS50" i="1"/>
  <c r="BB50" i="1"/>
  <c r="BK50" i="1"/>
  <c r="BT50" i="1"/>
  <c r="CC50" i="1"/>
  <c r="CM50" i="1"/>
  <c r="CV50" i="1"/>
  <c r="S50" i="1"/>
  <c r="AB50" i="1"/>
  <c r="AK50" i="1"/>
  <c r="AT50" i="1"/>
  <c r="BC50" i="1"/>
  <c r="BL50" i="1"/>
  <c r="BU50" i="1"/>
  <c r="CE50" i="1"/>
  <c r="CN50" i="1"/>
  <c r="CW50" i="1"/>
  <c r="T50" i="1"/>
  <c r="AC50" i="1"/>
  <c r="AL50" i="1"/>
  <c r="AU50" i="1"/>
  <c r="BD50" i="1"/>
  <c r="BM50" i="1"/>
  <c r="BW50" i="1"/>
  <c r="CF50" i="1"/>
  <c r="CO50" i="1"/>
  <c r="R42" i="1"/>
  <c r="Z42" i="1"/>
  <c r="AH42" i="1"/>
  <c r="AP42" i="1"/>
  <c r="AX42" i="1"/>
  <c r="BF42" i="1"/>
  <c r="BN42" i="1"/>
  <c r="BV42" i="1"/>
  <c r="CD42" i="1"/>
  <c r="CL42" i="1"/>
  <c r="CT42" i="1"/>
  <c r="S42" i="1"/>
  <c r="AA42" i="1"/>
  <c r="AI42" i="1"/>
  <c r="AQ42" i="1"/>
  <c r="AY42" i="1"/>
  <c r="BG42" i="1"/>
  <c r="BO42" i="1"/>
  <c r="BW42" i="1"/>
  <c r="CE42" i="1"/>
  <c r="CM42" i="1"/>
  <c r="CU42" i="1"/>
  <c r="T42" i="1"/>
  <c r="AB42" i="1"/>
  <c r="AJ42" i="1"/>
  <c r="AR42" i="1"/>
  <c r="AZ42" i="1"/>
  <c r="BH42" i="1"/>
  <c r="BP42" i="1"/>
  <c r="BX42" i="1"/>
  <c r="CF42" i="1"/>
  <c r="CN42" i="1"/>
  <c r="CV42" i="1"/>
  <c r="M42" i="1"/>
  <c r="U42" i="1"/>
  <c r="AC42" i="1"/>
  <c r="O42" i="1"/>
  <c r="W42" i="1"/>
  <c r="AE42" i="1"/>
  <c r="P42" i="1"/>
  <c r="X42" i="1"/>
  <c r="AF42" i="1"/>
  <c r="AT42" i="1"/>
  <c r="BE42" i="1"/>
  <c r="BS42" i="1"/>
  <c r="CG42" i="1"/>
  <c r="CR42" i="1"/>
  <c r="AG42" i="1"/>
  <c r="AU42" i="1"/>
  <c r="BI42" i="1"/>
  <c r="BT42" i="1"/>
  <c r="CH42" i="1"/>
  <c r="CS42" i="1"/>
  <c r="AK42" i="1"/>
  <c r="AV42" i="1"/>
  <c r="BJ42" i="1"/>
  <c r="BU42" i="1"/>
  <c r="CI42" i="1"/>
  <c r="CW42" i="1"/>
  <c r="N42" i="1"/>
  <c r="AL42" i="1"/>
  <c r="AW42" i="1"/>
  <c r="BK42" i="1"/>
  <c r="BY42" i="1"/>
  <c r="CJ42" i="1"/>
  <c r="Q42" i="1"/>
  <c r="AM42" i="1"/>
  <c r="BA42" i="1"/>
  <c r="BL42" i="1"/>
  <c r="BZ42" i="1"/>
  <c r="CK42" i="1"/>
  <c r="V42" i="1"/>
  <c r="AN42" i="1"/>
  <c r="BB42" i="1"/>
  <c r="BM42" i="1"/>
  <c r="CA42" i="1"/>
  <c r="CO42" i="1"/>
  <c r="Y42" i="1"/>
  <c r="AO42" i="1"/>
  <c r="BC42" i="1"/>
  <c r="BQ42" i="1"/>
  <c r="CB42" i="1"/>
  <c r="CP42" i="1"/>
  <c r="AD42" i="1"/>
  <c r="AS42" i="1"/>
  <c r="BD42" i="1"/>
  <c r="BR42" i="1"/>
  <c r="CC42" i="1"/>
  <c r="CQ42" i="1"/>
  <c r="M34" i="1"/>
  <c r="U34" i="1"/>
  <c r="AC34" i="1"/>
  <c r="AK34" i="1"/>
  <c r="AS34" i="1"/>
  <c r="BA34" i="1"/>
  <c r="BI34" i="1"/>
  <c r="BQ34" i="1"/>
  <c r="BY34" i="1"/>
  <c r="CG34" i="1"/>
  <c r="CO34" i="1"/>
  <c r="CW34" i="1"/>
  <c r="N34" i="1"/>
  <c r="V34" i="1"/>
  <c r="AD34" i="1"/>
  <c r="AL34" i="1"/>
  <c r="AT34" i="1"/>
  <c r="BB34" i="1"/>
  <c r="BJ34" i="1"/>
  <c r="BR34" i="1"/>
  <c r="BZ34" i="1"/>
  <c r="CH34" i="1"/>
  <c r="CP34" i="1"/>
  <c r="O34" i="1"/>
  <c r="W34" i="1"/>
  <c r="AE34" i="1"/>
  <c r="AM34" i="1"/>
  <c r="AU34" i="1"/>
  <c r="BC34" i="1"/>
  <c r="BK34" i="1"/>
  <c r="BS34" i="1"/>
  <c r="CA34" i="1"/>
  <c r="CI34" i="1"/>
  <c r="CQ34" i="1"/>
  <c r="P34" i="1"/>
  <c r="X34" i="1"/>
  <c r="AF34" i="1"/>
  <c r="AN34" i="1"/>
  <c r="AV34" i="1"/>
  <c r="BD34" i="1"/>
  <c r="BL34" i="1"/>
  <c r="BT34" i="1"/>
  <c r="CB34" i="1"/>
  <c r="CJ34" i="1"/>
  <c r="CR34" i="1"/>
  <c r="S34" i="1"/>
  <c r="T34" i="1"/>
  <c r="AB34" i="1"/>
  <c r="Q34" i="1"/>
  <c r="AJ34" i="1"/>
  <c r="AZ34" i="1"/>
  <c r="BP34" i="1"/>
  <c r="CF34" i="1"/>
  <c r="CV34" i="1"/>
  <c r="R34" i="1"/>
  <c r="AO34" i="1"/>
  <c r="BE34" i="1"/>
  <c r="BU34" i="1"/>
  <c r="CK34" i="1"/>
  <c r="Y34" i="1"/>
  <c r="AP34" i="1"/>
  <c r="BF34" i="1"/>
  <c r="BV34" i="1"/>
  <c r="CL34" i="1"/>
  <c r="Z34" i="1"/>
  <c r="AQ34" i="1"/>
  <c r="BG34" i="1"/>
  <c r="BW34" i="1"/>
  <c r="CM34" i="1"/>
  <c r="AA34" i="1"/>
  <c r="AR34" i="1"/>
  <c r="BH34" i="1"/>
  <c r="BX34" i="1"/>
  <c r="CN34" i="1"/>
  <c r="AG34" i="1"/>
  <c r="AW34" i="1"/>
  <c r="BM34" i="1"/>
  <c r="CC34" i="1"/>
  <c r="CS34" i="1"/>
  <c r="AH34" i="1"/>
  <c r="AX34" i="1"/>
  <c r="BN34" i="1"/>
  <c r="CD34" i="1"/>
  <c r="CT34" i="1"/>
  <c r="AI34" i="1"/>
  <c r="AY34" i="1"/>
  <c r="BO34" i="1"/>
  <c r="CE34" i="1"/>
  <c r="CU34" i="1"/>
  <c r="S26" i="1"/>
  <c r="AA26" i="1"/>
  <c r="AI26" i="1"/>
  <c r="AQ26" i="1"/>
  <c r="AY26" i="1"/>
  <c r="BG26" i="1"/>
  <c r="BO26" i="1"/>
  <c r="BW26" i="1"/>
  <c r="CE26" i="1"/>
  <c r="CM26" i="1"/>
  <c r="CU26" i="1"/>
  <c r="T26" i="1"/>
  <c r="AB26" i="1"/>
  <c r="AJ26" i="1"/>
  <c r="AR26" i="1"/>
  <c r="AZ26" i="1"/>
  <c r="BH26" i="1"/>
  <c r="BP26" i="1"/>
  <c r="BX26" i="1"/>
  <c r="CF26" i="1"/>
  <c r="CN26" i="1"/>
  <c r="CV26" i="1"/>
  <c r="M26" i="1"/>
  <c r="U26" i="1"/>
  <c r="AC26" i="1"/>
  <c r="AK26" i="1"/>
  <c r="AS26" i="1"/>
  <c r="BA26" i="1"/>
  <c r="BI26" i="1"/>
  <c r="BQ26" i="1"/>
  <c r="BY26" i="1"/>
  <c r="CG26" i="1"/>
  <c r="CO26" i="1"/>
  <c r="CW26" i="1"/>
  <c r="N26" i="1"/>
  <c r="V26" i="1"/>
  <c r="AD26" i="1"/>
  <c r="AL26" i="1"/>
  <c r="AT26" i="1"/>
  <c r="BB26" i="1"/>
  <c r="BJ26" i="1"/>
  <c r="BR26" i="1"/>
  <c r="BZ26" i="1"/>
  <c r="CH26" i="1"/>
  <c r="R26" i="1"/>
  <c r="AH26" i="1"/>
  <c r="AX26" i="1"/>
  <c r="BN26" i="1"/>
  <c r="CD26" i="1"/>
  <c r="CS26" i="1"/>
  <c r="W26" i="1"/>
  <c r="AM26" i="1"/>
  <c r="BC26" i="1"/>
  <c r="BS26" i="1"/>
  <c r="CI26" i="1"/>
  <c r="CT26" i="1"/>
  <c r="X26" i="1"/>
  <c r="AN26" i="1"/>
  <c r="BD26" i="1"/>
  <c r="BT26" i="1"/>
  <c r="CJ26" i="1"/>
  <c r="Y26" i="1"/>
  <c r="AO26" i="1"/>
  <c r="BE26" i="1"/>
  <c r="BU26" i="1"/>
  <c r="CK26" i="1"/>
  <c r="Z26" i="1"/>
  <c r="AP26" i="1"/>
  <c r="BF26" i="1"/>
  <c r="BV26" i="1"/>
  <c r="CL26" i="1"/>
  <c r="O26" i="1"/>
  <c r="AE26" i="1"/>
  <c r="AU26" i="1"/>
  <c r="BK26" i="1"/>
  <c r="CA26" i="1"/>
  <c r="CP26" i="1"/>
  <c r="P26" i="1"/>
  <c r="AF26" i="1"/>
  <c r="AV26" i="1"/>
  <c r="BL26" i="1"/>
  <c r="CB26" i="1"/>
  <c r="CQ26" i="1"/>
  <c r="Q26" i="1"/>
  <c r="AG26" i="1"/>
  <c r="AW26" i="1"/>
  <c r="BM26" i="1"/>
  <c r="CC26" i="1"/>
  <c r="CR26" i="1"/>
  <c r="T18" i="1"/>
  <c r="AB18" i="1"/>
  <c r="AJ18" i="1"/>
  <c r="AR18" i="1"/>
  <c r="AZ18" i="1"/>
  <c r="BH18" i="1"/>
  <c r="BP18" i="1"/>
  <c r="BX18" i="1"/>
  <c r="CF18" i="1"/>
  <c r="CN18" i="1"/>
  <c r="CV18" i="1"/>
  <c r="M18" i="1"/>
  <c r="U18" i="1"/>
  <c r="AC18" i="1"/>
  <c r="AK18" i="1"/>
  <c r="AS18" i="1"/>
  <c r="BA18" i="1"/>
  <c r="BI18" i="1"/>
  <c r="BQ18" i="1"/>
  <c r="BY18" i="1"/>
  <c r="CG18" i="1"/>
  <c r="CO18" i="1"/>
  <c r="CW18" i="1"/>
  <c r="N18" i="1"/>
  <c r="V18" i="1"/>
  <c r="AD18" i="1"/>
  <c r="AL18" i="1"/>
  <c r="AT18" i="1"/>
  <c r="BB18" i="1"/>
  <c r="BJ18" i="1"/>
  <c r="BR18" i="1"/>
  <c r="BZ18" i="1"/>
  <c r="CH18" i="1"/>
  <c r="CP18" i="1"/>
  <c r="O18" i="1"/>
  <c r="W18" i="1"/>
  <c r="AE18" i="1"/>
  <c r="AM18" i="1"/>
  <c r="AU18" i="1"/>
  <c r="BC18" i="1"/>
  <c r="BK18" i="1"/>
  <c r="BS18" i="1"/>
  <c r="CA18" i="1"/>
  <c r="Q18" i="1"/>
  <c r="Y18" i="1"/>
  <c r="AG18" i="1"/>
  <c r="AO18" i="1"/>
  <c r="AW18" i="1"/>
  <c r="R18" i="1"/>
  <c r="Z18" i="1"/>
  <c r="AH18" i="1"/>
  <c r="AP18" i="1"/>
  <c r="AX18" i="1"/>
  <c r="BF18" i="1"/>
  <c r="BN18" i="1"/>
  <c r="BV18" i="1"/>
  <c r="CD18" i="1"/>
  <c r="CL18" i="1"/>
  <c r="CT18" i="1"/>
  <c r="S18" i="1"/>
  <c r="AA18" i="1"/>
  <c r="AI18" i="1"/>
  <c r="BL18" i="1"/>
  <c r="CE18" i="1"/>
  <c r="CU18" i="1"/>
  <c r="AN18" i="1"/>
  <c r="BM18" i="1"/>
  <c r="CI18" i="1"/>
  <c r="AQ18" i="1"/>
  <c r="BO18" i="1"/>
  <c r="CJ18" i="1"/>
  <c r="AV18" i="1"/>
  <c r="BT18" i="1"/>
  <c r="CK18" i="1"/>
  <c r="AY18" i="1"/>
  <c r="BU18" i="1"/>
  <c r="CM18" i="1"/>
  <c r="P18" i="1"/>
  <c r="BD18" i="1"/>
  <c r="BW18" i="1"/>
  <c r="CQ18" i="1"/>
  <c r="X18" i="1"/>
  <c r="BE18" i="1"/>
  <c r="CB18" i="1"/>
  <c r="CR18" i="1"/>
  <c r="AF18" i="1"/>
  <c r="BG18" i="1"/>
  <c r="CC18" i="1"/>
  <c r="CS18" i="1"/>
  <c r="S10" i="1"/>
  <c r="AA10" i="1"/>
  <c r="AI10" i="1"/>
  <c r="AQ10" i="1"/>
  <c r="AY10" i="1"/>
  <c r="BG10" i="1"/>
  <c r="BO10" i="1"/>
  <c r="BW10" i="1"/>
  <c r="CE10" i="1"/>
  <c r="CM10" i="1"/>
  <c r="CU10" i="1"/>
  <c r="T10" i="1"/>
  <c r="AB10" i="1"/>
  <c r="AJ10" i="1"/>
  <c r="AR10" i="1"/>
  <c r="AZ10" i="1"/>
  <c r="BH10" i="1"/>
  <c r="BP10" i="1"/>
  <c r="BX10" i="1"/>
  <c r="CF10" i="1"/>
  <c r="CN10" i="1"/>
  <c r="CV10" i="1"/>
  <c r="M10" i="1"/>
  <c r="U10" i="1"/>
  <c r="AC10" i="1"/>
  <c r="AK10" i="1"/>
  <c r="AS10" i="1"/>
  <c r="BA10" i="1"/>
  <c r="BI10" i="1"/>
  <c r="BQ10" i="1"/>
  <c r="BY10" i="1"/>
  <c r="CG10" i="1"/>
  <c r="CO10" i="1"/>
  <c r="CW10" i="1"/>
  <c r="O10" i="1"/>
  <c r="Z10" i="1"/>
  <c r="AN10" i="1"/>
  <c r="BB10" i="1"/>
  <c r="BM10" i="1"/>
  <c r="CA10" i="1"/>
  <c r="CL10" i="1"/>
  <c r="P10" i="1"/>
  <c r="AD10" i="1"/>
  <c r="AO10" i="1"/>
  <c r="BC10" i="1"/>
  <c r="BN10" i="1"/>
  <c r="CB10" i="1"/>
  <c r="CP10" i="1"/>
  <c r="Q10" i="1"/>
  <c r="AE10" i="1"/>
  <c r="AP10" i="1"/>
  <c r="BD10" i="1"/>
  <c r="BR10" i="1"/>
  <c r="CC10" i="1"/>
  <c r="CQ10" i="1"/>
  <c r="R10" i="1"/>
  <c r="AF10" i="1"/>
  <c r="AT10" i="1"/>
  <c r="BE10" i="1"/>
  <c r="BS10" i="1"/>
  <c r="CD10" i="1"/>
  <c r="CR10" i="1"/>
  <c r="V10" i="1"/>
  <c r="AG10" i="1"/>
  <c r="AU10" i="1"/>
  <c r="BF10" i="1"/>
  <c r="BT10" i="1"/>
  <c r="CH10" i="1"/>
  <c r="CS10" i="1"/>
  <c r="W10" i="1"/>
  <c r="AH10" i="1"/>
  <c r="AV10" i="1"/>
  <c r="BJ10" i="1"/>
  <c r="BU10" i="1"/>
  <c r="CI10" i="1"/>
  <c r="CT10" i="1"/>
  <c r="X10" i="1"/>
  <c r="AL10" i="1"/>
  <c r="AW10" i="1"/>
  <c r="BK10" i="1"/>
  <c r="BV10" i="1"/>
  <c r="CJ10" i="1"/>
  <c r="N10" i="1"/>
  <c r="Y10" i="1"/>
  <c r="AM10" i="1"/>
  <c r="AX10" i="1"/>
  <c r="BL10" i="1"/>
  <c r="BZ10" i="1"/>
  <c r="CK10" i="1"/>
  <c r="CT3" i="1"/>
  <c r="CL3" i="1"/>
  <c r="CD3" i="1"/>
  <c r="BV3" i="1"/>
  <c r="BN3" i="1"/>
  <c r="BF3" i="1"/>
  <c r="AX3" i="1"/>
  <c r="AP3" i="1"/>
  <c r="AH3" i="1"/>
  <c r="Z3" i="1"/>
  <c r="R3" i="1"/>
  <c r="CT81" i="1"/>
  <c r="CL81" i="1"/>
  <c r="CD81" i="1"/>
  <c r="BV81" i="1"/>
  <c r="BN81" i="1"/>
  <c r="BF81" i="1"/>
  <c r="AX81" i="1"/>
  <c r="AO81" i="1"/>
  <c r="AF81" i="1"/>
  <c r="W81" i="1"/>
  <c r="CO80" i="1"/>
  <c r="CF80" i="1"/>
  <c r="BW80" i="1"/>
  <c r="BN80" i="1"/>
  <c r="BE80" i="1"/>
  <c r="AV80" i="1"/>
  <c r="AL80" i="1"/>
  <c r="AC80" i="1"/>
  <c r="T80" i="1"/>
  <c r="CV79" i="1"/>
  <c r="CM79" i="1"/>
  <c r="CD79" i="1"/>
  <c r="BU79" i="1"/>
  <c r="BK79" i="1"/>
  <c r="BB79" i="1"/>
  <c r="AS79" i="1"/>
  <c r="AJ79" i="1"/>
  <c r="AA79" i="1"/>
  <c r="R79" i="1"/>
  <c r="CT78" i="1"/>
  <c r="CJ78" i="1"/>
  <c r="CA78" i="1"/>
  <c r="BR78" i="1"/>
  <c r="BI78" i="1"/>
  <c r="AX78" i="1"/>
  <c r="AM78" i="1"/>
  <c r="AC78" i="1"/>
  <c r="R78" i="1"/>
  <c r="CR77" i="1"/>
  <c r="CH77" i="1"/>
  <c r="BT77" i="1"/>
  <c r="BI77" i="1"/>
  <c r="AU77" i="1"/>
  <c r="AG77" i="1"/>
  <c r="V77" i="1"/>
  <c r="CS76" i="1"/>
  <c r="CH76" i="1"/>
  <c r="BT76" i="1"/>
  <c r="BF76" i="1"/>
  <c r="AU76" i="1"/>
  <c r="AG76" i="1"/>
  <c r="V76" i="1"/>
  <c r="CS75" i="1"/>
  <c r="CE75" i="1"/>
  <c r="BT75" i="1"/>
  <c r="BF75" i="1"/>
  <c r="AU75" i="1"/>
  <c r="AG75" i="1"/>
  <c r="S75" i="1"/>
  <c r="CS74" i="1"/>
  <c r="CE74" i="1"/>
  <c r="BT74" i="1"/>
  <c r="BF74" i="1"/>
  <c r="AR74" i="1"/>
  <c r="AG74" i="1"/>
  <c r="S74" i="1"/>
  <c r="CS73" i="1"/>
  <c r="CE73" i="1"/>
  <c r="BQ73" i="1"/>
  <c r="BF73" i="1"/>
  <c r="AR73" i="1"/>
  <c r="AG73" i="1"/>
  <c r="CP72" i="1"/>
  <c r="CE72" i="1"/>
  <c r="BQ72" i="1"/>
  <c r="BF72" i="1"/>
  <c r="AR72" i="1"/>
  <c r="AD72" i="1"/>
  <c r="R72" i="1"/>
  <c r="CA71" i="1"/>
  <c r="O71" i="1"/>
  <c r="AH70" i="1"/>
  <c r="N81" i="1"/>
  <c r="V81" i="1"/>
  <c r="AD81" i="1"/>
  <c r="AL81" i="1"/>
  <c r="AT81" i="1"/>
  <c r="N73" i="1"/>
  <c r="V73" i="1"/>
  <c r="AD73" i="1"/>
  <c r="AL73" i="1"/>
  <c r="AT73" i="1"/>
  <c r="BB73" i="1"/>
  <c r="BJ73" i="1"/>
  <c r="BR73" i="1"/>
  <c r="BZ73" i="1"/>
  <c r="CH73" i="1"/>
  <c r="CP73" i="1"/>
  <c r="O73" i="1"/>
  <c r="W73" i="1"/>
  <c r="AE73" i="1"/>
  <c r="AM73" i="1"/>
  <c r="AU73" i="1"/>
  <c r="BC73" i="1"/>
  <c r="BK73" i="1"/>
  <c r="BS73" i="1"/>
  <c r="CA73" i="1"/>
  <c r="CI73" i="1"/>
  <c r="CQ73" i="1"/>
  <c r="P73" i="1"/>
  <c r="X73" i="1"/>
  <c r="AF73" i="1"/>
  <c r="AN73" i="1"/>
  <c r="AV73" i="1"/>
  <c r="BD73" i="1"/>
  <c r="BL73" i="1"/>
  <c r="BT73" i="1"/>
  <c r="CB73" i="1"/>
  <c r="CJ73" i="1"/>
  <c r="CR73" i="1"/>
  <c r="N65" i="1"/>
  <c r="V65" i="1"/>
  <c r="AD65" i="1"/>
  <c r="AL65" i="1"/>
  <c r="AT65" i="1"/>
  <c r="BB65" i="1"/>
  <c r="BJ65" i="1"/>
  <c r="BR65" i="1"/>
  <c r="BZ65" i="1"/>
  <c r="CH65" i="1"/>
  <c r="CP65" i="1"/>
  <c r="O65" i="1"/>
  <c r="W65" i="1"/>
  <c r="AE65" i="1"/>
  <c r="AM65" i="1"/>
  <c r="AU65" i="1"/>
  <c r="BC65" i="1"/>
  <c r="BK65" i="1"/>
  <c r="BS65" i="1"/>
  <c r="CA65" i="1"/>
  <c r="CI65" i="1"/>
  <c r="CQ65" i="1"/>
  <c r="P65" i="1"/>
  <c r="X65" i="1"/>
  <c r="AF65" i="1"/>
  <c r="AN65" i="1"/>
  <c r="AV65" i="1"/>
  <c r="BD65" i="1"/>
  <c r="BL65" i="1"/>
  <c r="BT65" i="1"/>
  <c r="CB65" i="1"/>
  <c r="CJ65" i="1"/>
  <c r="CR65" i="1"/>
  <c r="Z65" i="1"/>
  <c r="AK65" i="1"/>
  <c r="AY65" i="1"/>
  <c r="BM65" i="1"/>
  <c r="BX65" i="1"/>
  <c r="CL65" i="1"/>
  <c r="CW65" i="1"/>
  <c r="M65" i="1"/>
  <c r="AA65" i="1"/>
  <c r="AO65" i="1"/>
  <c r="AZ65" i="1"/>
  <c r="BN65" i="1"/>
  <c r="BY65" i="1"/>
  <c r="CM65" i="1"/>
  <c r="Q65" i="1"/>
  <c r="AB65" i="1"/>
  <c r="AP65" i="1"/>
  <c r="BA65" i="1"/>
  <c r="BO65" i="1"/>
  <c r="CC65" i="1"/>
  <c r="CN65" i="1"/>
  <c r="R65" i="1"/>
  <c r="AC65" i="1"/>
  <c r="AQ65" i="1"/>
  <c r="BE65" i="1"/>
  <c r="BP65" i="1"/>
  <c r="CD65" i="1"/>
  <c r="CO65" i="1"/>
  <c r="S65" i="1"/>
  <c r="AG65" i="1"/>
  <c r="AR65" i="1"/>
  <c r="BF65" i="1"/>
  <c r="BQ65" i="1"/>
  <c r="CE65" i="1"/>
  <c r="CS65" i="1"/>
  <c r="T65" i="1"/>
  <c r="AH65" i="1"/>
  <c r="AS65" i="1"/>
  <c r="BG65" i="1"/>
  <c r="BU65" i="1"/>
  <c r="CF65" i="1"/>
  <c r="CT65" i="1"/>
  <c r="U65" i="1"/>
  <c r="AI65" i="1"/>
  <c r="AW65" i="1"/>
  <c r="BH65" i="1"/>
  <c r="BV65" i="1"/>
  <c r="CG65" i="1"/>
  <c r="CU65" i="1"/>
  <c r="Y65" i="1"/>
  <c r="AJ65" i="1"/>
  <c r="AX65" i="1"/>
  <c r="BI65" i="1"/>
  <c r="BW65" i="1"/>
  <c r="CK65" i="1"/>
  <c r="CV65" i="1"/>
  <c r="N57" i="1"/>
  <c r="V57" i="1"/>
  <c r="AD57" i="1"/>
  <c r="AL57" i="1"/>
  <c r="AT57" i="1"/>
  <c r="BB57" i="1"/>
  <c r="BJ57" i="1"/>
  <c r="BR57" i="1"/>
  <c r="BZ57" i="1"/>
  <c r="CH57" i="1"/>
  <c r="CP57" i="1"/>
  <c r="O57" i="1"/>
  <c r="W57" i="1"/>
  <c r="AE57" i="1"/>
  <c r="AM57" i="1"/>
  <c r="AU57" i="1"/>
  <c r="BC57" i="1"/>
  <c r="BK57" i="1"/>
  <c r="BS57" i="1"/>
  <c r="CA57" i="1"/>
  <c r="CI57" i="1"/>
  <c r="CQ57" i="1"/>
  <c r="P57" i="1"/>
  <c r="X57" i="1"/>
  <c r="AF57" i="1"/>
  <c r="AN57" i="1"/>
  <c r="AV57" i="1"/>
  <c r="BD57" i="1"/>
  <c r="BL57" i="1"/>
  <c r="BT57" i="1"/>
  <c r="CB57" i="1"/>
  <c r="CJ57" i="1"/>
  <c r="CR57" i="1"/>
  <c r="Q57" i="1"/>
  <c r="Y57" i="1"/>
  <c r="AG57" i="1"/>
  <c r="AO57" i="1"/>
  <c r="AW57" i="1"/>
  <c r="BE57" i="1"/>
  <c r="BM57" i="1"/>
  <c r="BU57" i="1"/>
  <c r="CC57" i="1"/>
  <c r="CK57" i="1"/>
  <c r="CS57" i="1"/>
  <c r="R57" i="1"/>
  <c r="Z57" i="1"/>
  <c r="AH57" i="1"/>
  <c r="AP57" i="1"/>
  <c r="AX57" i="1"/>
  <c r="BF57" i="1"/>
  <c r="BN57" i="1"/>
  <c r="BV57" i="1"/>
  <c r="CD57" i="1"/>
  <c r="CL57" i="1"/>
  <c r="CT57" i="1"/>
  <c r="S57" i="1"/>
  <c r="AA57" i="1"/>
  <c r="AI57" i="1"/>
  <c r="AQ57" i="1"/>
  <c r="AY57" i="1"/>
  <c r="BG57" i="1"/>
  <c r="BO57" i="1"/>
  <c r="BW57" i="1"/>
  <c r="CE57" i="1"/>
  <c r="CM57" i="1"/>
  <c r="CU57" i="1"/>
  <c r="T57" i="1"/>
  <c r="AB57" i="1"/>
  <c r="AJ57" i="1"/>
  <c r="AR57" i="1"/>
  <c r="AZ57" i="1"/>
  <c r="BH57" i="1"/>
  <c r="BP57" i="1"/>
  <c r="BX57" i="1"/>
  <c r="CF57" i="1"/>
  <c r="CN57" i="1"/>
  <c r="CV57" i="1"/>
  <c r="M57" i="1"/>
  <c r="U57" i="1"/>
  <c r="AC57" i="1"/>
  <c r="AK57" i="1"/>
  <c r="AS57" i="1"/>
  <c r="BA57" i="1"/>
  <c r="BI57" i="1"/>
  <c r="BQ57" i="1"/>
  <c r="BY57" i="1"/>
  <c r="CG57" i="1"/>
  <c r="CO57" i="1"/>
  <c r="CW57" i="1"/>
  <c r="S49" i="1"/>
  <c r="AA49" i="1"/>
  <c r="AI49" i="1"/>
  <c r="AQ49" i="1"/>
  <c r="AY49" i="1"/>
  <c r="BG49" i="1"/>
  <c r="BO49" i="1"/>
  <c r="BW49" i="1"/>
  <c r="CE49" i="1"/>
  <c r="CM49" i="1"/>
  <c r="CU49" i="1"/>
  <c r="R49" i="1"/>
  <c r="AB49" i="1"/>
  <c r="AK49" i="1"/>
  <c r="AT49" i="1"/>
  <c r="BC49" i="1"/>
  <c r="BL49" i="1"/>
  <c r="BU49" i="1"/>
  <c r="CD49" i="1"/>
  <c r="CN49" i="1"/>
  <c r="CW49" i="1"/>
  <c r="T49" i="1"/>
  <c r="AC49" i="1"/>
  <c r="AL49" i="1"/>
  <c r="AU49" i="1"/>
  <c r="BD49" i="1"/>
  <c r="BM49" i="1"/>
  <c r="BV49" i="1"/>
  <c r="CF49" i="1"/>
  <c r="CO49" i="1"/>
  <c r="U49" i="1"/>
  <c r="AD49" i="1"/>
  <c r="AM49" i="1"/>
  <c r="AV49" i="1"/>
  <c r="BE49" i="1"/>
  <c r="BN49" i="1"/>
  <c r="BX49" i="1"/>
  <c r="CG49" i="1"/>
  <c r="CP49" i="1"/>
  <c r="M49" i="1"/>
  <c r="V49" i="1"/>
  <c r="AE49" i="1"/>
  <c r="AN49" i="1"/>
  <c r="AW49" i="1"/>
  <c r="BF49" i="1"/>
  <c r="BP49" i="1"/>
  <c r="BY49" i="1"/>
  <c r="CH49" i="1"/>
  <c r="CQ49" i="1"/>
  <c r="N49" i="1"/>
  <c r="W49" i="1"/>
  <c r="AF49" i="1"/>
  <c r="AO49" i="1"/>
  <c r="AX49" i="1"/>
  <c r="BH49" i="1"/>
  <c r="BQ49" i="1"/>
  <c r="BZ49" i="1"/>
  <c r="CI49" i="1"/>
  <c r="CR49" i="1"/>
  <c r="O49" i="1"/>
  <c r="X49" i="1"/>
  <c r="AG49" i="1"/>
  <c r="AP49" i="1"/>
  <c r="AZ49" i="1"/>
  <c r="BI49" i="1"/>
  <c r="BR49" i="1"/>
  <c r="CA49" i="1"/>
  <c r="CJ49" i="1"/>
  <c r="CS49" i="1"/>
  <c r="P49" i="1"/>
  <c r="Y49" i="1"/>
  <c r="AH49" i="1"/>
  <c r="AR49" i="1"/>
  <c r="BA49" i="1"/>
  <c r="BJ49" i="1"/>
  <c r="BS49" i="1"/>
  <c r="CB49" i="1"/>
  <c r="CK49" i="1"/>
  <c r="CT49" i="1"/>
  <c r="Q49" i="1"/>
  <c r="Z49" i="1"/>
  <c r="AJ49" i="1"/>
  <c r="AS49" i="1"/>
  <c r="BB49" i="1"/>
  <c r="BK49" i="1"/>
  <c r="BT49" i="1"/>
  <c r="CC49" i="1"/>
  <c r="CL49" i="1"/>
  <c r="CV49" i="1"/>
  <c r="N41" i="1"/>
  <c r="V41" i="1"/>
  <c r="AD41" i="1"/>
  <c r="AL41" i="1"/>
  <c r="AT41" i="1"/>
  <c r="BB41" i="1"/>
  <c r="BJ41" i="1"/>
  <c r="BR41" i="1"/>
  <c r="BZ41" i="1"/>
  <c r="S41" i="1"/>
  <c r="AB41" i="1"/>
  <c r="AK41" i="1"/>
  <c r="AU41" i="1"/>
  <c r="BD41" i="1"/>
  <c r="BM41" i="1"/>
  <c r="BV41" i="1"/>
  <c r="CE41" i="1"/>
  <c r="CM41" i="1"/>
  <c r="CU41" i="1"/>
  <c r="T41" i="1"/>
  <c r="AC41" i="1"/>
  <c r="AM41" i="1"/>
  <c r="AV41" i="1"/>
  <c r="BE41" i="1"/>
  <c r="BN41" i="1"/>
  <c r="BW41" i="1"/>
  <c r="CF41" i="1"/>
  <c r="CN41" i="1"/>
  <c r="CV41" i="1"/>
  <c r="U41" i="1"/>
  <c r="AE41" i="1"/>
  <c r="AN41" i="1"/>
  <c r="AW41" i="1"/>
  <c r="BF41" i="1"/>
  <c r="BO41" i="1"/>
  <c r="BX41" i="1"/>
  <c r="CG41" i="1"/>
  <c r="CO41" i="1"/>
  <c r="CW41" i="1"/>
  <c r="M41" i="1"/>
  <c r="W41" i="1"/>
  <c r="AF41" i="1"/>
  <c r="AO41" i="1"/>
  <c r="AX41" i="1"/>
  <c r="BG41" i="1"/>
  <c r="BP41" i="1"/>
  <c r="BY41" i="1"/>
  <c r="CH41" i="1"/>
  <c r="CP41" i="1"/>
  <c r="O41" i="1"/>
  <c r="X41" i="1"/>
  <c r="AG41" i="1"/>
  <c r="AP41" i="1"/>
  <c r="AY41" i="1"/>
  <c r="P41" i="1"/>
  <c r="Y41" i="1"/>
  <c r="AH41" i="1"/>
  <c r="AQ41" i="1"/>
  <c r="AZ41" i="1"/>
  <c r="BI41" i="1"/>
  <c r="BS41" i="1"/>
  <c r="CB41" i="1"/>
  <c r="CJ41" i="1"/>
  <c r="CR41" i="1"/>
  <c r="Q41" i="1"/>
  <c r="Z41" i="1"/>
  <c r="AI41" i="1"/>
  <c r="AR41" i="1"/>
  <c r="BA41" i="1"/>
  <c r="BK41" i="1"/>
  <c r="BT41" i="1"/>
  <c r="CC41" i="1"/>
  <c r="CK41" i="1"/>
  <c r="CS41" i="1"/>
  <c r="BC41" i="1"/>
  <c r="CL41" i="1"/>
  <c r="BH41" i="1"/>
  <c r="CQ41" i="1"/>
  <c r="BL41" i="1"/>
  <c r="CT41" i="1"/>
  <c r="BQ41" i="1"/>
  <c r="R41" i="1"/>
  <c r="BU41" i="1"/>
  <c r="AA41" i="1"/>
  <c r="CA41" i="1"/>
  <c r="AJ41" i="1"/>
  <c r="CD41" i="1"/>
  <c r="AS41" i="1"/>
  <c r="CI41" i="1"/>
  <c r="N33" i="1"/>
  <c r="V33" i="1"/>
  <c r="AD33" i="1"/>
  <c r="AL33" i="1"/>
  <c r="AT33" i="1"/>
  <c r="BB33" i="1"/>
  <c r="BJ33" i="1"/>
  <c r="BR33" i="1"/>
  <c r="BZ33" i="1"/>
  <c r="CH33" i="1"/>
  <c r="CP33" i="1"/>
  <c r="O33" i="1"/>
  <c r="W33" i="1"/>
  <c r="AE33" i="1"/>
  <c r="AM33" i="1"/>
  <c r="AU33" i="1"/>
  <c r="BC33" i="1"/>
  <c r="BK33" i="1"/>
  <c r="BS33" i="1"/>
  <c r="CA33" i="1"/>
  <c r="CI33" i="1"/>
  <c r="CQ33" i="1"/>
  <c r="P33" i="1"/>
  <c r="X33" i="1"/>
  <c r="AF33" i="1"/>
  <c r="AN33" i="1"/>
  <c r="AV33" i="1"/>
  <c r="BD33" i="1"/>
  <c r="BL33" i="1"/>
  <c r="BT33" i="1"/>
  <c r="CB33" i="1"/>
  <c r="CJ33" i="1"/>
  <c r="CR33" i="1"/>
  <c r="Q33" i="1"/>
  <c r="Y33" i="1"/>
  <c r="AG33" i="1"/>
  <c r="AO33" i="1"/>
  <c r="AW33" i="1"/>
  <c r="BE33" i="1"/>
  <c r="BM33" i="1"/>
  <c r="BU33" i="1"/>
  <c r="CC33" i="1"/>
  <c r="CK33" i="1"/>
  <c r="CS33" i="1"/>
  <c r="S33" i="1"/>
  <c r="AA33" i="1"/>
  <c r="T33" i="1"/>
  <c r="AB33" i="1"/>
  <c r="AJ33" i="1"/>
  <c r="AR33" i="1"/>
  <c r="AZ33" i="1"/>
  <c r="BH33" i="1"/>
  <c r="BP33" i="1"/>
  <c r="BX33" i="1"/>
  <c r="CF33" i="1"/>
  <c r="CN33" i="1"/>
  <c r="CV33" i="1"/>
  <c r="M33" i="1"/>
  <c r="U33" i="1"/>
  <c r="AC33" i="1"/>
  <c r="AK33" i="1"/>
  <c r="AS33" i="1"/>
  <c r="BA33" i="1"/>
  <c r="BI33" i="1"/>
  <c r="BQ33" i="1"/>
  <c r="BY33" i="1"/>
  <c r="CG33" i="1"/>
  <c r="CO33" i="1"/>
  <c r="CW33" i="1"/>
  <c r="AP33" i="1"/>
  <c r="BV33" i="1"/>
  <c r="AQ33" i="1"/>
  <c r="BW33" i="1"/>
  <c r="AX33" i="1"/>
  <c r="CD33" i="1"/>
  <c r="AY33" i="1"/>
  <c r="CE33" i="1"/>
  <c r="R33" i="1"/>
  <c r="BF33" i="1"/>
  <c r="CL33" i="1"/>
  <c r="Z33" i="1"/>
  <c r="BG33" i="1"/>
  <c r="CM33" i="1"/>
  <c r="AH33" i="1"/>
  <c r="BN33" i="1"/>
  <c r="CT33" i="1"/>
  <c r="AI33" i="1"/>
  <c r="BO33" i="1"/>
  <c r="CU33" i="1"/>
  <c r="T25" i="1"/>
  <c r="AB25" i="1"/>
  <c r="AJ25" i="1"/>
  <c r="AR25" i="1"/>
  <c r="AZ25" i="1"/>
  <c r="BH25" i="1"/>
  <c r="BP25" i="1"/>
  <c r="BX25" i="1"/>
  <c r="CF25" i="1"/>
  <c r="CN25" i="1"/>
  <c r="CV25" i="1"/>
  <c r="M25" i="1"/>
  <c r="U25" i="1"/>
  <c r="AC25" i="1"/>
  <c r="AK25" i="1"/>
  <c r="AS25" i="1"/>
  <c r="BA25" i="1"/>
  <c r="BI25" i="1"/>
  <c r="BQ25" i="1"/>
  <c r="BY25" i="1"/>
  <c r="CG25" i="1"/>
  <c r="CO25" i="1"/>
  <c r="CW25" i="1"/>
  <c r="N25" i="1"/>
  <c r="V25" i="1"/>
  <c r="AD25" i="1"/>
  <c r="AL25" i="1"/>
  <c r="AT25" i="1"/>
  <c r="BB25" i="1"/>
  <c r="BJ25" i="1"/>
  <c r="BR25" i="1"/>
  <c r="BZ25" i="1"/>
  <c r="CH25" i="1"/>
  <c r="CP25" i="1"/>
  <c r="O25" i="1"/>
  <c r="W25" i="1"/>
  <c r="AE25" i="1"/>
  <c r="AM25" i="1"/>
  <c r="AU25" i="1"/>
  <c r="BC25" i="1"/>
  <c r="BK25" i="1"/>
  <c r="BS25" i="1"/>
  <c r="CA25" i="1"/>
  <c r="CI25" i="1"/>
  <c r="CQ25" i="1"/>
  <c r="Q25" i="1"/>
  <c r="R25" i="1"/>
  <c r="Z25" i="1"/>
  <c r="AH25" i="1"/>
  <c r="Y25" i="1"/>
  <c r="AQ25" i="1"/>
  <c r="BG25" i="1"/>
  <c r="BW25" i="1"/>
  <c r="CM25" i="1"/>
  <c r="AA25" i="1"/>
  <c r="AV25" i="1"/>
  <c r="BL25" i="1"/>
  <c r="CB25" i="1"/>
  <c r="CR25" i="1"/>
  <c r="AF25" i="1"/>
  <c r="AW25" i="1"/>
  <c r="BM25" i="1"/>
  <c r="CC25" i="1"/>
  <c r="CS25" i="1"/>
  <c r="AG25" i="1"/>
  <c r="AX25" i="1"/>
  <c r="BN25" i="1"/>
  <c r="CD25" i="1"/>
  <c r="CT25" i="1"/>
  <c r="AI25" i="1"/>
  <c r="AY25" i="1"/>
  <c r="BO25" i="1"/>
  <c r="CE25" i="1"/>
  <c r="CU25" i="1"/>
  <c r="P25" i="1"/>
  <c r="AN25" i="1"/>
  <c r="BD25" i="1"/>
  <c r="BT25" i="1"/>
  <c r="CJ25" i="1"/>
  <c r="S25" i="1"/>
  <c r="AO25" i="1"/>
  <c r="BE25" i="1"/>
  <c r="BU25" i="1"/>
  <c r="CK25" i="1"/>
  <c r="X25" i="1"/>
  <c r="AP25" i="1"/>
  <c r="BF25" i="1"/>
  <c r="BV25" i="1"/>
  <c r="CL25" i="1"/>
  <c r="M17" i="1"/>
  <c r="U17" i="1"/>
  <c r="AC17" i="1"/>
  <c r="AK17" i="1"/>
  <c r="AS17" i="1"/>
  <c r="BA17" i="1"/>
  <c r="BI17" i="1"/>
  <c r="BQ17" i="1"/>
  <c r="BY17" i="1"/>
  <c r="CG17" i="1"/>
  <c r="CO17" i="1"/>
  <c r="CW17" i="1"/>
  <c r="N17" i="1"/>
  <c r="V17" i="1"/>
  <c r="AD17" i="1"/>
  <c r="AL17" i="1"/>
  <c r="AT17" i="1"/>
  <c r="BB17" i="1"/>
  <c r="BJ17" i="1"/>
  <c r="BR17" i="1"/>
  <c r="BZ17" i="1"/>
  <c r="CH17" i="1"/>
  <c r="CP17" i="1"/>
  <c r="O17" i="1"/>
  <c r="W17" i="1"/>
  <c r="AE17" i="1"/>
  <c r="AM17" i="1"/>
  <c r="AU17" i="1"/>
  <c r="BC17" i="1"/>
  <c r="BK17" i="1"/>
  <c r="BS17" i="1"/>
  <c r="CA17" i="1"/>
  <c r="CI17" i="1"/>
  <c r="CQ17" i="1"/>
  <c r="P17" i="1"/>
  <c r="X17" i="1"/>
  <c r="AF17" i="1"/>
  <c r="AN17" i="1"/>
  <c r="AV17" i="1"/>
  <c r="BD17" i="1"/>
  <c r="BL17" i="1"/>
  <c r="BT17" i="1"/>
  <c r="CB17" i="1"/>
  <c r="CJ17" i="1"/>
  <c r="CR17" i="1"/>
  <c r="Q17" i="1"/>
  <c r="Y17" i="1"/>
  <c r="AG17" i="1"/>
  <c r="AO17" i="1"/>
  <c r="AW17" i="1"/>
  <c r="BE17" i="1"/>
  <c r="R17" i="1"/>
  <c r="Z17" i="1"/>
  <c r="AH17" i="1"/>
  <c r="AP17" i="1"/>
  <c r="AX17" i="1"/>
  <c r="BF17" i="1"/>
  <c r="BN17" i="1"/>
  <c r="BV17" i="1"/>
  <c r="CD17" i="1"/>
  <c r="CL17" i="1"/>
  <c r="CT17" i="1"/>
  <c r="S17" i="1"/>
  <c r="AA17" i="1"/>
  <c r="AI17" i="1"/>
  <c r="AQ17" i="1"/>
  <c r="AY17" i="1"/>
  <c r="BG17" i="1"/>
  <c r="BO17" i="1"/>
  <c r="BW17" i="1"/>
  <c r="CE17" i="1"/>
  <c r="CM17" i="1"/>
  <c r="CU17" i="1"/>
  <c r="T17" i="1"/>
  <c r="AB17" i="1"/>
  <c r="AJ17" i="1"/>
  <c r="AR17" i="1"/>
  <c r="AZ17" i="1"/>
  <c r="BH17" i="1"/>
  <c r="BP17" i="1"/>
  <c r="BX17" i="1"/>
  <c r="CF17" i="1"/>
  <c r="CN17" i="1"/>
  <c r="CV17" i="1"/>
  <c r="BM17" i="1"/>
  <c r="BU17" i="1"/>
  <c r="CC17" i="1"/>
  <c r="CK17" i="1"/>
  <c r="CS17" i="1"/>
  <c r="O9" i="1"/>
  <c r="W9" i="1"/>
  <c r="S9" i="1"/>
  <c r="AB9" i="1"/>
  <c r="AJ9" i="1"/>
  <c r="AR9" i="1"/>
  <c r="AZ9" i="1"/>
  <c r="BH9" i="1"/>
  <c r="BP9" i="1"/>
  <c r="BX9" i="1"/>
  <c r="CF9" i="1"/>
  <c r="CN9" i="1"/>
  <c r="CV9" i="1"/>
  <c r="T9" i="1"/>
  <c r="AC9" i="1"/>
  <c r="AK9" i="1"/>
  <c r="AS9" i="1"/>
  <c r="BA9" i="1"/>
  <c r="BI9" i="1"/>
  <c r="BQ9" i="1"/>
  <c r="BY9" i="1"/>
  <c r="CG9" i="1"/>
  <c r="CO9" i="1"/>
  <c r="CW9" i="1"/>
  <c r="U9" i="1"/>
  <c r="AD9" i="1"/>
  <c r="AL9" i="1"/>
  <c r="AT9" i="1"/>
  <c r="BB9" i="1"/>
  <c r="BJ9" i="1"/>
  <c r="BR9" i="1"/>
  <c r="BZ9" i="1"/>
  <c r="CH9" i="1"/>
  <c r="CP9" i="1"/>
  <c r="M9" i="1"/>
  <c r="V9" i="1"/>
  <c r="AE9" i="1"/>
  <c r="N9" i="1"/>
  <c r="X9" i="1"/>
  <c r="AF9" i="1"/>
  <c r="P9" i="1"/>
  <c r="Y9" i="1"/>
  <c r="AG9" i="1"/>
  <c r="AO9" i="1"/>
  <c r="AM9" i="1"/>
  <c r="AY9" i="1"/>
  <c r="BM9" i="1"/>
  <c r="CA9" i="1"/>
  <c r="CL9" i="1"/>
  <c r="AN9" i="1"/>
  <c r="BC9" i="1"/>
  <c r="BN9" i="1"/>
  <c r="CB9" i="1"/>
  <c r="CM9" i="1"/>
  <c r="Q9" i="1"/>
  <c r="AP9" i="1"/>
  <c r="BD9" i="1"/>
  <c r="BO9" i="1"/>
  <c r="CC9" i="1"/>
  <c r="CQ9" i="1"/>
  <c r="R9" i="1"/>
  <c r="AQ9" i="1"/>
  <c r="BE9" i="1"/>
  <c r="BS9" i="1"/>
  <c r="CD9" i="1"/>
  <c r="CR9" i="1"/>
  <c r="Z9" i="1"/>
  <c r="AU9" i="1"/>
  <c r="BF9" i="1"/>
  <c r="BT9" i="1"/>
  <c r="CE9" i="1"/>
  <c r="CS9" i="1"/>
  <c r="AA9" i="1"/>
  <c r="AV9" i="1"/>
  <c r="BG9" i="1"/>
  <c r="BU9" i="1"/>
  <c r="CI9" i="1"/>
  <c r="CT9" i="1"/>
  <c r="AH9" i="1"/>
  <c r="AW9" i="1"/>
  <c r="BK9" i="1"/>
  <c r="BV9" i="1"/>
  <c r="CJ9" i="1"/>
  <c r="CU9" i="1"/>
  <c r="AI9" i="1"/>
  <c r="AX9" i="1"/>
  <c r="BL9" i="1"/>
  <c r="BW9" i="1"/>
  <c r="CK9" i="1"/>
  <c r="CS3" i="1"/>
  <c r="CK3" i="1"/>
  <c r="CC3" i="1"/>
  <c r="BU3" i="1"/>
  <c r="BM3" i="1"/>
  <c r="BE3" i="1"/>
  <c r="AW3" i="1"/>
  <c r="AO3" i="1"/>
  <c r="AG3" i="1"/>
  <c r="Y3" i="1"/>
  <c r="Q3" i="1"/>
  <c r="CS81" i="1"/>
  <c r="CK81" i="1"/>
  <c r="CC81" i="1"/>
  <c r="BU81" i="1"/>
  <c r="BM81" i="1"/>
  <c r="BE81" i="1"/>
  <c r="AW81" i="1"/>
  <c r="AN81" i="1"/>
  <c r="AE81" i="1"/>
  <c r="U81" i="1"/>
  <c r="CW80" i="1"/>
  <c r="CN80" i="1"/>
  <c r="CE80" i="1"/>
  <c r="BV80" i="1"/>
  <c r="BM80" i="1"/>
  <c r="BD80" i="1"/>
  <c r="AT80" i="1"/>
  <c r="AK80" i="1"/>
  <c r="AB80" i="1"/>
  <c r="CU79" i="1"/>
  <c r="CL79" i="1"/>
  <c r="CC79" i="1"/>
  <c r="BS79" i="1"/>
  <c r="BJ79" i="1"/>
  <c r="BA79" i="1"/>
  <c r="AR79" i="1"/>
  <c r="AI79" i="1"/>
  <c r="Z79" i="1"/>
  <c r="Q79" i="1"/>
  <c r="CR78" i="1"/>
  <c r="CI78" i="1"/>
  <c r="BZ78" i="1"/>
  <c r="BQ78" i="1"/>
  <c r="BH78" i="1"/>
  <c r="AV78" i="1"/>
  <c r="AL78" i="1"/>
  <c r="AB78" i="1"/>
  <c r="P78" i="1"/>
  <c r="CQ77" i="1"/>
  <c r="CG77" i="1"/>
  <c r="BS77" i="1"/>
  <c r="BE77" i="1"/>
  <c r="AT77" i="1"/>
  <c r="AF77" i="1"/>
  <c r="U77" i="1"/>
  <c r="CR76" i="1"/>
  <c r="CD76" i="1"/>
  <c r="BS76" i="1"/>
  <c r="BE76" i="1"/>
  <c r="AT76" i="1"/>
  <c r="AF76" i="1"/>
  <c r="R76" i="1"/>
  <c r="CR75" i="1"/>
  <c r="CD75" i="1"/>
  <c r="BS75" i="1"/>
  <c r="BE75" i="1"/>
  <c r="AQ75" i="1"/>
  <c r="AF75" i="1"/>
  <c r="R75" i="1"/>
  <c r="CR74" i="1"/>
  <c r="CD74" i="1"/>
  <c r="BP74" i="1"/>
  <c r="BE74" i="1"/>
  <c r="AQ74" i="1"/>
  <c r="AF74" i="1"/>
  <c r="R74" i="1"/>
  <c r="CO73" i="1"/>
  <c r="CD73" i="1"/>
  <c r="BP73" i="1"/>
  <c r="BE73" i="1"/>
  <c r="AQ73" i="1"/>
  <c r="AC73" i="1"/>
  <c r="R73" i="1"/>
  <c r="CO72" i="1"/>
  <c r="CD72" i="1"/>
  <c r="BP72" i="1"/>
  <c r="BB72" i="1"/>
  <c r="AQ72" i="1"/>
  <c r="AC72" i="1"/>
  <c r="BS71" i="1"/>
  <c r="CR70" i="1"/>
  <c r="X70" i="1"/>
  <c r="O80" i="1"/>
  <c r="W80" i="1"/>
  <c r="AE80" i="1"/>
  <c r="AM80" i="1"/>
  <c r="AU80" i="1"/>
  <c r="BC80" i="1"/>
  <c r="BK80" i="1"/>
  <c r="BS80" i="1"/>
  <c r="CA80" i="1"/>
  <c r="CI80" i="1"/>
  <c r="CQ80" i="1"/>
  <c r="O72" i="1"/>
  <c r="W72" i="1"/>
  <c r="AE72" i="1"/>
  <c r="AM72" i="1"/>
  <c r="AU72" i="1"/>
  <c r="BC72" i="1"/>
  <c r="BK72" i="1"/>
  <c r="BS72" i="1"/>
  <c r="CA72" i="1"/>
  <c r="CI72" i="1"/>
  <c r="CQ72" i="1"/>
  <c r="P72" i="1"/>
  <c r="X72" i="1"/>
  <c r="AF72" i="1"/>
  <c r="AN72" i="1"/>
  <c r="AV72" i="1"/>
  <c r="BD72" i="1"/>
  <c r="BL72" i="1"/>
  <c r="BT72" i="1"/>
  <c r="CB72" i="1"/>
  <c r="CJ72" i="1"/>
  <c r="CR72" i="1"/>
  <c r="Q72" i="1"/>
  <c r="Y72" i="1"/>
  <c r="AG72" i="1"/>
  <c r="AO72" i="1"/>
  <c r="AW72" i="1"/>
  <c r="BE72" i="1"/>
  <c r="BM72" i="1"/>
  <c r="BU72" i="1"/>
  <c r="CC72" i="1"/>
  <c r="CK72" i="1"/>
  <c r="CS72" i="1"/>
  <c r="M72" i="1"/>
  <c r="U72" i="1"/>
  <c r="O64" i="1"/>
  <c r="W64" i="1"/>
  <c r="AE64" i="1"/>
  <c r="AM64" i="1"/>
  <c r="AU64" i="1"/>
  <c r="BC64" i="1"/>
  <c r="BK64" i="1"/>
  <c r="BS64" i="1"/>
  <c r="CA64" i="1"/>
  <c r="CI64" i="1"/>
  <c r="CQ64" i="1"/>
  <c r="P64" i="1"/>
  <c r="X64" i="1"/>
  <c r="AF64" i="1"/>
  <c r="AN64" i="1"/>
  <c r="AV64" i="1"/>
  <c r="BD64" i="1"/>
  <c r="BL64" i="1"/>
  <c r="BT64" i="1"/>
  <c r="CB64" i="1"/>
  <c r="CJ64" i="1"/>
  <c r="CR64" i="1"/>
  <c r="Q64" i="1"/>
  <c r="Y64" i="1"/>
  <c r="AG64" i="1"/>
  <c r="AO64" i="1"/>
  <c r="AW64" i="1"/>
  <c r="BE64" i="1"/>
  <c r="BM64" i="1"/>
  <c r="BU64" i="1"/>
  <c r="CC64" i="1"/>
  <c r="CK64" i="1"/>
  <c r="CS64" i="1"/>
  <c r="Z64" i="1"/>
  <c r="AK64" i="1"/>
  <c r="AY64" i="1"/>
  <c r="BJ64" i="1"/>
  <c r="BX64" i="1"/>
  <c r="CL64" i="1"/>
  <c r="CW64" i="1"/>
  <c r="M64" i="1"/>
  <c r="AA64" i="1"/>
  <c r="AL64" i="1"/>
  <c r="AZ64" i="1"/>
  <c r="BN64" i="1"/>
  <c r="BY64" i="1"/>
  <c r="CM64" i="1"/>
  <c r="N64" i="1"/>
  <c r="AB64" i="1"/>
  <c r="AP64" i="1"/>
  <c r="BA64" i="1"/>
  <c r="BO64" i="1"/>
  <c r="BZ64" i="1"/>
  <c r="CN64" i="1"/>
  <c r="R64" i="1"/>
  <c r="AC64" i="1"/>
  <c r="AQ64" i="1"/>
  <c r="BB64" i="1"/>
  <c r="BP64" i="1"/>
  <c r="CD64" i="1"/>
  <c r="CO64" i="1"/>
  <c r="S64" i="1"/>
  <c r="AD64" i="1"/>
  <c r="AR64" i="1"/>
  <c r="BF64" i="1"/>
  <c r="BQ64" i="1"/>
  <c r="CE64" i="1"/>
  <c r="CP64" i="1"/>
  <c r="T64" i="1"/>
  <c r="AH64" i="1"/>
  <c r="AS64" i="1"/>
  <c r="BG64" i="1"/>
  <c r="BR64" i="1"/>
  <c r="CF64" i="1"/>
  <c r="CT64" i="1"/>
  <c r="U64" i="1"/>
  <c r="AI64" i="1"/>
  <c r="AT64" i="1"/>
  <c r="BH64" i="1"/>
  <c r="BV64" i="1"/>
  <c r="CG64" i="1"/>
  <c r="CU64" i="1"/>
  <c r="V64" i="1"/>
  <c r="AJ64" i="1"/>
  <c r="AX64" i="1"/>
  <c r="BI64" i="1"/>
  <c r="BW64" i="1"/>
  <c r="CH64" i="1"/>
  <c r="CV64" i="1"/>
  <c r="S56" i="1"/>
  <c r="AA56" i="1"/>
  <c r="AI56" i="1"/>
  <c r="AQ56" i="1"/>
  <c r="AY56" i="1"/>
  <c r="BG56" i="1"/>
  <c r="BO56" i="1"/>
  <c r="BW56" i="1"/>
  <c r="O56" i="1"/>
  <c r="X56" i="1"/>
  <c r="AG56" i="1"/>
  <c r="AP56" i="1"/>
  <c r="AZ56" i="1"/>
  <c r="BI56" i="1"/>
  <c r="BR56" i="1"/>
  <c r="CA56" i="1"/>
  <c r="CI56" i="1"/>
  <c r="CQ56" i="1"/>
  <c r="P56" i="1"/>
  <c r="Y56" i="1"/>
  <c r="AH56" i="1"/>
  <c r="AR56" i="1"/>
  <c r="BA56" i="1"/>
  <c r="BJ56" i="1"/>
  <c r="BS56" i="1"/>
  <c r="CB56" i="1"/>
  <c r="CJ56" i="1"/>
  <c r="CR56" i="1"/>
  <c r="Q56" i="1"/>
  <c r="Z56" i="1"/>
  <c r="AJ56" i="1"/>
  <c r="AS56" i="1"/>
  <c r="BB56" i="1"/>
  <c r="BK56" i="1"/>
  <c r="BT56" i="1"/>
  <c r="CC56" i="1"/>
  <c r="CK56" i="1"/>
  <c r="CS56" i="1"/>
  <c r="R56" i="1"/>
  <c r="AB56" i="1"/>
  <c r="AK56" i="1"/>
  <c r="AT56" i="1"/>
  <c r="BC56" i="1"/>
  <c r="BL56" i="1"/>
  <c r="BU56" i="1"/>
  <c r="CD56" i="1"/>
  <c r="CL56" i="1"/>
  <c r="CT56" i="1"/>
  <c r="T56" i="1"/>
  <c r="AC56" i="1"/>
  <c r="AL56" i="1"/>
  <c r="AU56" i="1"/>
  <c r="BD56" i="1"/>
  <c r="BM56" i="1"/>
  <c r="BV56" i="1"/>
  <c r="CE56" i="1"/>
  <c r="CM56" i="1"/>
  <c r="CU56" i="1"/>
  <c r="U56" i="1"/>
  <c r="AD56" i="1"/>
  <c r="AM56" i="1"/>
  <c r="AV56" i="1"/>
  <c r="BE56" i="1"/>
  <c r="BN56" i="1"/>
  <c r="BX56" i="1"/>
  <c r="CF56" i="1"/>
  <c r="CN56" i="1"/>
  <c r="CV56" i="1"/>
  <c r="M56" i="1"/>
  <c r="V56" i="1"/>
  <c r="AE56" i="1"/>
  <c r="AN56" i="1"/>
  <c r="AW56" i="1"/>
  <c r="BF56" i="1"/>
  <c r="BP56" i="1"/>
  <c r="BY56" i="1"/>
  <c r="CG56" i="1"/>
  <c r="CO56" i="1"/>
  <c r="CW56" i="1"/>
  <c r="N56" i="1"/>
  <c r="W56" i="1"/>
  <c r="AF56" i="1"/>
  <c r="AO56" i="1"/>
  <c r="AX56" i="1"/>
  <c r="BH56" i="1"/>
  <c r="BQ56" i="1"/>
  <c r="BZ56" i="1"/>
  <c r="CH56" i="1"/>
  <c r="CP56" i="1"/>
  <c r="T48" i="1"/>
  <c r="AB48" i="1"/>
  <c r="AJ48" i="1"/>
  <c r="AR48" i="1"/>
  <c r="AZ48" i="1"/>
  <c r="BH48" i="1"/>
  <c r="BP48" i="1"/>
  <c r="BX48" i="1"/>
  <c r="CF48" i="1"/>
  <c r="CN48" i="1"/>
  <c r="CV48" i="1"/>
  <c r="P48" i="1"/>
  <c r="Y48" i="1"/>
  <c r="AH48" i="1"/>
  <c r="AQ48" i="1"/>
  <c r="BA48" i="1"/>
  <c r="BJ48" i="1"/>
  <c r="BS48" i="1"/>
  <c r="CB48" i="1"/>
  <c r="CK48" i="1"/>
  <c r="CT48" i="1"/>
  <c r="Q48" i="1"/>
  <c r="Z48" i="1"/>
  <c r="AI48" i="1"/>
  <c r="AS48" i="1"/>
  <c r="BB48" i="1"/>
  <c r="BK48" i="1"/>
  <c r="BT48" i="1"/>
  <c r="CC48" i="1"/>
  <c r="CL48" i="1"/>
  <c r="CU48" i="1"/>
  <c r="R48" i="1"/>
  <c r="AA48" i="1"/>
  <c r="AK48" i="1"/>
  <c r="AT48" i="1"/>
  <c r="BC48" i="1"/>
  <c r="BL48" i="1"/>
  <c r="BU48" i="1"/>
  <c r="CD48" i="1"/>
  <c r="CM48" i="1"/>
  <c r="CW48" i="1"/>
  <c r="S48" i="1"/>
  <c r="AC48" i="1"/>
  <c r="AL48" i="1"/>
  <c r="AU48" i="1"/>
  <c r="BD48" i="1"/>
  <c r="BM48" i="1"/>
  <c r="BV48" i="1"/>
  <c r="CE48" i="1"/>
  <c r="CO48" i="1"/>
  <c r="U48" i="1"/>
  <c r="AD48" i="1"/>
  <c r="AM48" i="1"/>
  <c r="AV48" i="1"/>
  <c r="BE48" i="1"/>
  <c r="BN48" i="1"/>
  <c r="BW48" i="1"/>
  <c r="CG48" i="1"/>
  <c r="CP48" i="1"/>
  <c r="M48" i="1"/>
  <c r="V48" i="1"/>
  <c r="AE48" i="1"/>
  <c r="AN48" i="1"/>
  <c r="AW48" i="1"/>
  <c r="BF48" i="1"/>
  <c r="BO48" i="1"/>
  <c r="BY48" i="1"/>
  <c r="CH48" i="1"/>
  <c r="CQ48" i="1"/>
  <c r="N48" i="1"/>
  <c r="W48" i="1"/>
  <c r="AF48" i="1"/>
  <c r="AO48" i="1"/>
  <c r="AX48" i="1"/>
  <c r="BG48" i="1"/>
  <c r="BQ48" i="1"/>
  <c r="BZ48" i="1"/>
  <c r="CI48" i="1"/>
  <c r="CR48" i="1"/>
  <c r="O48" i="1"/>
  <c r="X48" i="1"/>
  <c r="AG48" i="1"/>
  <c r="AP48" i="1"/>
  <c r="AY48" i="1"/>
  <c r="BI48" i="1"/>
  <c r="BR48" i="1"/>
  <c r="CA48" i="1"/>
  <c r="CJ48" i="1"/>
  <c r="CS48" i="1"/>
  <c r="O40" i="1"/>
  <c r="W40" i="1"/>
  <c r="AE40" i="1"/>
  <c r="AM40" i="1"/>
  <c r="AU40" i="1"/>
  <c r="BC40" i="1"/>
  <c r="BK40" i="1"/>
  <c r="BS40" i="1"/>
  <c r="CA40" i="1"/>
  <c r="CI40" i="1"/>
  <c r="CQ40" i="1"/>
  <c r="Q40" i="1"/>
  <c r="Z40" i="1"/>
  <c r="AI40" i="1"/>
  <c r="AR40" i="1"/>
  <c r="BA40" i="1"/>
  <c r="BJ40" i="1"/>
  <c r="BT40" i="1"/>
  <c r="CC40" i="1"/>
  <c r="CL40" i="1"/>
  <c r="CU40" i="1"/>
  <c r="R40" i="1"/>
  <c r="AA40" i="1"/>
  <c r="AJ40" i="1"/>
  <c r="AS40" i="1"/>
  <c r="BB40" i="1"/>
  <c r="BL40" i="1"/>
  <c r="BU40" i="1"/>
  <c r="CD40" i="1"/>
  <c r="CM40" i="1"/>
  <c r="CV40" i="1"/>
  <c r="S40" i="1"/>
  <c r="AB40" i="1"/>
  <c r="AK40" i="1"/>
  <c r="AT40" i="1"/>
  <c r="BD40" i="1"/>
  <c r="BM40" i="1"/>
  <c r="BV40" i="1"/>
  <c r="CE40" i="1"/>
  <c r="CN40" i="1"/>
  <c r="CW40" i="1"/>
  <c r="T40" i="1"/>
  <c r="AC40" i="1"/>
  <c r="AL40" i="1"/>
  <c r="AV40" i="1"/>
  <c r="BE40" i="1"/>
  <c r="BN40" i="1"/>
  <c r="BW40" i="1"/>
  <c r="CF40" i="1"/>
  <c r="CO40" i="1"/>
  <c r="U40" i="1"/>
  <c r="AD40" i="1"/>
  <c r="AN40" i="1"/>
  <c r="AW40" i="1"/>
  <c r="BF40" i="1"/>
  <c r="BO40" i="1"/>
  <c r="BX40" i="1"/>
  <c r="CG40" i="1"/>
  <c r="CP40" i="1"/>
  <c r="M40" i="1"/>
  <c r="V40" i="1"/>
  <c r="AF40" i="1"/>
  <c r="AO40" i="1"/>
  <c r="AX40" i="1"/>
  <c r="BG40" i="1"/>
  <c r="BP40" i="1"/>
  <c r="BY40" i="1"/>
  <c r="CH40" i="1"/>
  <c r="CR40" i="1"/>
  <c r="N40" i="1"/>
  <c r="X40" i="1"/>
  <c r="AG40" i="1"/>
  <c r="AP40" i="1"/>
  <c r="AY40" i="1"/>
  <c r="BH40" i="1"/>
  <c r="BQ40" i="1"/>
  <c r="BZ40" i="1"/>
  <c r="CJ40" i="1"/>
  <c r="CS40" i="1"/>
  <c r="P40" i="1"/>
  <c r="Y40" i="1"/>
  <c r="AH40" i="1"/>
  <c r="AQ40" i="1"/>
  <c r="AZ40" i="1"/>
  <c r="BI40" i="1"/>
  <c r="BR40" i="1"/>
  <c r="CB40" i="1"/>
  <c r="CK40" i="1"/>
  <c r="CT40" i="1"/>
  <c r="O32" i="1"/>
  <c r="W32" i="1"/>
  <c r="AE32" i="1"/>
  <c r="AM32" i="1"/>
  <c r="AU32" i="1"/>
  <c r="BC32" i="1"/>
  <c r="BK32" i="1"/>
  <c r="BS32" i="1"/>
  <c r="CA32" i="1"/>
  <c r="CI32" i="1"/>
  <c r="CQ32" i="1"/>
  <c r="P32" i="1"/>
  <c r="X32" i="1"/>
  <c r="AF32" i="1"/>
  <c r="AN32" i="1"/>
  <c r="AV32" i="1"/>
  <c r="BD32" i="1"/>
  <c r="BL32" i="1"/>
  <c r="BT32" i="1"/>
  <c r="CB32" i="1"/>
  <c r="CJ32" i="1"/>
  <c r="CR32" i="1"/>
  <c r="Q32" i="1"/>
  <c r="Y32" i="1"/>
  <c r="AG32" i="1"/>
  <c r="AO32" i="1"/>
  <c r="AW32" i="1"/>
  <c r="BE32" i="1"/>
  <c r="BM32" i="1"/>
  <c r="BU32" i="1"/>
  <c r="CC32" i="1"/>
  <c r="CK32" i="1"/>
  <c r="CS32" i="1"/>
  <c r="R32" i="1"/>
  <c r="Z32" i="1"/>
  <c r="AH32" i="1"/>
  <c r="AP32" i="1"/>
  <c r="AX32" i="1"/>
  <c r="BF32" i="1"/>
  <c r="BN32" i="1"/>
  <c r="BV32" i="1"/>
  <c r="CD32" i="1"/>
  <c r="CL32" i="1"/>
  <c r="CT32" i="1"/>
  <c r="T32" i="1"/>
  <c r="AB32" i="1"/>
  <c r="AJ32" i="1"/>
  <c r="AR32" i="1"/>
  <c r="AZ32" i="1"/>
  <c r="BH32" i="1"/>
  <c r="BP32" i="1"/>
  <c r="BX32" i="1"/>
  <c r="CF32" i="1"/>
  <c r="CN32" i="1"/>
  <c r="CV32" i="1"/>
  <c r="M32" i="1"/>
  <c r="U32" i="1"/>
  <c r="AC32" i="1"/>
  <c r="AK32" i="1"/>
  <c r="AS32" i="1"/>
  <c r="BA32" i="1"/>
  <c r="BI32" i="1"/>
  <c r="BQ32" i="1"/>
  <c r="BY32" i="1"/>
  <c r="CG32" i="1"/>
  <c r="CO32" i="1"/>
  <c r="CW32" i="1"/>
  <c r="N32" i="1"/>
  <c r="V32" i="1"/>
  <c r="AD32" i="1"/>
  <c r="AL32" i="1"/>
  <c r="AT32" i="1"/>
  <c r="BB32" i="1"/>
  <c r="BJ32" i="1"/>
  <c r="BR32" i="1"/>
  <c r="BZ32" i="1"/>
  <c r="CH32" i="1"/>
  <c r="CP32" i="1"/>
  <c r="BW32" i="1"/>
  <c r="S32" i="1"/>
  <c r="CE32" i="1"/>
  <c r="AA32" i="1"/>
  <c r="CM32" i="1"/>
  <c r="AI32" i="1"/>
  <c r="CU32" i="1"/>
  <c r="AQ32" i="1"/>
  <c r="AY32" i="1"/>
  <c r="BG32" i="1"/>
  <c r="BO32" i="1"/>
  <c r="M24" i="1"/>
  <c r="U24" i="1"/>
  <c r="AC24" i="1"/>
  <c r="AK24" i="1"/>
  <c r="AS24" i="1"/>
  <c r="BA24" i="1"/>
  <c r="BI24" i="1"/>
  <c r="BQ24" i="1"/>
  <c r="BY24" i="1"/>
  <c r="CG24" i="1"/>
  <c r="CO24" i="1"/>
  <c r="CW24" i="1"/>
  <c r="N24" i="1"/>
  <c r="V24" i="1"/>
  <c r="AD24" i="1"/>
  <c r="AL24" i="1"/>
  <c r="AT24" i="1"/>
  <c r="BB24" i="1"/>
  <c r="BJ24" i="1"/>
  <c r="BR24" i="1"/>
  <c r="BZ24" i="1"/>
  <c r="CH24" i="1"/>
  <c r="CP24" i="1"/>
  <c r="O24" i="1"/>
  <c r="W24" i="1"/>
  <c r="AE24" i="1"/>
  <c r="AM24" i="1"/>
  <c r="AU24" i="1"/>
  <c r="BC24" i="1"/>
  <c r="BK24" i="1"/>
  <c r="BS24" i="1"/>
  <c r="CA24" i="1"/>
  <c r="CI24" i="1"/>
  <c r="CQ24" i="1"/>
  <c r="P24" i="1"/>
  <c r="X24" i="1"/>
  <c r="AF24" i="1"/>
  <c r="AN24" i="1"/>
  <c r="AV24" i="1"/>
  <c r="BD24" i="1"/>
  <c r="BL24" i="1"/>
  <c r="BT24" i="1"/>
  <c r="CB24" i="1"/>
  <c r="CJ24" i="1"/>
  <c r="CR24" i="1"/>
  <c r="R24" i="1"/>
  <c r="Z24" i="1"/>
  <c r="AH24" i="1"/>
  <c r="AP24" i="1"/>
  <c r="AX24" i="1"/>
  <c r="BF24" i="1"/>
  <c r="BN24" i="1"/>
  <c r="BV24" i="1"/>
  <c r="CD24" i="1"/>
  <c r="CL24" i="1"/>
  <c r="CT24" i="1"/>
  <c r="S24" i="1"/>
  <c r="AA24" i="1"/>
  <c r="AI24" i="1"/>
  <c r="AQ24" i="1"/>
  <c r="AY24" i="1"/>
  <c r="BG24" i="1"/>
  <c r="BO24" i="1"/>
  <c r="BW24" i="1"/>
  <c r="CE24" i="1"/>
  <c r="CM24" i="1"/>
  <c r="CU24" i="1"/>
  <c r="T24" i="1"/>
  <c r="AB24" i="1"/>
  <c r="AJ24" i="1"/>
  <c r="AR24" i="1"/>
  <c r="AZ24" i="1"/>
  <c r="BH24" i="1"/>
  <c r="BP24" i="1"/>
  <c r="BX24" i="1"/>
  <c r="CF24" i="1"/>
  <c r="CN24" i="1"/>
  <c r="CV24" i="1"/>
  <c r="BM24" i="1"/>
  <c r="BU24" i="1"/>
  <c r="Q24" i="1"/>
  <c r="CC24" i="1"/>
  <c r="Y24" i="1"/>
  <c r="CK24" i="1"/>
  <c r="AG24" i="1"/>
  <c r="CS24" i="1"/>
  <c r="AO24" i="1"/>
  <c r="AW24" i="1"/>
  <c r="BE24" i="1"/>
  <c r="M16" i="1"/>
  <c r="U16" i="1"/>
  <c r="AC16" i="1"/>
  <c r="AK16" i="1"/>
  <c r="AS16" i="1"/>
  <c r="BA16" i="1"/>
  <c r="BI16" i="1"/>
  <c r="BQ16" i="1"/>
  <c r="BY16" i="1"/>
  <c r="N16" i="1"/>
  <c r="W16" i="1"/>
  <c r="AF16" i="1"/>
  <c r="AO16" i="1"/>
  <c r="AX16" i="1"/>
  <c r="BG16" i="1"/>
  <c r="BP16" i="1"/>
  <c r="BZ16" i="1"/>
  <c r="CH16" i="1"/>
  <c r="CP16" i="1"/>
  <c r="O16" i="1"/>
  <c r="X16" i="1"/>
  <c r="AG16" i="1"/>
  <c r="AP16" i="1"/>
  <c r="AY16" i="1"/>
  <c r="BH16" i="1"/>
  <c r="BR16" i="1"/>
  <c r="CA16" i="1"/>
  <c r="CI16" i="1"/>
  <c r="CQ16" i="1"/>
  <c r="P16" i="1"/>
  <c r="Y16" i="1"/>
  <c r="AH16" i="1"/>
  <c r="AQ16" i="1"/>
  <c r="AZ16" i="1"/>
  <c r="BJ16" i="1"/>
  <c r="BS16" i="1"/>
  <c r="CB16" i="1"/>
  <c r="CJ16" i="1"/>
  <c r="CR16" i="1"/>
  <c r="Q16" i="1"/>
  <c r="Z16" i="1"/>
  <c r="AI16" i="1"/>
  <c r="AR16" i="1"/>
  <c r="BB16" i="1"/>
  <c r="BK16" i="1"/>
  <c r="BT16" i="1"/>
  <c r="CC16" i="1"/>
  <c r="CK16" i="1"/>
  <c r="CS16" i="1"/>
  <c r="R16" i="1"/>
  <c r="AA16" i="1"/>
  <c r="AJ16" i="1"/>
  <c r="AT16" i="1"/>
  <c r="BC16" i="1"/>
  <c r="BL16" i="1"/>
  <c r="BU16" i="1"/>
  <c r="CD16" i="1"/>
  <c r="CL16" i="1"/>
  <c r="CT16" i="1"/>
  <c r="S16" i="1"/>
  <c r="AB16" i="1"/>
  <c r="AL16" i="1"/>
  <c r="AU16" i="1"/>
  <c r="BD16" i="1"/>
  <c r="BM16" i="1"/>
  <c r="BV16" i="1"/>
  <c r="CE16" i="1"/>
  <c r="CM16" i="1"/>
  <c r="CU16" i="1"/>
  <c r="T16" i="1"/>
  <c r="AD16" i="1"/>
  <c r="AM16" i="1"/>
  <c r="AV16" i="1"/>
  <c r="BE16" i="1"/>
  <c r="BN16" i="1"/>
  <c r="BW16" i="1"/>
  <c r="CF16" i="1"/>
  <c r="CN16" i="1"/>
  <c r="CV16" i="1"/>
  <c r="V16" i="1"/>
  <c r="AE16" i="1"/>
  <c r="AN16" i="1"/>
  <c r="AW16" i="1"/>
  <c r="BF16" i="1"/>
  <c r="BO16" i="1"/>
  <c r="BX16" i="1"/>
  <c r="CG16" i="1"/>
  <c r="CO16" i="1"/>
  <c r="CW16" i="1"/>
  <c r="O8" i="1"/>
  <c r="W8" i="1"/>
  <c r="AE8" i="1"/>
  <c r="AM8" i="1"/>
  <c r="AU8" i="1"/>
  <c r="BC8" i="1"/>
  <c r="BK8" i="1"/>
  <c r="BS8" i="1"/>
  <c r="CA8" i="1"/>
  <c r="P8" i="1"/>
  <c r="X8" i="1"/>
  <c r="AF8" i="1"/>
  <c r="AN8" i="1"/>
  <c r="AV8" i="1"/>
  <c r="BD8" i="1"/>
  <c r="BL8" i="1"/>
  <c r="BT8" i="1"/>
  <c r="CB8" i="1"/>
  <c r="CJ8" i="1"/>
  <c r="CR8" i="1"/>
  <c r="Q8" i="1"/>
  <c r="AA8" i="1"/>
  <c r="AK8" i="1"/>
  <c r="AW8" i="1"/>
  <c r="BG8" i="1"/>
  <c r="BQ8" i="1"/>
  <c r="CC8" i="1"/>
  <c r="CL8" i="1"/>
  <c r="CU8" i="1"/>
  <c r="R8" i="1"/>
  <c r="AB8" i="1"/>
  <c r="AL8" i="1"/>
  <c r="AX8" i="1"/>
  <c r="BH8" i="1"/>
  <c r="BR8" i="1"/>
  <c r="CD8" i="1"/>
  <c r="CM8" i="1"/>
  <c r="CV8" i="1"/>
  <c r="S8" i="1"/>
  <c r="AC8" i="1"/>
  <c r="AO8" i="1"/>
  <c r="AY8" i="1"/>
  <c r="BI8" i="1"/>
  <c r="BU8" i="1"/>
  <c r="CE8" i="1"/>
  <c r="CN8" i="1"/>
  <c r="CW8" i="1"/>
  <c r="T8" i="1"/>
  <c r="AD8" i="1"/>
  <c r="AP8" i="1"/>
  <c r="AZ8" i="1"/>
  <c r="BJ8" i="1"/>
  <c r="BV8" i="1"/>
  <c r="CF8" i="1"/>
  <c r="CO8" i="1"/>
  <c r="U8" i="1"/>
  <c r="AG8" i="1"/>
  <c r="AQ8" i="1"/>
  <c r="BA8" i="1"/>
  <c r="BM8" i="1"/>
  <c r="BW8" i="1"/>
  <c r="CG8" i="1"/>
  <c r="CP8" i="1"/>
  <c r="V8" i="1"/>
  <c r="AH8" i="1"/>
  <c r="AR8" i="1"/>
  <c r="BB8" i="1"/>
  <c r="BN8" i="1"/>
  <c r="BX8" i="1"/>
  <c r="CH8" i="1"/>
  <c r="CQ8" i="1"/>
  <c r="M8" i="1"/>
  <c r="Y8" i="1"/>
  <c r="AI8" i="1"/>
  <c r="AS8" i="1"/>
  <c r="BE8" i="1"/>
  <c r="BO8" i="1"/>
  <c r="BY8" i="1"/>
  <c r="CI8" i="1"/>
  <c r="N8" i="1"/>
  <c r="CS8" i="1"/>
  <c r="Z8" i="1"/>
  <c r="CT8" i="1"/>
  <c r="AJ8" i="1"/>
  <c r="AT8" i="1"/>
  <c r="BF8" i="1"/>
  <c r="BP8" i="1"/>
  <c r="BZ8" i="1"/>
  <c r="CK8" i="1"/>
  <c r="CR3" i="1"/>
  <c r="CJ3" i="1"/>
  <c r="CB3" i="1"/>
  <c r="BT3" i="1"/>
  <c r="BL3" i="1"/>
  <c r="BD3" i="1"/>
  <c r="AV3" i="1"/>
  <c r="AN3" i="1"/>
  <c r="AF3" i="1"/>
  <c r="X3" i="1"/>
  <c r="P3" i="1"/>
  <c r="CR81" i="1"/>
  <c r="CJ81" i="1"/>
  <c r="CB81" i="1"/>
  <c r="BT81" i="1"/>
  <c r="BL81" i="1"/>
  <c r="BD81" i="1"/>
  <c r="AV81" i="1"/>
  <c r="AM81" i="1"/>
  <c r="AC81" i="1"/>
  <c r="T81" i="1"/>
  <c r="CV80" i="1"/>
  <c r="CM80" i="1"/>
  <c r="CD80" i="1"/>
  <c r="BU80" i="1"/>
  <c r="BL80" i="1"/>
  <c r="BB80" i="1"/>
  <c r="AS80" i="1"/>
  <c r="AJ80" i="1"/>
  <c r="AA80" i="1"/>
  <c r="R80" i="1"/>
  <c r="CT79" i="1"/>
  <c r="CK79" i="1"/>
  <c r="CA79" i="1"/>
  <c r="BR79" i="1"/>
  <c r="BI79" i="1"/>
  <c r="AZ79" i="1"/>
  <c r="AQ79" i="1"/>
  <c r="AH79" i="1"/>
  <c r="Y79" i="1"/>
  <c r="CQ78" i="1"/>
  <c r="CH78" i="1"/>
  <c r="BY78" i="1"/>
  <c r="BP78" i="1"/>
  <c r="BF78" i="1"/>
  <c r="AU78" i="1"/>
  <c r="AK78" i="1"/>
  <c r="Z78" i="1"/>
  <c r="O78" i="1"/>
  <c r="CP77" i="1"/>
  <c r="CC77" i="1"/>
  <c r="BR77" i="1"/>
  <c r="BD77" i="1"/>
  <c r="AS77" i="1"/>
  <c r="AE77" i="1"/>
  <c r="Q77" i="1"/>
  <c r="CQ76" i="1"/>
  <c r="CC76" i="1"/>
  <c r="BR76" i="1"/>
  <c r="BD76" i="1"/>
  <c r="AP76" i="1"/>
  <c r="AE76" i="1"/>
  <c r="Q76" i="1"/>
  <c r="CQ75" i="1"/>
  <c r="CC75" i="1"/>
  <c r="BO75" i="1"/>
  <c r="BD75" i="1"/>
  <c r="AP75" i="1"/>
  <c r="AE75" i="1"/>
  <c r="Q75" i="1"/>
  <c r="CN74" i="1"/>
  <c r="CC74" i="1"/>
  <c r="BO74" i="1"/>
  <c r="BD74" i="1"/>
  <c r="AP74" i="1"/>
  <c r="AB74" i="1"/>
  <c r="Q74" i="1"/>
  <c r="CN73" i="1"/>
  <c r="CC73" i="1"/>
  <c r="BO73" i="1"/>
  <c r="BA73" i="1"/>
  <c r="AP73" i="1"/>
  <c r="AB73" i="1"/>
  <c r="Q73" i="1"/>
  <c r="CN72" i="1"/>
  <c r="BZ72" i="1"/>
  <c r="BO72" i="1"/>
  <c r="BA72" i="1"/>
  <c r="AP72" i="1"/>
  <c r="AB72" i="1"/>
  <c r="CV71" i="1"/>
  <c r="CJ70" i="1"/>
  <c r="O70" i="1"/>
  <c r="P79" i="1"/>
  <c r="X79" i="1"/>
  <c r="AF79" i="1"/>
  <c r="AN79" i="1"/>
  <c r="AV79" i="1"/>
  <c r="BD79" i="1"/>
  <c r="BL79" i="1"/>
  <c r="BT79" i="1"/>
  <c r="CB79" i="1"/>
  <c r="CJ79" i="1"/>
  <c r="CR79" i="1"/>
  <c r="P71" i="1"/>
  <c r="X71" i="1"/>
  <c r="AF71" i="1"/>
  <c r="AN71" i="1"/>
  <c r="AV71" i="1"/>
  <c r="BD71" i="1"/>
  <c r="BL71" i="1"/>
  <c r="BT71" i="1"/>
  <c r="CB71" i="1"/>
  <c r="CJ71" i="1"/>
  <c r="CR71" i="1"/>
  <c r="Q71" i="1"/>
  <c r="Y71" i="1"/>
  <c r="AG71" i="1"/>
  <c r="AO71" i="1"/>
  <c r="AW71" i="1"/>
  <c r="BE71" i="1"/>
  <c r="BM71" i="1"/>
  <c r="BU71" i="1"/>
  <c r="CC71" i="1"/>
  <c r="CK71" i="1"/>
  <c r="CS71" i="1"/>
  <c r="R71" i="1"/>
  <c r="Z71" i="1"/>
  <c r="AH71" i="1"/>
  <c r="AP71" i="1"/>
  <c r="AX71" i="1"/>
  <c r="BF71" i="1"/>
  <c r="BN71" i="1"/>
  <c r="BV71" i="1"/>
  <c r="CD71" i="1"/>
  <c r="CL71" i="1"/>
  <c r="CT71" i="1"/>
  <c r="S71" i="1"/>
  <c r="AA71" i="1"/>
  <c r="AI71" i="1"/>
  <c r="AQ71" i="1"/>
  <c r="AY71" i="1"/>
  <c r="BG71" i="1"/>
  <c r="BO71" i="1"/>
  <c r="BW71" i="1"/>
  <c r="T71" i="1"/>
  <c r="AB71" i="1"/>
  <c r="AJ71" i="1"/>
  <c r="AR71" i="1"/>
  <c r="AZ71" i="1"/>
  <c r="BH71" i="1"/>
  <c r="BP71" i="1"/>
  <c r="BX71" i="1"/>
  <c r="CF71" i="1"/>
  <c r="CN71" i="1"/>
  <c r="M71" i="1"/>
  <c r="U71" i="1"/>
  <c r="AC71" i="1"/>
  <c r="AK71" i="1"/>
  <c r="AS71" i="1"/>
  <c r="BA71" i="1"/>
  <c r="BI71" i="1"/>
  <c r="BQ71" i="1"/>
  <c r="BY71" i="1"/>
  <c r="CG71" i="1"/>
  <c r="CO71" i="1"/>
  <c r="CW71" i="1"/>
  <c r="N71" i="1"/>
  <c r="V71" i="1"/>
  <c r="AD71" i="1"/>
  <c r="AL71" i="1"/>
  <c r="AT71" i="1"/>
  <c r="BB71" i="1"/>
  <c r="BJ71" i="1"/>
  <c r="BR71" i="1"/>
  <c r="BZ71" i="1"/>
  <c r="CH71" i="1"/>
  <c r="CP71" i="1"/>
  <c r="P63" i="1"/>
  <c r="X63" i="1"/>
  <c r="AF63" i="1"/>
  <c r="AN63" i="1"/>
  <c r="AV63" i="1"/>
  <c r="BD63" i="1"/>
  <c r="BL63" i="1"/>
  <c r="BT63" i="1"/>
  <c r="CB63" i="1"/>
  <c r="CJ63" i="1"/>
  <c r="CR63" i="1"/>
  <c r="Q63" i="1"/>
  <c r="Y63" i="1"/>
  <c r="AG63" i="1"/>
  <c r="AO63" i="1"/>
  <c r="AW63" i="1"/>
  <c r="BE63" i="1"/>
  <c r="BM63" i="1"/>
  <c r="BU63" i="1"/>
  <c r="CC63" i="1"/>
  <c r="CK63" i="1"/>
  <c r="CS63" i="1"/>
  <c r="R63" i="1"/>
  <c r="Z63" i="1"/>
  <c r="AH63" i="1"/>
  <c r="AP63" i="1"/>
  <c r="AX63" i="1"/>
  <c r="BF63" i="1"/>
  <c r="BN63" i="1"/>
  <c r="BV63" i="1"/>
  <c r="CD63" i="1"/>
  <c r="CL63" i="1"/>
  <c r="CT63" i="1"/>
  <c r="W63" i="1"/>
  <c r="AK63" i="1"/>
  <c r="AY63" i="1"/>
  <c r="BJ63" i="1"/>
  <c r="BX63" i="1"/>
  <c r="CI63" i="1"/>
  <c r="CW63" i="1"/>
  <c r="M63" i="1"/>
  <c r="AA63" i="1"/>
  <c r="AL63" i="1"/>
  <c r="AZ63" i="1"/>
  <c r="BK63" i="1"/>
  <c r="BY63" i="1"/>
  <c r="CM63" i="1"/>
  <c r="N63" i="1"/>
  <c r="AB63" i="1"/>
  <c r="AM63" i="1"/>
  <c r="BA63" i="1"/>
  <c r="BO63" i="1"/>
  <c r="BZ63" i="1"/>
  <c r="CN63" i="1"/>
  <c r="O63" i="1"/>
  <c r="AC63" i="1"/>
  <c r="AQ63" i="1"/>
  <c r="BB63" i="1"/>
  <c r="BP63" i="1"/>
  <c r="CA63" i="1"/>
  <c r="CO63" i="1"/>
  <c r="S63" i="1"/>
  <c r="AD63" i="1"/>
  <c r="AR63" i="1"/>
  <c r="BC63" i="1"/>
  <c r="BQ63" i="1"/>
  <c r="CE63" i="1"/>
  <c r="CP63" i="1"/>
  <c r="T63" i="1"/>
  <c r="AE63" i="1"/>
  <c r="AS63" i="1"/>
  <c r="BG63" i="1"/>
  <c r="BR63" i="1"/>
  <c r="CF63" i="1"/>
  <c r="CQ63" i="1"/>
  <c r="U63" i="1"/>
  <c r="AI63" i="1"/>
  <c r="AT63" i="1"/>
  <c r="BH63" i="1"/>
  <c r="BS63" i="1"/>
  <c r="CG63" i="1"/>
  <c r="CU63" i="1"/>
  <c r="V63" i="1"/>
  <c r="AJ63" i="1"/>
  <c r="AU63" i="1"/>
  <c r="BI63" i="1"/>
  <c r="BW63" i="1"/>
  <c r="CH63" i="1"/>
  <c r="CV63" i="1"/>
  <c r="S55" i="1"/>
  <c r="T55" i="1"/>
  <c r="AB55" i="1"/>
  <c r="AJ55" i="1"/>
  <c r="AR55" i="1"/>
  <c r="AZ55" i="1"/>
  <c r="BH55" i="1"/>
  <c r="BP55" i="1"/>
  <c r="BX55" i="1"/>
  <c r="CF55" i="1"/>
  <c r="CN55" i="1"/>
  <c r="CV55" i="1"/>
  <c r="V55" i="1"/>
  <c r="AE55" i="1"/>
  <c r="AN55" i="1"/>
  <c r="AW55" i="1"/>
  <c r="BF55" i="1"/>
  <c r="BO55" i="1"/>
  <c r="BY55" i="1"/>
  <c r="CH55" i="1"/>
  <c r="CQ55" i="1"/>
  <c r="M55" i="1"/>
  <c r="W55" i="1"/>
  <c r="AF55" i="1"/>
  <c r="AO55" i="1"/>
  <c r="AX55" i="1"/>
  <c r="BG55" i="1"/>
  <c r="BQ55" i="1"/>
  <c r="BZ55" i="1"/>
  <c r="CI55" i="1"/>
  <c r="CR55" i="1"/>
  <c r="N55" i="1"/>
  <c r="X55" i="1"/>
  <c r="AG55" i="1"/>
  <c r="AP55" i="1"/>
  <c r="AY55" i="1"/>
  <c r="BI55" i="1"/>
  <c r="BR55" i="1"/>
  <c r="CA55" i="1"/>
  <c r="CJ55" i="1"/>
  <c r="CS55" i="1"/>
  <c r="O55" i="1"/>
  <c r="Y55" i="1"/>
  <c r="AH55" i="1"/>
  <c r="AQ55" i="1"/>
  <c r="BA55" i="1"/>
  <c r="BJ55" i="1"/>
  <c r="BS55" i="1"/>
  <c r="CB55" i="1"/>
  <c r="CK55" i="1"/>
  <c r="CT55" i="1"/>
  <c r="P55" i="1"/>
  <c r="Z55" i="1"/>
  <c r="AI55" i="1"/>
  <c r="AS55" i="1"/>
  <c r="BB55" i="1"/>
  <c r="BK55" i="1"/>
  <c r="BT55" i="1"/>
  <c r="CC55" i="1"/>
  <c r="CL55" i="1"/>
  <c r="CU55" i="1"/>
  <c r="Q55" i="1"/>
  <c r="AA55" i="1"/>
  <c r="AK55" i="1"/>
  <c r="AT55" i="1"/>
  <c r="BC55" i="1"/>
  <c r="BL55" i="1"/>
  <c r="BU55" i="1"/>
  <c r="CD55" i="1"/>
  <c r="CM55" i="1"/>
  <c r="CW55" i="1"/>
  <c r="R55" i="1"/>
  <c r="AC55" i="1"/>
  <c r="AL55" i="1"/>
  <c r="AU55" i="1"/>
  <c r="BD55" i="1"/>
  <c r="BM55" i="1"/>
  <c r="BV55" i="1"/>
  <c r="CE55" i="1"/>
  <c r="CO55" i="1"/>
  <c r="U55" i="1"/>
  <c r="AD55" i="1"/>
  <c r="AM55" i="1"/>
  <c r="AV55" i="1"/>
  <c r="BE55" i="1"/>
  <c r="BN55" i="1"/>
  <c r="BW55" i="1"/>
  <c r="CG55" i="1"/>
  <c r="CP55" i="1"/>
  <c r="M47" i="1"/>
  <c r="U47" i="1"/>
  <c r="AC47" i="1"/>
  <c r="AK47" i="1"/>
  <c r="AS47" i="1"/>
  <c r="BA47" i="1"/>
  <c r="BI47" i="1"/>
  <c r="BQ47" i="1"/>
  <c r="BY47" i="1"/>
  <c r="CG47" i="1"/>
  <c r="CO47" i="1"/>
  <c r="CW47" i="1"/>
  <c r="N47" i="1"/>
  <c r="V47" i="1"/>
  <c r="AD47" i="1"/>
  <c r="AL47" i="1"/>
  <c r="AT47" i="1"/>
  <c r="BB47" i="1"/>
  <c r="BJ47" i="1"/>
  <c r="BR47" i="1"/>
  <c r="BZ47" i="1"/>
  <c r="O47" i="1"/>
  <c r="W47" i="1"/>
  <c r="AE47" i="1"/>
  <c r="AM47" i="1"/>
  <c r="AU47" i="1"/>
  <c r="BC47" i="1"/>
  <c r="BK47" i="1"/>
  <c r="BS47" i="1"/>
  <c r="CA47" i="1"/>
  <c r="CI47" i="1"/>
  <c r="X47" i="1"/>
  <c r="AI47" i="1"/>
  <c r="AW47" i="1"/>
  <c r="BH47" i="1"/>
  <c r="BV47" i="1"/>
  <c r="CH47" i="1"/>
  <c r="CR47" i="1"/>
  <c r="Y47" i="1"/>
  <c r="AJ47" i="1"/>
  <c r="AX47" i="1"/>
  <c r="BL47" i="1"/>
  <c r="BW47" i="1"/>
  <c r="CJ47" i="1"/>
  <c r="CS47" i="1"/>
  <c r="Z47" i="1"/>
  <c r="AN47" i="1"/>
  <c r="AY47" i="1"/>
  <c r="BM47" i="1"/>
  <c r="BX47" i="1"/>
  <c r="CK47" i="1"/>
  <c r="CT47" i="1"/>
  <c r="P47" i="1"/>
  <c r="AA47" i="1"/>
  <c r="AO47" i="1"/>
  <c r="AZ47" i="1"/>
  <c r="BN47" i="1"/>
  <c r="CB47" i="1"/>
  <c r="CL47" i="1"/>
  <c r="CU47" i="1"/>
  <c r="Q47" i="1"/>
  <c r="AB47" i="1"/>
  <c r="AP47" i="1"/>
  <c r="BD47" i="1"/>
  <c r="BO47" i="1"/>
  <c r="CC47" i="1"/>
  <c r="CM47" i="1"/>
  <c r="CV47" i="1"/>
  <c r="R47" i="1"/>
  <c r="AF47" i="1"/>
  <c r="AQ47" i="1"/>
  <c r="BE47" i="1"/>
  <c r="BP47" i="1"/>
  <c r="CD47" i="1"/>
  <c r="CN47" i="1"/>
  <c r="S47" i="1"/>
  <c r="AG47" i="1"/>
  <c r="AR47" i="1"/>
  <c r="BF47" i="1"/>
  <c r="BT47" i="1"/>
  <c r="CE47" i="1"/>
  <c r="CP47" i="1"/>
  <c r="T47" i="1"/>
  <c r="AH47" i="1"/>
  <c r="AV47" i="1"/>
  <c r="BG47" i="1"/>
  <c r="BU47" i="1"/>
  <c r="CF47" i="1"/>
  <c r="CQ47" i="1"/>
  <c r="P39" i="1"/>
  <c r="X39" i="1"/>
  <c r="AF39" i="1"/>
  <c r="AN39" i="1"/>
  <c r="AV39" i="1"/>
  <c r="BD39" i="1"/>
  <c r="BL39" i="1"/>
  <c r="BT39" i="1"/>
  <c r="CB39" i="1"/>
  <c r="CJ39" i="1"/>
  <c r="CR39" i="1"/>
  <c r="N39" i="1"/>
  <c r="W39" i="1"/>
  <c r="AG39" i="1"/>
  <c r="AP39" i="1"/>
  <c r="AY39" i="1"/>
  <c r="BH39" i="1"/>
  <c r="BQ39" i="1"/>
  <c r="BZ39" i="1"/>
  <c r="CI39" i="1"/>
  <c r="CS39" i="1"/>
  <c r="O39" i="1"/>
  <c r="Y39" i="1"/>
  <c r="AH39" i="1"/>
  <c r="AQ39" i="1"/>
  <c r="AZ39" i="1"/>
  <c r="BI39" i="1"/>
  <c r="BR39" i="1"/>
  <c r="CA39" i="1"/>
  <c r="CK39" i="1"/>
  <c r="CT39" i="1"/>
  <c r="Q39" i="1"/>
  <c r="Z39" i="1"/>
  <c r="AI39" i="1"/>
  <c r="AR39" i="1"/>
  <c r="BA39" i="1"/>
  <c r="BJ39" i="1"/>
  <c r="BS39" i="1"/>
  <c r="CC39" i="1"/>
  <c r="CL39" i="1"/>
  <c r="CU39" i="1"/>
  <c r="R39" i="1"/>
  <c r="AA39" i="1"/>
  <c r="AJ39" i="1"/>
  <c r="AS39" i="1"/>
  <c r="BB39" i="1"/>
  <c r="BK39" i="1"/>
  <c r="BU39" i="1"/>
  <c r="CD39" i="1"/>
  <c r="CM39" i="1"/>
  <c r="CV39" i="1"/>
  <c r="S39" i="1"/>
  <c r="AB39" i="1"/>
  <c r="AK39" i="1"/>
  <c r="AT39" i="1"/>
  <c r="BC39" i="1"/>
  <c r="BM39" i="1"/>
  <c r="BV39" i="1"/>
  <c r="CE39" i="1"/>
  <c r="CN39" i="1"/>
  <c r="CW39" i="1"/>
  <c r="T39" i="1"/>
  <c r="AC39" i="1"/>
  <c r="AL39" i="1"/>
  <c r="AU39" i="1"/>
  <c r="BE39" i="1"/>
  <c r="BN39" i="1"/>
  <c r="BW39" i="1"/>
  <c r="CF39" i="1"/>
  <c r="CO39" i="1"/>
  <c r="U39" i="1"/>
  <c r="AD39" i="1"/>
  <c r="AM39" i="1"/>
  <c r="AW39" i="1"/>
  <c r="BF39" i="1"/>
  <c r="BO39" i="1"/>
  <c r="BX39" i="1"/>
  <c r="CG39" i="1"/>
  <c r="CP39" i="1"/>
  <c r="M39" i="1"/>
  <c r="V39" i="1"/>
  <c r="AE39" i="1"/>
  <c r="AO39" i="1"/>
  <c r="AX39" i="1"/>
  <c r="BG39" i="1"/>
  <c r="BP39" i="1"/>
  <c r="BY39" i="1"/>
  <c r="CH39" i="1"/>
  <c r="CQ39" i="1"/>
  <c r="P31" i="1"/>
  <c r="X31" i="1"/>
  <c r="AF31" i="1"/>
  <c r="AN31" i="1"/>
  <c r="AV31" i="1"/>
  <c r="BD31" i="1"/>
  <c r="BL31" i="1"/>
  <c r="BT31" i="1"/>
  <c r="CB31" i="1"/>
  <c r="CJ31" i="1"/>
  <c r="CR31" i="1"/>
  <c r="Q31" i="1"/>
  <c r="Y31" i="1"/>
  <c r="AG31" i="1"/>
  <c r="AO31" i="1"/>
  <c r="AW31" i="1"/>
  <c r="BE31" i="1"/>
  <c r="BM31" i="1"/>
  <c r="BU31" i="1"/>
  <c r="CC31" i="1"/>
  <c r="CK31" i="1"/>
  <c r="CS31" i="1"/>
  <c r="R31" i="1"/>
  <c r="Z31" i="1"/>
  <c r="AH31" i="1"/>
  <c r="AP31" i="1"/>
  <c r="AX31" i="1"/>
  <c r="BF31" i="1"/>
  <c r="BN31" i="1"/>
  <c r="BV31" i="1"/>
  <c r="CD31" i="1"/>
  <c r="CL31" i="1"/>
  <c r="CT31" i="1"/>
  <c r="S31" i="1"/>
  <c r="AA31" i="1"/>
  <c r="AI31" i="1"/>
  <c r="AQ31" i="1"/>
  <c r="AY31" i="1"/>
  <c r="BG31" i="1"/>
  <c r="BO31" i="1"/>
  <c r="BW31" i="1"/>
  <c r="CE31" i="1"/>
  <c r="CM31" i="1"/>
  <c r="CU31" i="1"/>
  <c r="T31" i="1"/>
  <c r="AB31" i="1"/>
  <c r="AJ31" i="1"/>
  <c r="AR31" i="1"/>
  <c r="AZ31" i="1"/>
  <c r="BH31" i="1"/>
  <c r="BP31" i="1"/>
  <c r="BX31" i="1"/>
  <c r="CF31" i="1"/>
  <c r="CN31" i="1"/>
  <c r="M31" i="1"/>
  <c r="U31" i="1"/>
  <c r="AC31" i="1"/>
  <c r="AK31" i="1"/>
  <c r="AS31" i="1"/>
  <c r="BA31" i="1"/>
  <c r="BI31" i="1"/>
  <c r="BQ31" i="1"/>
  <c r="BY31" i="1"/>
  <c r="CG31" i="1"/>
  <c r="CO31" i="1"/>
  <c r="CW31" i="1"/>
  <c r="N31" i="1"/>
  <c r="V31" i="1"/>
  <c r="AD31" i="1"/>
  <c r="AL31" i="1"/>
  <c r="AT31" i="1"/>
  <c r="BB31" i="1"/>
  <c r="BJ31" i="1"/>
  <c r="BR31" i="1"/>
  <c r="BZ31" i="1"/>
  <c r="CH31" i="1"/>
  <c r="CP31" i="1"/>
  <c r="O31" i="1"/>
  <c r="W31" i="1"/>
  <c r="AE31" i="1"/>
  <c r="AM31" i="1"/>
  <c r="AU31" i="1"/>
  <c r="BC31" i="1"/>
  <c r="BK31" i="1"/>
  <c r="BS31" i="1"/>
  <c r="CA31" i="1"/>
  <c r="CI31" i="1"/>
  <c r="CQ31" i="1"/>
  <c r="CV31" i="1"/>
  <c r="N23" i="1"/>
  <c r="V23" i="1"/>
  <c r="AD23" i="1"/>
  <c r="AL23" i="1"/>
  <c r="AT23" i="1"/>
  <c r="BB23" i="1"/>
  <c r="BJ23" i="1"/>
  <c r="BR23" i="1"/>
  <c r="BZ23" i="1"/>
  <c r="CH23" i="1"/>
  <c r="CP23" i="1"/>
  <c r="O23" i="1"/>
  <c r="W23" i="1"/>
  <c r="AE23" i="1"/>
  <c r="AM23" i="1"/>
  <c r="AU23" i="1"/>
  <c r="BC23" i="1"/>
  <c r="BK23" i="1"/>
  <c r="BS23" i="1"/>
  <c r="CA23" i="1"/>
  <c r="CI23" i="1"/>
  <c r="CQ23" i="1"/>
  <c r="P23" i="1"/>
  <c r="X23" i="1"/>
  <c r="AF23" i="1"/>
  <c r="AN23" i="1"/>
  <c r="AV23" i="1"/>
  <c r="BD23" i="1"/>
  <c r="BL23" i="1"/>
  <c r="BT23" i="1"/>
  <c r="CB23" i="1"/>
  <c r="CJ23" i="1"/>
  <c r="CR23" i="1"/>
  <c r="Q23" i="1"/>
  <c r="Y23" i="1"/>
  <c r="AG23" i="1"/>
  <c r="AO23" i="1"/>
  <c r="AW23" i="1"/>
  <c r="BE23" i="1"/>
  <c r="BM23" i="1"/>
  <c r="BU23" i="1"/>
  <c r="CC23" i="1"/>
  <c r="CK23" i="1"/>
  <c r="CS23" i="1"/>
  <c r="R23" i="1"/>
  <c r="Z23" i="1"/>
  <c r="AH23" i="1"/>
  <c r="AP23" i="1"/>
  <c r="AX23" i="1"/>
  <c r="BF23" i="1"/>
  <c r="BN23" i="1"/>
  <c r="BV23" i="1"/>
  <c r="CD23" i="1"/>
  <c r="S23" i="1"/>
  <c r="AA23" i="1"/>
  <c r="AI23" i="1"/>
  <c r="AQ23" i="1"/>
  <c r="AY23" i="1"/>
  <c r="BG23" i="1"/>
  <c r="BO23" i="1"/>
  <c r="BW23" i="1"/>
  <c r="CE23" i="1"/>
  <c r="CM23" i="1"/>
  <c r="CU23" i="1"/>
  <c r="T23" i="1"/>
  <c r="AB23" i="1"/>
  <c r="AJ23" i="1"/>
  <c r="AR23" i="1"/>
  <c r="AZ23" i="1"/>
  <c r="BH23" i="1"/>
  <c r="BP23" i="1"/>
  <c r="BX23" i="1"/>
  <c r="CF23" i="1"/>
  <c r="CN23" i="1"/>
  <c r="CV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CL23" i="1"/>
  <c r="CT23" i="1"/>
  <c r="N15" i="1"/>
  <c r="V15" i="1"/>
  <c r="AD15" i="1"/>
  <c r="AL15" i="1"/>
  <c r="AT15" i="1"/>
  <c r="BB15" i="1"/>
  <c r="BJ15" i="1"/>
  <c r="BR15" i="1"/>
  <c r="BZ15" i="1"/>
  <c r="CH15" i="1"/>
  <c r="CP15" i="1"/>
  <c r="T15" i="1"/>
  <c r="AC15" i="1"/>
  <c r="AM15" i="1"/>
  <c r="AV15" i="1"/>
  <c r="BE15" i="1"/>
  <c r="BN15" i="1"/>
  <c r="BW15" i="1"/>
  <c r="CF15" i="1"/>
  <c r="CO15" i="1"/>
  <c r="U15" i="1"/>
  <c r="AE15" i="1"/>
  <c r="AN15" i="1"/>
  <c r="AW15" i="1"/>
  <c r="BF15" i="1"/>
  <c r="BO15" i="1"/>
  <c r="BX15" i="1"/>
  <c r="CG15" i="1"/>
  <c r="CQ15" i="1"/>
  <c r="M15" i="1"/>
  <c r="W15" i="1"/>
  <c r="AF15" i="1"/>
  <c r="AO15" i="1"/>
  <c r="AX15" i="1"/>
  <c r="BG15" i="1"/>
  <c r="BP15" i="1"/>
  <c r="BY15" i="1"/>
  <c r="CI15" i="1"/>
  <c r="CR15" i="1"/>
  <c r="O15" i="1"/>
  <c r="X15" i="1"/>
  <c r="AG15" i="1"/>
  <c r="AP15" i="1"/>
  <c r="AY15" i="1"/>
  <c r="BH15" i="1"/>
  <c r="BQ15" i="1"/>
  <c r="CA15" i="1"/>
  <c r="CJ15" i="1"/>
  <c r="CS15" i="1"/>
  <c r="P15" i="1"/>
  <c r="Y15" i="1"/>
  <c r="AH15" i="1"/>
  <c r="AQ15" i="1"/>
  <c r="AZ15" i="1"/>
  <c r="BI15" i="1"/>
  <c r="BS15" i="1"/>
  <c r="CB15" i="1"/>
  <c r="CK15" i="1"/>
  <c r="CT15" i="1"/>
  <c r="Q15" i="1"/>
  <c r="Z15" i="1"/>
  <c r="AI15" i="1"/>
  <c r="AR15" i="1"/>
  <c r="BA15" i="1"/>
  <c r="BK15" i="1"/>
  <c r="BT15" i="1"/>
  <c r="CC15" i="1"/>
  <c r="CL15" i="1"/>
  <c r="CU15" i="1"/>
  <c r="R15" i="1"/>
  <c r="AA15" i="1"/>
  <c r="AJ15" i="1"/>
  <c r="AS15" i="1"/>
  <c r="BC15" i="1"/>
  <c r="BL15" i="1"/>
  <c r="BU15" i="1"/>
  <c r="CD15" i="1"/>
  <c r="CM15" i="1"/>
  <c r="CV15" i="1"/>
  <c r="S15" i="1"/>
  <c r="AB15" i="1"/>
  <c r="AK15" i="1"/>
  <c r="AU15" i="1"/>
  <c r="BD15" i="1"/>
  <c r="BM15" i="1"/>
  <c r="BV15" i="1"/>
  <c r="CE15" i="1"/>
  <c r="CN15" i="1"/>
  <c r="CW15" i="1"/>
  <c r="O7" i="1"/>
  <c r="W7" i="1"/>
  <c r="AE7" i="1"/>
  <c r="AM7" i="1"/>
  <c r="AU7" i="1"/>
  <c r="BC7" i="1"/>
  <c r="BK7" i="1"/>
  <c r="BS7" i="1"/>
  <c r="CA7" i="1"/>
  <c r="P7" i="1"/>
  <c r="X7" i="1"/>
  <c r="AF7" i="1"/>
  <c r="AN7" i="1"/>
  <c r="AV7" i="1"/>
  <c r="BD7" i="1"/>
  <c r="BL7" i="1"/>
  <c r="BT7" i="1"/>
  <c r="CB7" i="1"/>
  <c r="CJ7" i="1"/>
  <c r="CR7" i="1"/>
  <c r="Q7" i="1"/>
  <c r="Y7" i="1"/>
  <c r="AG7" i="1"/>
  <c r="AO7" i="1"/>
  <c r="AW7" i="1"/>
  <c r="BE7" i="1"/>
  <c r="BM7" i="1"/>
  <c r="BU7" i="1"/>
  <c r="CC7" i="1"/>
  <c r="CK7" i="1"/>
  <c r="CS7" i="1"/>
  <c r="T7" i="1"/>
  <c r="AH7" i="1"/>
  <c r="AS7" i="1"/>
  <c r="BG7" i="1"/>
  <c r="BR7" i="1"/>
  <c r="CF7" i="1"/>
  <c r="CP7" i="1"/>
  <c r="U7" i="1"/>
  <c r="AI7" i="1"/>
  <c r="AT7" i="1"/>
  <c r="BH7" i="1"/>
  <c r="BV7" i="1"/>
  <c r="CG7" i="1"/>
  <c r="CQ7" i="1"/>
  <c r="V7" i="1"/>
  <c r="AJ7" i="1"/>
  <c r="AX7" i="1"/>
  <c r="BI7" i="1"/>
  <c r="BW7" i="1"/>
  <c r="CH7" i="1"/>
  <c r="CT7" i="1"/>
  <c r="Z7" i="1"/>
  <c r="AK7" i="1"/>
  <c r="AY7" i="1"/>
  <c r="BJ7" i="1"/>
  <c r="BX7" i="1"/>
  <c r="CI7" i="1"/>
  <c r="CU7" i="1"/>
  <c r="M7" i="1"/>
  <c r="AA7" i="1"/>
  <c r="AL7" i="1"/>
  <c r="AZ7" i="1"/>
  <c r="BN7" i="1"/>
  <c r="BY7" i="1"/>
  <c r="CL7" i="1"/>
  <c r="CV7" i="1"/>
  <c r="N7" i="1"/>
  <c r="AB7" i="1"/>
  <c r="AP7" i="1"/>
  <c r="BA7" i="1"/>
  <c r="BO7" i="1"/>
  <c r="BZ7" i="1"/>
  <c r="CM7" i="1"/>
  <c r="CW7" i="1"/>
  <c r="R7" i="1"/>
  <c r="AC7" i="1"/>
  <c r="AQ7" i="1"/>
  <c r="BB7" i="1"/>
  <c r="BP7" i="1"/>
  <c r="CD7" i="1"/>
  <c r="CN7" i="1"/>
  <c r="S7" i="1"/>
  <c r="AD7" i="1"/>
  <c r="AR7" i="1"/>
  <c r="BF7" i="1"/>
  <c r="BQ7" i="1"/>
  <c r="CE7" i="1"/>
  <c r="CO7" i="1"/>
  <c r="CQ3" i="1"/>
  <c r="CI3" i="1"/>
  <c r="CA3" i="1"/>
  <c r="BS3" i="1"/>
  <c r="BK3" i="1"/>
  <c r="BC3" i="1"/>
  <c r="AU3" i="1"/>
  <c r="AM3" i="1"/>
  <c r="AE3" i="1"/>
  <c r="W3" i="1"/>
  <c r="O3" i="1"/>
  <c r="CQ81" i="1"/>
  <c r="CI81" i="1"/>
  <c r="CA81" i="1"/>
  <c r="BS81" i="1"/>
  <c r="BK81" i="1"/>
  <c r="BC81" i="1"/>
  <c r="AU81" i="1"/>
  <c r="AK81" i="1"/>
  <c r="AB81" i="1"/>
  <c r="S81" i="1"/>
  <c r="CU80" i="1"/>
  <c r="CL80" i="1"/>
  <c r="CC80" i="1"/>
  <c r="BT80" i="1"/>
  <c r="BJ80" i="1"/>
  <c r="BA80" i="1"/>
  <c r="AR80" i="1"/>
  <c r="AI80" i="1"/>
  <c r="Z80" i="1"/>
  <c r="Q80" i="1"/>
  <c r="CS79" i="1"/>
  <c r="CI79" i="1"/>
  <c r="BZ79" i="1"/>
  <c r="BQ79" i="1"/>
  <c r="BH79" i="1"/>
  <c r="AY79" i="1"/>
  <c r="AP79" i="1"/>
  <c r="AG79" i="1"/>
  <c r="W79" i="1"/>
  <c r="N79" i="1"/>
  <c r="CP78" i="1"/>
  <c r="CG78" i="1"/>
  <c r="BX78" i="1"/>
  <c r="BO78" i="1"/>
  <c r="BD78" i="1"/>
  <c r="AT78" i="1"/>
  <c r="AJ78" i="1"/>
  <c r="X78" i="1"/>
  <c r="CO77" i="1"/>
  <c r="CB77" i="1"/>
  <c r="BQ77" i="1"/>
  <c r="BC77" i="1"/>
  <c r="AO77" i="1"/>
  <c r="AD77" i="1"/>
  <c r="P77" i="1"/>
  <c r="CP76" i="1"/>
  <c r="CB76" i="1"/>
  <c r="BN76" i="1"/>
  <c r="BC76" i="1"/>
  <c r="AO76" i="1"/>
  <c r="AD76" i="1"/>
  <c r="P76" i="1"/>
  <c r="CM75" i="1"/>
  <c r="CB75" i="1"/>
  <c r="BN75" i="1"/>
  <c r="BC75" i="1"/>
  <c r="AO75" i="1"/>
  <c r="AA75" i="1"/>
  <c r="P75" i="1"/>
  <c r="CM74" i="1"/>
  <c r="CB74" i="1"/>
  <c r="BN74" i="1"/>
  <c r="AZ74" i="1"/>
  <c r="AO74" i="1"/>
  <c r="AA74" i="1"/>
  <c r="P74" i="1"/>
  <c r="CM73" i="1"/>
  <c r="BY73" i="1"/>
  <c r="BN73" i="1"/>
  <c r="AZ73" i="1"/>
  <c r="AO73" i="1"/>
  <c r="AA73" i="1"/>
  <c r="M73" i="1"/>
  <c r="CM72" i="1"/>
  <c r="BY72" i="1"/>
  <c r="BN72" i="1"/>
  <c r="AZ72" i="1"/>
  <c r="AL72" i="1"/>
  <c r="AA72" i="1"/>
  <c r="CU71" i="1"/>
  <c r="BC71" i="1"/>
  <c r="CQ69" i="1"/>
  <c r="Q78" i="1"/>
  <c r="Y78" i="1"/>
  <c r="AG78" i="1"/>
  <c r="AO78" i="1"/>
  <c r="AW78" i="1"/>
  <c r="BE78" i="1"/>
  <c r="BM78" i="1"/>
  <c r="BU78" i="1"/>
  <c r="CC78" i="1"/>
  <c r="CK78" i="1"/>
  <c r="CS78" i="1"/>
  <c r="S78" i="1"/>
  <c r="AA78" i="1"/>
  <c r="AI78" i="1"/>
  <c r="AQ78" i="1"/>
  <c r="AY78" i="1"/>
  <c r="BG78" i="1"/>
  <c r="Q70" i="1"/>
  <c r="Y70" i="1"/>
  <c r="AG70" i="1"/>
  <c r="AO70" i="1"/>
  <c r="AW70" i="1"/>
  <c r="BE70" i="1"/>
  <c r="BM70" i="1"/>
  <c r="BU70" i="1"/>
  <c r="CC70" i="1"/>
  <c r="P70" i="1"/>
  <c r="Z70" i="1"/>
  <c r="AI70" i="1"/>
  <c r="AR70" i="1"/>
  <c r="BA70" i="1"/>
  <c r="BJ70" i="1"/>
  <c r="BS70" i="1"/>
  <c r="CB70" i="1"/>
  <c r="CK70" i="1"/>
  <c r="CS70" i="1"/>
  <c r="R70" i="1"/>
  <c r="AA70" i="1"/>
  <c r="AJ70" i="1"/>
  <c r="AS70" i="1"/>
  <c r="BB70" i="1"/>
  <c r="BK70" i="1"/>
  <c r="BT70" i="1"/>
  <c r="CD70" i="1"/>
  <c r="CL70" i="1"/>
  <c r="CT70" i="1"/>
  <c r="S70" i="1"/>
  <c r="AB70" i="1"/>
  <c r="AK70" i="1"/>
  <c r="AT70" i="1"/>
  <c r="BC70" i="1"/>
  <c r="BL70" i="1"/>
  <c r="BV70" i="1"/>
  <c r="CE70" i="1"/>
  <c r="CM70" i="1"/>
  <c r="CU70" i="1"/>
  <c r="T70" i="1"/>
  <c r="AC70" i="1"/>
  <c r="AL70" i="1"/>
  <c r="AU70" i="1"/>
  <c r="BD70" i="1"/>
  <c r="BN70" i="1"/>
  <c r="BW70" i="1"/>
  <c r="CF70" i="1"/>
  <c r="CN70" i="1"/>
  <c r="CV70" i="1"/>
  <c r="U70" i="1"/>
  <c r="AD70" i="1"/>
  <c r="AM70" i="1"/>
  <c r="AV70" i="1"/>
  <c r="BF70" i="1"/>
  <c r="BO70" i="1"/>
  <c r="BX70" i="1"/>
  <c r="CG70" i="1"/>
  <c r="CO70" i="1"/>
  <c r="CW70" i="1"/>
  <c r="M70" i="1"/>
  <c r="V70" i="1"/>
  <c r="AE70" i="1"/>
  <c r="AN70" i="1"/>
  <c r="AX70" i="1"/>
  <c r="BG70" i="1"/>
  <c r="BP70" i="1"/>
  <c r="BY70" i="1"/>
  <c r="CH70" i="1"/>
  <c r="CP70" i="1"/>
  <c r="N70" i="1"/>
  <c r="W70" i="1"/>
  <c r="AF70" i="1"/>
  <c r="AP70" i="1"/>
  <c r="AY70" i="1"/>
  <c r="BH70" i="1"/>
  <c r="BQ70" i="1"/>
  <c r="BZ70" i="1"/>
  <c r="CI70" i="1"/>
  <c r="CQ70" i="1"/>
  <c r="Q62" i="1"/>
  <c r="Y62" i="1"/>
  <c r="AG62" i="1"/>
  <c r="AO62" i="1"/>
  <c r="AW62" i="1"/>
  <c r="BE62" i="1"/>
  <c r="BM62" i="1"/>
  <c r="BU62" i="1"/>
  <c r="CC62" i="1"/>
  <c r="CK62" i="1"/>
  <c r="CS62" i="1"/>
  <c r="R62" i="1"/>
  <c r="Z62" i="1"/>
  <c r="AH62" i="1"/>
  <c r="AP62" i="1"/>
  <c r="AX62" i="1"/>
  <c r="BF62" i="1"/>
  <c r="BN62" i="1"/>
  <c r="BV62" i="1"/>
  <c r="CD62" i="1"/>
  <c r="CL62" i="1"/>
  <c r="CT62" i="1"/>
  <c r="S62" i="1"/>
  <c r="AA62" i="1"/>
  <c r="AI62" i="1"/>
  <c r="AQ62" i="1"/>
  <c r="AY62" i="1"/>
  <c r="BG62" i="1"/>
  <c r="BO62" i="1"/>
  <c r="BW62" i="1"/>
  <c r="CE62" i="1"/>
  <c r="CM62" i="1"/>
  <c r="CU62" i="1"/>
  <c r="T62" i="1"/>
  <c r="AB62" i="1"/>
  <c r="AJ62" i="1"/>
  <c r="O62" i="1"/>
  <c r="W62" i="1"/>
  <c r="AE62" i="1"/>
  <c r="AM62" i="1"/>
  <c r="AU62" i="1"/>
  <c r="BC62" i="1"/>
  <c r="BK62" i="1"/>
  <c r="BS62" i="1"/>
  <c r="CA62" i="1"/>
  <c r="P62" i="1"/>
  <c r="X62" i="1"/>
  <c r="AF62" i="1"/>
  <c r="AN62" i="1"/>
  <c r="AV62" i="1"/>
  <c r="BD62" i="1"/>
  <c r="AD62" i="1"/>
  <c r="BB62" i="1"/>
  <c r="BT62" i="1"/>
  <c r="CI62" i="1"/>
  <c r="CW62" i="1"/>
  <c r="AK62" i="1"/>
  <c r="BH62" i="1"/>
  <c r="BX62" i="1"/>
  <c r="CJ62" i="1"/>
  <c r="AL62" i="1"/>
  <c r="BI62" i="1"/>
  <c r="BY62" i="1"/>
  <c r="CN62" i="1"/>
  <c r="M62" i="1"/>
  <c r="AR62" i="1"/>
  <c r="BJ62" i="1"/>
  <c r="BZ62" i="1"/>
  <c r="CO62" i="1"/>
  <c r="N62" i="1"/>
  <c r="AS62" i="1"/>
  <c r="BL62" i="1"/>
  <c r="CB62" i="1"/>
  <c r="CP62" i="1"/>
  <c r="U62" i="1"/>
  <c r="AT62" i="1"/>
  <c r="BP62" i="1"/>
  <c r="CF62" i="1"/>
  <c r="CQ62" i="1"/>
  <c r="V62" i="1"/>
  <c r="AZ62" i="1"/>
  <c r="BQ62" i="1"/>
  <c r="CG62" i="1"/>
  <c r="CR62" i="1"/>
  <c r="AC62" i="1"/>
  <c r="BA62" i="1"/>
  <c r="BR62" i="1"/>
  <c r="CH62" i="1"/>
  <c r="CV62" i="1"/>
  <c r="T54" i="1"/>
  <c r="AB54" i="1"/>
  <c r="AJ54" i="1"/>
  <c r="AR54" i="1"/>
  <c r="AZ54" i="1"/>
  <c r="BH54" i="1"/>
  <c r="BP54" i="1"/>
  <c r="BX54" i="1"/>
  <c r="CF54" i="1"/>
  <c r="CN54" i="1"/>
  <c r="CV54" i="1"/>
  <c r="M54" i="1"/>
  <c r="U54" i="1"/>
  <c r="AC54" i="1"/>
  <c r="AK54" i="1"/>
  <c r="AS54" i="1"/>
  <c r="BA54" i="1"/>
  <c r="BI54" i="1"/>
  <c r="BQ54" i="1"/>
  <c r="BY54" i="1"/>
  <c r="CG54" i="1"/>
  <c r="CO54" i="1"/>
  <c r="CW54" i="1"/>
  <c r="N54" i="1"/>
  <c r="V54" i="1"/>
  <c r="AD54" i="1"/>
  <c r="X54" i="1"/>
  <c r="AI54" i="1"/>
  <c r="AU54" i="1"/>
  <c r="BE54" i="1"/>
  <c r="BO54" i="1"/>
  <c r="CA54" i="1"/>
  <c r="CK54" i="1"/>
  <c r="CU54" i="1"/>
  <c r="Y54" i="1"/>
  <c r="AL54" i="1"/>
  <c r="AV54" i="1"/>
  <c r="BF54" i="1"/>
  <c r="BR54" i="1"/>
  <c r="CB54" i="1"/>
  <c r="CL54" i="1"/>
  <c r="O54" i="1"/>
  <c r="Z54" i="1"/>
  <c r="AM54" i="1"/>
  <c r="AW54" i="1"/>
  <c r="BG54" i="1"/>
  <c r="BS54" i="1"/>
  <c r="CC54" i="1"/>
  <c r="CM54" i="1"/>
  <c r="P54" i="1"/>
  <c r="AA54" i="1"/>
  <c r="AN54" i="1"/>
  <c r="AX54" i="1"/>
  <c r="BJ54" i="1"/>
  <c r="BT54" i="1"/>
  <c r="CD54" i="1"/>
  <c r="CP54" i="1"/>
  <c r="Q54" i="1"/>
  <c r="AE54" i="1"/>
  <c r="AO54" i="1"/>
  <c r="AY54" i="1"/>
  <c r="BK54" i="1"/>
  <c r="BU54" i="1"/>
  <c r="CE54" i="1"/>
  <c r="CQ54" i="1"/>
  <c r="R54" i="1"/>
  <c r="AF54" i="1"/>
  <c r="AP54" i="1"/>
  <c r="BB54" i="1"/>
  <c r="BL54" i="1"/>
  <c r="BV54" i="1"/>
  <c r="CH54" i="1"/>
  <c r="CR54" i="1"/>
  <c r="S54" i="1"/>
  <c r="AG54" i="1"/>
  <c r="AQ54" i="1"/>
  <c r="BC54" i="1"/>
  <c r="BM54" i="1"/>
  <c r="BW54" i="1"/>
  <c r="CI54" i="1"/>
  <c r="CS54" i="1"/>
  <c r="W54" i="1"/>
  <c r="AH54" i="1"/>
  <c r="AT54" i="1"/>
  <c r="BD54" i="1"/>
  <c r="BN54" i="1"/>
  <c r="BZ54" i="1"/>
  <c r="CJ54" i="1"/>
  <c r="CT54" i="1"/>
  <c r="N46" i="1"/>
  <c r="V46" i="1"/>
  <c r="AD46" i="1"/>
  <c r="AL46" i="1"/>
  <c r="AT46" i="1"/>
  <c r="BB46" i="1"/>
  <c r="BJ46" i="1"/>
  <c r="BR46" i="1"/>
  <c r="BZ46" i="1"/>
  <c r="CH46" i="1"/>
  <c r="CP46" i="1"/>
  <c r="O46" i="1"/>
  <c r="W46" i="1"/>
  <c r="AE46" i="1"/>
  <c r="AM46" i="1"/>
  <c r="AU46" i="1"/>
  <c r="BC46" i="1"/>
  <c r="BK46" i="1"/>
  <c r="BS46" i="1"/>
  <c r="CA46" i="1"/>
  <c r="CI46" i="1"/>
  <c r="CQ46" i="1"/>
  <c r="P46" i="1"/>
  <c r="X46" i="1"/>
  <c r="AF46" i="1"/>
  <c r="AN46" i="1"/>
  <c r="AV46" i="1"/>
  <c r="BD46" i="1"/>
  <c r="BL46" i="1"/>
  <c r="BT46" i="1"/>
  <c r="CB46" i="1"/>
  <c r="CJ46" i="1"/>
  <c r="CR46" i="1"/>
  <c r="U46" i="1"/>
  <c r="AI46" i="1"/>
  <c r="AW46" i="1"/>
  <c r="BH46" i="1"/>
  <c r="BV46" i="1"/>
  <c r="CG46" i="1"/>
  <c r="CU46" i="1"/>
  <c r="Y46" i="1"/>
  <c r="AJ46" i="1"/>
  <c r="AX46" i="1"/>
  <c r="BI46" i="1"/>
  <c r="BW46" i="1"/>
  <c r="CK46" i="1"/>
  <c r="CV46" i="1"/>
  <c r="Z46" i="1"/>
  <c r="AK46" i="1"/>
  <c r="AY46" i="1"/>
  <c r="BM46" i="1"/>
  <c r="BX46" i="1"/>
  <c r="CL46" i="1"/>
  <c r="CW46" i="1"/>
  <c r="M46" i="1"/>
  <c r="AA46" i="1"/>
  <c r="AO46" i="1"/>
  <c r="AZ46" i="1"/>
  <c r="BN46" i="1"/>
  <c r="BY46" i="1"/>
  <c r="CM46" i="1"/>
  <c r="Q46" i="1"/>
  <c r="AB46" i="1"/>
  <c r="AP46" i="1"/>
  <c r="BA46" i="1"/>
  <c r="BO46" i="1"/>
  <c r="CC46" i="1"/>
  <c r="CN46" i="1"/>
  <c r="R46" i="1"/>
  <c r="AC46" i="1"/>
  <c r="AQ46" i="1"/>
  <c r="BE46" i="1"/>
  <c r="BP46" i="1"/>
  <c r="CD46" i="1"/>
  <c r="CO46" i="1"/>
  <c r="S46" i="1"/>
  <c r="AG46" i="1"/>
  <c r="AR46" i="1"/>
  <c r="BF46" i="1"/>
  <c r="BQ46" i="1"/>
  <c r="CE46" i="1"/>
  <c r="CS46" i="1"/>
  <c r="T46" i="1"/>
  <c r="AH46" i="1"/>
  <c r="AS46" i="1"/>
  <c r="BG46" i="1"/>
  <c r="BU46" i="1"/>
  <c r="CF46" i="1"/>
  <c r="CT46" i="1"/>
  <c r="Q38" i="1"/>
  <c r="Y38" i="1"/>
  <c r="AG38" i="1"/>
  <c r="AO38" i="1"/>
  <c r="AW38" i="1"/>
  <c r="BE38" i="1"/>
  <c r="BM38" i="1"/>
  <c r="BU38" i="1"/>
  <c r="CC38" i="1"/>
  <c r="CK38" i="1"/>
  <c r="CS38" i="1"/>
  <c r="U38" i="1"/>
  <c r="AD38" i="1"/>
  <c r="AM38" i="1"/>
  <c r="AV38" i="1"/>
  <c r="BF38" i="1"/>
  <c r="BO38" i="1"/>
  <c r="BX38" i="1"/>
  <c r="CG38" i="1"/>
  <c r="CP38" i="1"/>
  <c r="M38" i="1"/>
  <c r="V38" i="1"/>
  <c r="AE38" i="1"/>
  <c r="AN38" i="1"/>
  <c r="AX38" i="1"/>
  <c r="BG38" i="1"/>
  <c r="BP38" i="1"/>
  <c r="BY38" i="1"/>
  <c r="CH38" i="1"/>
  <c r="CQ38" i="1"/>
  <c r="N38" i="1"/>
  <c r="W38" i="1"/>
  <c r="AF38" i="1"/>
  <c r="AP38" i="1"/>
  <c r="AY38" i="1"/>
  <c r="BH38" i="1"/>
  <c r="BQ38" i="1"/>
  <c r="BZ38" i="1"/>
  <c r="CI38" i="1"/>
  <c r="CR38" i="1"/>
  <c r="O38" i="1"/>
  <c r="X38" i="1"/>
  <c r="AH38" i="1"/>
  <c r="AQ38" i="1"/>
  <c r="AZ38" i="1"/>
  <c r="BI38" i="1"/>
  <c r="BR38" i="1"/>
  <c r="CA38" i="1"/>
  <c r="CJ38" i="1"/>
  <c r="CT38" i="1"/>
  <c r="P38" i="1"/>
  <c r="Z38" i="1"/>
  <c r="AI38" i="1"/>
  <c r="AR38" i="1"/>
  <c r="BA38" i="1"/>
  <c r="BJ38" i="1"/>
  <c r="BS38" i="1"/>
  <c r="CB38" i="1"/>
  <c r="CL38" i="1"/>
  <c r="CU38" i="1"/>
  <c r="R38" i="1"/>
  <c r="AA38" i="1"/>
  <c r="AJ38" i="1"/>
  <c r="AS38" i="1"/>
  <c r="BB38" i="1"/>
  <c r="BK38" i="1"/>
  <c r="BT38" i="1"/>
  <c r="CD38" i="1"/>
  <c r="CM38" i="1"/>
  <c r="CV38" i="1"/>
  <c r="S38" i="1"/>
  <c r="AB38" i="1"/>
  <c r="AK38" i="1"/>
  <c r="AT38" i="1"/>
  <c r="BC38" i="1"/>
  <c r="BL38" i="1"/>
  <c r="BV38" i="1"/>
  <c r="CE38" i="1"/>
  <c r="CN38" i="1"/>
  <c r="CW38" i="1"/>
  <c r="T38" i="1"/>
  <c r="AC38" i="1"/>
  <c r="AL38" i="1"/>
  <c r="AU38" i="1"/>
  <c r="BD38" i="1"/>
  <c r="BN38" i="1"/>
  <c r="BW38" i="1"/>
  <c r="CF38" i="1"/>
  <c r="CO38" i="1"/>
  <c r="Q30" i="1"/>
  <c r="Y30" i="1"/>
  <c r="AG30" i="1"/>
  <c r="AO30" i="1"/>
  <c r="AW30" i="1"/>
  <c r="BE30" i="1"/>
  <c r="BM30" i="1"/>
  <c r="BU30" i="1"/>
  <c r="CC30" i="1"/>
  <c r="CK30" i="1"/>
  <c r="CS30" i="1"/>
  <c r="R30" i="1"/>
  <c r="Z30" i="1"/>
  <c r="AH30" i="1"/>
  <c r="AP30" i="1"/>
  <c r="AX30" i="1"/>
  <c r="BF30" i="1"/>
  <c r="BN30" i="1"/>
  <c r="BV30" i="1"/>
  <c r="CD30" i="1"/>
  <c r="CL30" i="1"/>
  <c r="CT30" i="1"/>
  <c r="S30" i="1"/>
  <c r="AA30" i="1"/>
  <c r="AI30" i="1"/>
  <c r="AQ30" i="1"/>
  <c r="AY30" i="1"/>
  <c r="BG30" i="1"/>
  <c r="BO30" i="1"/>
  <c r="BW30" i="1"/>
  <c r="CE30" i="1"/>
  <c r="CM30" i="1"/>
  <c r="CU30" i="1"/>
  <c r="T30" i="1"/>
  <c r="AB30" i="1"/>
  <c r="AJ30" i="1"/>
  <c r="AR30" i="1"/>
  <c r="AZ30" i="1"/>
  <c r="BH30" i="1"/>
  <c r="BP30" i="1"/>
  <c r="BX30" i="1"/>
  <c r="CF30" i="1"/>
  <c r="CN30" i="1"/>
  <c r="CV30" i="1"/>
  <c r="M30" i="1"/>
  <c r="U30" i="1"/>
  <c r="AC30" i="1"/>
  <c r="AK30" i="1"/>
  <c r="AS30" i="1"/>
  <c r="BA30" i="1"/>
  <c r="BI30" i="1"/>
  <c r="BQ30" i="1"/>
  <c r="BY30" i="1"/>
  <c r="CG30" i="1"/>
  <c r="CO30" i="1"/>
  <c r="CW30" i="1"/>
  <c r="N30" i="1"/>
  <c r="V30" i="1"/>
  <c r="AD30" i="1"/>
  <c r="AL30" i="1"/>
  <c r="AT30" i="1"/>
  <c r="BB30" i="1"/>
  <c r="BJ30" i="1"/>
  <c r="BR30" i="1"/>
  <c r="BZ30" i="1"/>
  <c r="CH30" i="1"/>
  <c r="CP30" i="1"/>
  <c r="O30" i="1"/>
  <c r="W30" i="1"/>
  <c r="AE30" i="1"/>
  <c r="AM30" i="1"/>
  <c r="AU30" i="1"/>
  <c r="BC30" i="1"/>
  <c r="BK30" i="1"/>
  <c r="BS30" i="1"/>
  <c r="CA30" i="1"/>
  <c r="CI30" i="1"/>
  <c r="CQ30" i="1"/>
  <c r="P30" i="1"/>
  <c r="X30" i="1"/>
  <c r="AF30" i="1"/>
  <c r="AN30" i="1"/>
  <c r="AV30" i="1"/>
  <c r="BD30" i="1"/>
  <c r="BL30" i="1"/>
  <c r="BT30" i="1"/>
  <c r="CB30" i="1"/>
  <c r="CJ30" i="1"/>
  <c r="CR30" i="1"/>
  <c r="O22" i="1"/>
  <c r="W22" i="1"/>
  <c r="AE22" i="1"/>
  <c r="AM22" i="1"/>
  <c r="AU22" i="1"/>
  <c r="BC22" i="1"/>
  <c r="BK22" i="1"/>
  <c r="BS22" i="1"/>
  <c r="CA22" i="1"/>
  <c r="CI22" i="1"/>
  <c r="CQ22" i="1"/>
  <c r="P22" i="1"/>
  <c r="X22" i="1"/>
  <c r="AF22" i="1"/>
  <c r="AN22" i="1"/>
  <c r="AV22" i="1"/>
  <c r="BD22" i="1"/>
  <c r="BL22" i="1"/>
  <c r="BT22" i="1"/>
  <c r="CB22" i="1"/>
  <c r="CJ22" i="1"/>
  <c r="CR22" i="1"/>
  <c r="Q22" i="1"/>
  <c r="Y22" i="1"/>
  <c r="AG22" i="1"/>
  <c r="AO22" i="1"/>
  <c r="AW22" i="1"/>
  <c r="BE22" i="1"/>
  <c r="BM22" i="1"/>
  <c r="BU22" i="1"/>
  <c r="CC22" i="1"/>
  <c r="CK22" i="1"/>
  <c r="CS22" i="1"/>
  <c r="R22" i="1"/>
  <c r="Z22" i="1"/>
  <c r="AH22" i="1"/>
  <c r="AP22" i="1"/>
  <c r="AX22" i="1"/>
  <c r="BF22" i="1"/>
  <c r="BN22" i="1"/>
  <c r="BV22" i="1"/>
  <c r="CD22" i="1"/>
  <c r="CL22" i="1"/>
  <c r="CT22" i="1"/>
  <c r="S22" i="1"/>
  <c r="AA22" i="1"/>
  <c r="AI22" i="1"/>
  <c r="AQ22" i="1"/>
  <c r="AY22" i="1"/>
  <c r="BG22" i="1"/>
  <c r="BO22" i="1"/>
  <c r="BW22" i="1"/>
  <c r="CE22" i="1"/>
  <c r="CM22" i="1"/>
  <c r="CU22" i="1"/>
  <c r="T22" i="1"/>
  <c r="AB22" i="1"/>
  <c r="AJ22" i="1"/>
  <c r="AR22" i="1"/>
  <c r="AZ22" i="1"/>
  <c r="BH22" i="1"/>
  <c r="BP22" i="1"/>
  <c r="BX22" i="1"/>
  <c r="CF22" i="1"/>
  <c r="CN22" i="1"/>
  <c r="CV22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N22" i="1"/>
  <c r="V22" i="1"/>
  <c r="AD22" i="1"/>
  <c r="AL22" i="1"/>
  <c r="AT22" i="1"/>
  <c r="BB22" i="1"/>
  <c r="BJ22" i="1"/>
  <c r="BR22" i="1"/>
  <c r="BZ22" i="1"/>
  <c r="CH22" i="1"/>
  <c r="CP22" i="1"/>
  <c r="O14" i="1"/>
  <c r="W14" i="1"/>
  <c r="AE14" i="1"/>
  <c r="AM14" i="1"/>
  <c r="AU14" i="1"/>
  <c r="BC14" i="1"/>
  <c r="BK14" i="1"/>
  <c r="BS14" i="1"/>
  <c r="CA14" i="1"/>
  <c r="CI14" i="1"/>
  <c r="CQ14" i="1"/>
  <c r="P14" i="1"/>
  <c r="X14" i="1"/>
  <c r="AF14" i="1"/>
  <c r="AN14" i="1"/>
  <c r="Q14" i="1"/>
  <c r="Y14" i="1"/>
  <c r="AG14" i="1"/>
  <c r="AO14" i="1"/>
  <c r="AW14" i="1"/>
  <c r="BE14" i="1"/>
  <c r="R14" i="1"/>
  <c r="AC14" i="1"/>
  <c r="AQ14" i="1"/>
  <c r="BA14" i="1"/>
  <c r="BL14" i="1"/>
  <c r="BU14" i="1"/>
  <c r="CD14" i="1"/>
  <c r="CM14" i="1"/>
  <c r="CV14" i="1"/>
  <c r="S14" i="1"/>
  <c r="AD14" i="1"/>
  <c r="AR14" i="1"/>
  <c r="BB14" i="1"/>
  <c r="BM14" i="1"/>
  <c r="BV14" i="1"/>
  <c r="CE14" i="1"/>
  <c r="CN14" i="1"/>
  <c r="CW14" i="1"/>
  <c r="T14" i="1"/>
  <c r="AH14" i="1"/>
  <c r="AS14" i="1"/>
  <c r="BD14" i="1"/>
  <c r="BN14" i="1"/>
  <c r="BW14" i="1"/>
  <c r="CF14" i="1"/>
  <c r="CO14" i="1"/>
  <c r="U14" i="1"/>
  <c r="AI14" i="1"/>
  <c r="AT14" i="1"/>
  <c r="BF14" i="1"/>
  <c r="BO14" i="1"/>
  <c r="BX14" i="1"/>
  <c r="CG14" i="1"/>
  <c r="CP14" i="1"/>
  <c r="V14" i="1"/>
  <c r="AJ14" i="1"/>
  <c r="AV14" i="1"/>
  <c r="BG14" i="1"/>
  <c r="BP14" i="1"/>
  <c r="BY14" i="1"/>
  <c r="CH14" i="1"/>
  <c r="CR14" i="1"/>
  <c r="Z14" i="1"/>
  <c r="AK14" i="1"/>
  <c r="AX14" i="1"/>
  <c r="BH14" i="1"/>
  <c r="BQ14" i="1"/>
  <c r="BZ14" i="1"/>
  <c r="CJ14" i="1"/>
  <c r="CS14" i="1"/>
  <c r="M14" i="1"/>
  <c r="AA14" i="1"/>
  <c r="AL14" i="1"/>
  <c r="AY14" i="1"/>
  <c r="BI14" i="1"/>
  <c r="BR14" i="1"/>
  <c r="CB14" i="1"/>
  <c r="CK14" i="1"/>
  <c r="CT14" i="1"/>
  <c r="N14" i="1"/>
  <c r="AB14" i="1"/>
  <c r="AP14" i="1"/>
  <c r="AZ14" i="1"/>
  <c r="BJ14" i="1"/>
  <c r="BT14" i="1"/>
  <c r="CC14" i="1"/>
  <c r="CL14" i="1"/>
  <c r="CU14" i="1"/>
  <c r="N6" i="1"/>
  <c r="V6" i="1"/>
  <c r="AD6" i="1"/>
  <c r="AL6" i="1"/>
  <c r="AT6" i="1"/>
  <c r="BB6" i="1"/>
  <c r="BJ6" i="1"/>
  <c r="R6" i="1"/>
  <c r="AA6" i="1"/>
  <c r="AJ6" i="1"/>
  <c r="AS6" i="1"/>
  <c r="BC6" i="1"/>
  <c r="BL6" i="1"/>
  <c r="BT6" i="1"/>
  <c r="CB6" i="1"/>
  <c r="CJ6" i="1"/>
  <c r="CR6" i="1"/>
  <c r="S6" i="1"/>
  <c r="AB6" i="1"/>
  <c r="AK6" i="1"/>
  <c r="AU6" i="1"/>
  <c r="BD6" i="1"/>
  <c r="BM6" i="1"/>
  <c r="BU6" i="1"/>
  <c r="CC6" i="1"/>
  <c r="CK6" i="1"/>
  <c r="CS6" i="1"/>
  <c r="T6" i="1"/>
  <c r="AC6" i="1"/>
  <c r="AM6" i="1"/>
  <c r="AV6" i="1"/>
  <c r="BE6" i="1"/>
  <c r="BN6" i="1"/>
  <c r="BV6" i="1"/>
  <c r="CD6" i="1"/>
  <c r="CL6" i="1"/>
  <c r="CT6" i="1"/>
  <c r="P6" i="1"/>
  <c r="Y6" i="1"/>
  <c r="AH6" i="1"/>
  <c r="AQ6" i="1"/>
  <c r="AZ6" i="1"/>
  <c r="BI6" i="1"/>
  <c r="BR6" i="1"/>
  <c r="Q6" i="1"/>
  <c r="Z6" i="1"/>
  <c r="AI6" i="1"/>
  <c r="AR6" i="1"/>
  <c r="BA6" i="1"/>
  <c r="BK6" i="1"/>
  <c r="BS6" i="1"/>
  <c r="CA6" i="1"/>
  <c r="O6" i="1"/>
  <c r="AO6" i="1"/>
  <c r="BO6" i="1"/>
  <c r="CF6" i="1"/>
  <c r="CQ6" i="1"/>
  <c r="U6" i="1"/>
  <c r="AP6" i="1"/>
  <c r="BP6" i="1"/>
  <c r="CG6" i="1"/>
  <c r="CU6" i="1"/>
  <c r="W6" i="1"/>
  <c r="AW6" i="1"/>
  <c r="BQ6" i="1"/>
  <c r="CH6" i="1"/>
  <c r="CV6" i="1"/>
  <c r="X6" i="1"/>
  <c r="AX6" i="1"/>
  <c r="BW6" i="1"/>
  <c r="CI6" i="1"/>
  <c r="CW6" i="1"/>
  <c r="AE6" i="1"/>
  <c r="AY6" i="1"/>
  <c r="BX6" i="1"/>
  <c r="CM6" i="1"/>
  <c r="AF6" i="1"/>
  <c r="BF6" i="1"/>
  <c r="BY6" i="1"/>
  <c r="CN6" i="1"/>
  <c r="AG6" i="1"/>
  <c r="BG6" i="1"/>
  <c r="BZ6" i="1"/>
  <c r="CO6" i="1"/>
  <c r="M6" i="1"/>
  <c r="AN6" i="1"/>
  <c r="BH6" i="1"/>
  <c r="CE6" i="1"/>
  <c r="CP6" i="1"/>
  <c r="M3" i="1"/>
  <c r="CP3" i="1"/>
  <c r="CH3" i="1"/>
  <c r="BZ3" i="1"/>
  <c r="BR3" i="1"/>
  <c r="BJ3" i="1"/>
  <c r="BB3" i="1"/>
  <c r="AT3" i="1"/>
  <c r="AL3" i="1"/>
  <c r="AD3" i="1"/>
  <c r="V3" i="1"/>
  <c r="CP81" i="1"/>
  <c r="CH81" i="1"/>
  <c r="BZ81" i="1"/>
  <c r="BR81" i="1"/>
  <c r="BJ81" i="1"/>
  <c r="BB81" i="1"/>
  <c r="AS81" i="1"/>
  <c r="AJ81" i="1"/>
  <c r="AA81" i="1"/>
  <c r="R81" i="1"/>
  <c r="CT80" i="1"/>
  <c r="CK80" i="1"/>
  <c r="CB80" i="1"/>
  <c r="BR80" i="1"/>
  <c r="BI80" i="1"/>
  <c r="AZ80" i="1"/>
  <c r="AQ80" i="1"/>
  <c r="AH80" i="1"/>
  <c r="Y80" i="1"/>
  <c r="P80" i="1"/>
  <c r="CQ79" i="1"/>
  <c r="CH79" i="1"/>
  <c r="BY79" i="1"/>
  <c r="BP79" i="1"/>
  <c r="BG79" i="1"/>
  <c r="AX79" i="1"/>
  <c r="AO79" i="1"/>
  <c r="AE79" i="1"/>
  <c r="V79" i="1"/>
  <c r="M79" i="1"/>
  <c r="CO78" i="1"/>
  <c r="CF78" i="1"/>
  <c r="BW78" i="1"/>
  <c r="BN78" i="1"/>
  <c r="BC78" i="1"/>
  <c r="AS78" i="1"/>
  <c r="AH78" i="1"/>
  <c r="W78" i="1"/>
  <c r="M78" i="1"/>
  <c r="CM77" i="1"/>
  <c r="CA77" i="1"/>
  <c r="BM77" i="1"/>
  <c r="BB77" i="1"/>
  <c r="AN77" i="1"/>
  <c r="AC77" i="1"/>
  <c r="O77" i="1"/>
  <c r="CL76" i="1"/>
  <c r="CA76" i="1"/>
  <c r="BM76" i="1"/>
  <c r="BB76" i="1"/>
  <c r="AN76" i="1"/>
  <c r="Z76" i="1"/>
  <c r="O76" i="1"/>
  <c r="CL75" i="1"/>
  <c r="CA75" i="1"/>
  <c r="BM75" i="1"/>
  <c r="AY75" i="1"/>
  <c r="AN75" i="1"/>
  <c r="Z75" i="1"/>
  <c r="O75" i="1"/>
  <c r="CL74" i="1"/>
  <c r="BX74" i="1"/>
  <c r="BM74" i="1"/>
  <c r="AY74" i="1"/>
  <c r="AN74" i="1"/>
  <c r="Z74" i="1"/>
  <c r="CW73" i="1"/>
  <c r="CL73" i="1"/>
  <c r="BX73" i="1"/>
  <c r="BM73" i="1"/>
  <c r="AY73" i="1"/>
  <c r="AK73" i="1"/>
  <c r="Z73" i="1"/>
  <c r="CW72" i="1"/>
  <c r="CL72" i="1"/>
  <c r="BX72" i="1"/>
  <c r="BJ72" i="1"/>
  <c r="AY72" i="1"/>
  <c r="AK72" i="1"/>
  <c r="Z72" i="1"/>
  <c r="CQ71" i="1"/>
  <c r="AU71" i="1"/>
  <c r="BR70" i="1"/>
  <c r="CH69" i="1"/>
  <c r="AE8" i="6"/>
  <c r="AE16" i="6"/>
  <c r="AE24" i="6"/>
  <c r="AE32" i="6"/>
  <c r="AE40" i="6"/>
  <c r="AE48" i="6"/>
  <c r="AE56" i="6"/>
  <c r="AD71" i="6"/>
  <c r="AD79" i="6"/>
  <c r="AD65" i="6"/>
  <c r="AD73" i="6"/>
  <c r="AD19" i="6"/>
  <c r="AD43" i="6"/>
  <c r="AD75" i="6"/>
  <c r="AD9" i="6"/>
  <c r="AD17" i="6"/>
  <c r="AD25" i="6"/>
  <c r="AE72" i="6"/>
  <c r="AE80" i="6"/>
  <c r="AD82" i="6"/>
  <c r="AE10" i="6"/>
  <c r="AE18" i="6"/>
  <c r="AE26" i="6"/>
  <c r="AE34" i="6"/>
  <c r="AE42" i="6"/>
  <c r="AE50" i="6"/>
  <c r="AE58" i="6"/>
  <c r="AE66" i="6"/>
  <c r="AD76" i="6"/>
  <c r="AD64" i="6"/>
  <c r="AD72" i="6"/>
  <c r="AD11" i="6"/>
  <c r="AD67" i="6"/>
  <c r="AE76" i="6"/>
  <c r="AE5" i="6"/>
  <c r="AD12" i="6"/>
  <c r="AE13" i="6"/>
  <c r="AD20" i="6"/>
  <c r="AE21" i="6"/>
  <c r="AE29" i="6"/>
  <c r="AD36" i="6"/>
  <c r="AE37" i="6"/>
  <c r="AD44" i="6"/>
  <c r="AE45" i="6"/>
  <c r="AD52" i="6"/>
  <c r="AE53" i="6"/>
  <c r="AD60" i="6"/>
  <c r="AE61" i="6"/>
  <c r="AD68" i="6"/>
  <c r="AE69" i="6"/>
  <c r="AE77" i="6"/>
  <c r="AD7" i="6"/>
  <c r="AD15" i="6"/>
  <c r="AD23" i="6"/>
  <c r="AD10" i="6"/>
  <c r="AE11" i="6"/>
  <c r="AD18" i="6"/>
  <c r="AE19" i="6"/>
  <c r="AD26" i="6"/>
  <c r="AE27" i="6"/>
  <c r="AE35" i="6"/>
  <c r="AE43" i="6"/>
  <c r="AE51" i="6"/>
  <c r="AE59" i="6"/>
  <c r="AD66" i="6"/>
  <c r="AE67" i="6"/>
  <c r="AD74" i="6"/>
  <c r="AE75" i="6"/>
  <c r="AD5" i="6"/>
  <c r="AE6" i="6"/>
  <c r="AD13" i="6"/>
  <c r="AE14" i="6"/>
  <c r="AD21" i="6"/>
  <c r="AE22" i="6"/>
  <c r="AE30" i="6"/>
  <c r="AE38" i="6"/>
  <c r="AD45" i="6"/>
  <c r="AE46" i="6"/>
  <c r="AE54" i="6"/>
  <c r="AD61" i="6"/>
  <c r="AE62" i="6"/>
  <c r="AD69" i="6"/>
  <c r="AE70" i="6"/>
  <c r="AD77" i="6"/>
  <c r="AE78" i="6"/>
  <c r="AD80" i="6"/>
  <c r="AD8" i="6"/>
  <c r="AE9" i="6"/>
  <c r="AD16" i="6"/>
  <c r="AE17" i="6"/>
  <c r="AD24" i="6"/>
  <c r="AE25" i="6"/>
  <c r="AD32" i="6"/>
  <c r="AE33" i="6"/>
  <c r="AD40" i="6"/>
  <c r="AE41" i="6"/>
  <c r="AE49" i="6"/>
  <c r="AE57" i="6"/>
  <c r="AE65" i="6"/>
  <c r="AE73" i="6"/>
  <c r="AE81" i="6"/>
  <c r="AE12" i="6"/>
  <c r="AE20" i="6"/>
  <c r="AE28" i="6"/>
  <c r="AE36" i="6"/>
  <c r="AE44" i="6"/>
  <c r="AE52" i="6"/>
  <c r="AE60" i="6"/>
  <c r="AE68" i="6"/>
  <c r="AD6" i="6"/>
  <c r="AE7" i="6"/>
  <c r="AD14" i="6"/>
  <c r="AE15" i="6"/>
  <c r="AD22" i="6"/>
  <c r="AE23" i="6"/>
  <c r="AE31" i="6"/>
  <c r="AD38" i="6"/>
  <c r="AE39" i="6"/>
  <c r="AE47" i="6"/>
  <c r="AE55" i="6"/>
  <c r="AD62" i="6"/>
  <c r="AE63" i="6"/>
  <c r="AD70" i="6"/>
  <c r="AE71" i="6"/>
  <c r="AD78" i="6"/>
  <c r="AE79" i="6"/>
  <c r="AE74" i="6"/>
  <c r="AD81" i="6"/>
  <c r="AE82" i="6"/>
  <c r="V88" i="6" a="1"/>
  <c r="V88" i="6" s="1"/>
  <c r="C89" i="6" a="1"/>
  <c r="C89" i="6" s="1"/>
  <c r="AD46" i="6"/>
  <c r="AE64" i="6"/>
  <c r="V86" i="6" a="1"/>
  <c r="V86" i="6" s="1"/>
  <c r="C87" i="6" a="1"/>
  <c r="C87" i="6" s="1"/>
  <c r="V89" i="6" a="1"/>
  <c r="V89" i="6" s="1"/>
  <c r="C90" i="6" a="1"/>
  <c r="C90" i="6" s="1"/>
  <c r="AE4" i="6"/>
  <c r="V90" i="6" a="1"/>
  <c r="V90" i="6" s="1"/>
  <c r="F81" i="5"/>
  <c r="E81" i="5"/>
  <c r="D81" i="5"/>
  <c r="C81" i="5"/>
  <c r="F80" i="5"/>
  <c r="E80" i="5"/>
  <c r="D80" i="5"/>
  <c r="C80" i="5"/>
  <c r="F79" i="5"/>
  <c r="E79" i="5"/>
  <c r="D79" i="5"/>
  <c r="C79" i="5"/>
  <c r="F78" i="5"/>
  <c r="E78" i="5"/>
  <c r="D78" i="5"/>
  <c r="C78" i="5"/>
  <c r="F77" i="5"/>
  <c r="F89" i="5" s="1" a="1"/>
  <c r="F89" i="5" s="1"/>
  <c r="E77" i="5"/>
  <c r="E89" i="5" s="1" a="1"/>
  <c r="E89" i="5" s="1"/>
  <c r="D77" i="5"/>
  <c r="D89" i="5" s="1" a="1"/>
  <c r="D89" i="5" s="1"/>
  <c r="C77" i="5"/>
  <c r="C89" i="5" s="1" a="1"/>
  <c r="C89" i="5" s="1"/>
  <c r="F76" i="5"/>
  <c r="E76" i="5"/>
  <c r="D76" i="5"/>
  <c r="C76" i="5"/>
  <c r="F75" i="5"/>
  <c r="E75" i="5"/>
  <c r="D75" i="5"/>
  <c r="C75" i="5"/>
  <c r="F74" i="5"/>
  <c r="E74" i="5"/>
  <c r="D74" i="5"/>
  <c r="C74" i="5"/>
  <c r="F73" i="5"/>
  <c r="E73" i="5"/>
  <c r="D73" i="5"/>
  <c r="C73" i="5"/>
  <c r="F72" i="5"/>
  <c r="E72" i="5"/>
  <c r="D72" i="5"/>
  <c r="C72" i="5"/>
  <c r="F71" i="5"/>
  <c r="E71" i="5"/>
  <c r="D71" i="5"/>
  <c r="C71" i="5"/>
  <c r="F70" i="5"/>
  <c r="E70" i="5"/>
  <c r="D70" i="5"/>
  <c r="C70" i="5"/>
  <c r="F69" i="5"/>
  <c r="E69" i="5"/>
  <c r="D69" i="5"/>
  <c r="C69" i="5"/>
  <c r="F68" i="5"/>
  <c r="E68" i="5"/>
  <c r="D68" i="5"/>
  <c r="C68" i="5"/>
  <c r="F67" i="5"/>
  <c r="E67" i="5"/>
  <c r="D67" i="5"/>
  <c r="C67" i="5"/>
  <c r="F66" i="5"/>
  <c r="E66" i="5"/>
  <c r="D66" i="5"/>
  <c r="C66" i="5"/>
  <c r="F65" i="5"/>
  <c r="E65" i="5"/>
  <c r="D65" i="5"/>
  <c r="C65" i="5"/>
  <c r="F64" i="5"/>
  <c r="E64" i="5"/>
  <c r="D64" i="5"/>
  <c r="C64" i="5"/>
  <c r="F63" i="5"/>
  <c r="E63" i="5"/>
  <c r="D63" i="5"/>
  <c r="C63" i="5"/>
  <c r="F62" i="5"/>
  <c r="E62" i="5"/>
  <c r="D62" i="5"/>
  <c r="C62" i="5"/>
  <c r="F61" i="5"/>
  <c r="E61" i="5"/>
  <c r="D61" i="5"/>
  <c r="C61" i="5"/>
  <c r="F60" i="5"/>
  <c r="E60" i="5"/>
  <c r="D60" i="5"/>
  <c r="C60" i="5"/>
  <c r="F59" i="5"/>
  <c r="E59" i="5"/>
  <c r="D59" i="5"/>
  <c r="C59" i="5"/>
  <c r="F58" i="5"/>
  <c r="E58" i="5"/>
  <c r="D58" i="5"/>
  <c r="C58" i="5"/>
  <c r="F57" i="5"/>
  <c r="E57" i="5"/>
  <c r="D57" i="5"/>
  <c r="C57" i="5"/>
  <c r="F56" i="5"/>
  <c r="E56" i="5"/>
  <c r="D56" i="5"/>
  <c r="C56" i="5"/>
  <c r="F55" i="5"/>
  <c r="E55" i="5"/>
  <c r="D55" i="5"/>
  <c r="C55" i="5"/>
  <c r="F54" i="5"/>
  <c r="E54" i="5"/>
  <c r="D54" i="5"/>
  <c r="C54" i="5"/>
  <c r="F53" i="5"/>
  <c r="E53" i="5"/>
  <c r="D53" i="5"/>
  <c r="C53" i="5"/>
  <c r="F52" i="5"/>
  <c r="E52" i="5"/>
  <c r="D52" i="5"/>
  <c r="C52" i="5"/>
  <c r="F51" i="5"/>
  <c r="E51" i="5"/>
  <c r="D51" i="5"/>
  <c r="C51" i="5"/>
  <c r="F50" i="5"/>
  <c r="E50" i="5"/>
  <c r="D50" i="5"/>
  <c r="C50" i="5"/>
  <c r="F49" i="5"/>
  <c r="E49" i="5"/>
  <c r="D49" i="5"/>
  <c r="C49" i="5"/>
  <c r="F48" i="5"/>
  <c r="E48" i="5"/>
  <c r="D48" i="5"/>
  <c r="C48" i="5"/>
  <c r="F47" i="5"/>
  <c r="E47" i="5"/>
  <c r="D47" i="5"/>
  <c r="C47" i="5"/>
  <c r="F46" i="5"/>
  <c r="E46" i="5"/>
  <c r="D46" i="5"/>
  <c r="C46" i="5"/>
  <c r="F45" i="5"/>
  <c r="F87" i="5" s="1" a="1"/>
  <c r="F87" i="5" s="1"/>
  <c r="E45" i="5"/>
  <c r="E87" i="5" s="1" a="1"/>
  <c r="E87" i="5" s="1"/>
  <c r="D45" i="5"/>
  <c r="D87" i="5" s="1" a="1"/>
  <c r="D87" i="5" s="1"/>
  <c r="C45" i="5"/>
  <c r="C87" i="5" s="1" a="1"/>
  <c r="C87" i="5" s="1"/>
  <c r="F44" i="5"/>
  <c r="E44" i="5"/>
  <c r="D44" i="5"/>
  <c r="C44" i="5"/>
  <c r="F43" i="5"/>
  <c r="E43" i="5"/>
  <c r="D43" i="5"/>
  <c r="C43" i="5"/>
  <c r="F42" i="5"/>
  <c r="E42" i="5"/>
  <c r="D42" i="5"/>
  <c r="C42" i="5"/>
  <c r="F41" i="5"/>
  <c r="E41" i="5"/>
  <c r="D41" i="5"/>
  <c r="C41" i="5"/>
  <c r="F40" i="5"/>
  <c r="E40" i="5"/>
  <c r="D40" i="5"/>
  <c r="C40" i="5"/>
  <c r="F39" i="5"/>
  <c r="E39" i="5"/>
  <c r="D39" i="5"/>
  <c r="C39" i="5"/>
  <c r="F38" i="5"/>
  <c r="E38" i="5"/>
  <c r="D38" i="5"/>
  <c r="C38" i="5"/>
  <c r="F37" i="5"/>
  <c r="E37" i="5"/>
  <c r="D37" i="5"/>
  <c r="C37" i="5"/>
  <c r="F36" i="5"/>
  <c r="E36" i="5"/>
  <c r="D36" i="5"/>
  <c r="C36" i="5"/>
  <c r="F35" i="5"/>
  <c r="E35" i="5"/>
  <c r="D35" i="5"/>
  <c r="C35" i="5"/>
  <c r="F34" i="5"/>
  <c r="E34" i="5"/>
  <c r="D34" i="5"/>
  <c r="C34" i="5"/>
  <c r="F33" i="5"/>
  <c r="E33" i="5"/>
  <c r="D33" i="5"/>
  <c r="C33" i="5"/>
  <c r="F32" i="5"/>
  <c r="E32" i="5"/>
  <c r="D32" i="5"/>
  <c r="C32" i="5"/>
  <c r="F31" i="5"/>
  <c r="E31" i="5"/>
  <c r="D31" i="5"/>
  <c r="C31" i="5"/>
  <c r="F30" i="5"/>
  <c r="E30" i="5"/>
  <c r="D30" i="5"/>
  <c r="C30" i="5"/>
  <c r="F29" i="5"/>
  <c r="E29" i="5"/>
  <c r="D29" i="5"/>
  <c r="C29" i="5"/>
  <c r="F28" i="5"/>
  <c r="E28" i="5"/>
  <c r="D28" i="5"/>
  <c r="C28" i="5"/>
  <c r="F27" i="5"/>
  <c r="E27" i="5"/>
  <c r="D27" i="5"/>
  <c r="C27" i="5"/>
  <c r="F26" i="5"/>
  <c r="E26" i="5"/>
  <c r="D26" i="5"/>
  <c r="C26" i="5"/>
  <c r="F25" i="5"/>
  <c r="E25" i="5"/>
  <c r="D25" i="5"/>
  <c r="C25" i="5"/>
  <c r="F24" i="5"/>
  <c r="E24" i="5"/>
  <c r="D24" i="5"/>
  <c r="C24" i="5"/>
  <c r="F23" i="5"/>
  <c r="E23" i="5"/>
  <c r="D23" i="5"/>
  <c r="C23" i="5"/>
  <c r="F22" i="5"/>
  <c r="E22" i="5"/>
  <c r="D22" i="5"/>
  <c r="C22" i="5"/>
  <c r="F21" i="5"/>
  <c r="E21" i="5"/>
  <c r="D21" i="5"/>
  <c r="C21" i="5"/>
  <c r="F20" i="5"/>
  <c r="E20" i="5"/>
  <c r="D20" i="5"/>
  <c r="C20" i="5"/>
  <c r="F19" i="5"/>
  <c r="E19" i="5"/>
  <c r="D19" i="5"/>
  <c r="C19" i="5"/>
  <c r="F18" i="5"/>
  <c r="E18" i="5"/>
  <c r="D18" i="5"/>
  <c r="C18" i="5"/>
  <c r="F17" i="5"/>
  <c r="E17" i="5"/>
  <c r="D17" i="5"/>
  <c r="C17" i="5"/>
  <c r="F16" i="5"/>
  <c r="E16" i="5"/>
  <c r="D16" i="5"/>
  <c r="C16" i="5"/>
  <c r="F15" i="5"/>
  <c r="E15" i="5"/>
  <c r="D15" i="5"/>
  <c r="C15" i="5"/>
  <c r="F14" i="5"/>
  <c r="E14" i="5"/>
  <c r="D14" i="5"/>
  <c r="C14" i="5"/>
  <c r="F13" i="5"/>
  <c r="E13" i="5"/>
  <c r="D13" i="5"/>
  <c r="C13" i="5"/>
  <c r="F12" i="5"/>
  <c r="E12" i="5"/>
  <c r="D12" i="5"/>
  <c r="C12" i="5"/>
  <c r="F11" i="5"/>
  <c r="E11" i="5"/>
  <c r="D11" i="5"/>
  <c r="C11" i="5"/>
  <c r="F10" i="5"/>
  <c r="E10" i="5"/>
  <c r="D10" i="5"/>
  <c r="C10" i="5"/>
  <c r="F9" i="5"/>
  <c r="E9" i="5"/>
  <c r="D9" i="5"/>
  <c r="C9" i="5"/>
  <c r="F8" i="5"/>
  <c r="E8" i="5"/>
  <c r="D8" i="5"/>
  <c r="C8" i="5"/>
  <c r="F7" i="5"/>
  <c r="E7" i="5"/>
  <c r="D7" i="5"/>
  <c r="C7" i="5"/>
  <c r="F6" i="5"/>
  <c r="E6" i="5"/>
  <c r="D6" i="5"/>
  <c r="C6" i="5"/>
  <c r="F5" i="5"/>
  <c r="E5" i="5"/>
  <c r="D5" i="5"/>
  <c r="C5" i="5"/>
  <c r="F4" i="5"/>
  <c r="E4" i="5"/>
  <c r="D4" i="5"/>
  <c r="C4" i="5"/>
  <c r="F3" i="5"/>
  <c r="F85" i="5" s="1" a="1"/>
  <c r="F85" i="5" s="1"/>
  <c r="E3" i="5"/>
  <c r="E85" i="5" s="1" a="1"/>
  <c r="E85" i="5" s="1"/>
  <c r="D3" i="5"/>
  <c r="D85" i="5" s="1" a="1"/>
  <c r="D85" i="5" s="1"/>
  <c r="C3" i="5"/>
  <c r="C85" i="5" s="1" a="1"/>
  <c r="C85" i="5" s="1"/>
  <c r="C88" i="5" l="1" a="1"/>
  <c r="C88" i="5" s="1"/>
  <c r="C86" i="5" a="1"/>
  <c r="C86" i="5" s="1"/>
  <c r="D86" i="5" a="1"/>
  <c r="D86" i="5" s="1"/>
  <c r="D88" i="5" a="1"/>
  <c r="D88" i="5" s="1"/>
  <c r="E86" i="5" a="1"/>
  <c r="E86" i="5" s="1"/>
  <c r="E88" i="5" a="1"/>
  <c r="E88" i="5" s="1"/>
  <c r="F88" i="5" a="1"/>
  <c r="F88" i="5" s="1"/>
  <c r="F86" i="5" a="1"/>
  <c r="F86" i="5" s="1"/>
  <c r="R85" i="1"/>
  <c r="Z85" i="1"/>
  <c r="AH85" i="1"/>
  <c r="AP85" i="1"/>
  <c r="AX85" i="1"/>
  <c r="BF85" i="1"/>
  <c r="BN85" i="1"/>
  <c r="BV85" i="1"/>
  <c r="CD85" i="1"/>
  <c r="CL85" i="1"/>
  <c r="CT85" i="1"/>
  <c r="S85" i="1"/>
  <c r="AA85" i="1"/>
  <c r="AI85" i="1"/>
  <c r="AQ85" i="1"/>
  <c r="AY85" i="1"/>
  <c r="BG85" i="1"/>
  <c r="BO85" i="1"/>
  <c r="BW85" i="1"/>
  <c r="CE85" i="1"/>
  <c r="CM85" i="1"/>
  <c r="CU85" i="1"/>
  <c r="T85" i="1"/>
  <c r="AB85" i="1"/>
  <c r="AJ85" i="1"/>
  <c r="AR85" i="1"/>
  <c r="AZ85" i="1"/>
  <c r="BH85" i="1"/>
  <c r="BP85" i="1"/>
  <c r="BX85" i="1"/>
  <c r="CF85" i="1"/>
  <c r="CN85" i="1"/>
  <c r="CV85" i="1"/>
  <c r="X85" i="1"/>
  <c r="AL85" i="1"/>
  <c r="AW85" i="1"/>
  <c r="BK85" i="1"/>
  <c r="BY85" i="1"/>
  <c r="CJ85" i="1"/>
  <c r="M85" i="1"/>
  <c r="N85" i="1"/>
  <c r="Y85" i="1"/>
  <c r="AM85" i="1"/>
  <c r="BA85" i="1"/>
  <c r="BL85" i="1"/>
  <c r="BZ85" i="1"/>
  <c r="CK85" i="1"/>
  <c r="O85" i="1"/>
  <c r="AC85" i="1"/>
  <c r="AN85" i="1"/>
  <c r="BB85" i="1"/>
  <c r="BM85" i="1"/>
  <c r="CA85" i="1"/>
  <c r="CO85" i="1"/>
  <c r="P85" i="1"/>
  <c r="AD85" i="1"/>
  <c r="AO85" i="1"/>
  <c r="BC85" i="1"/>
  <c r="BQ85" i="1"/>
  <c r="CB85" i="1"/>
  <c r="CP85" i="1"/>
  <c r="Q85" i="1"/>
  <c r="AE85" i="1"/>
  <c r="AS85" i="1"/>
  <c r="BD85" i="1"/>
  <c r="BR85" i="1"/>
  <c r="CC85" i="1"/>
  <c r="CQ85" i="1"/>
  <c r="U85" i="1"/>
  <c r="AF85" i="1"/>
  <c r="V85" i="1"/>
  <c r="AG85" i="1"/>
  <c r="AU85" i="1"/>
  <c r="BI85" i="1"/>
  <c r="BT85" i="1"/>
  <c r="CH85" i="1"/>
  <c r="CS85" i="1"/>
  <c r="W85" i="1"/>
  <c r="AK85" i="1"/>
  <c r="AV85" i="1"/>
  <c r="BJ85" i="1"/>
  <c r="BU85" i="1"/>
  <c r="CI85" i="1"/>
  <c r="CW85" i="1"/>
  <c r="AT85" i="1"/>
  <c r="BE85" i="1"/>
  <c r="BS85" i="1"/>
  <c r="CG85" i="1"/>
  <c r="CR85" i="1"/>
  <c r="S88" i="1"/>
  <c r="AA88" i="1"/>
  <c r="AI88" i="1"/>
  <c r="AQ88" i="1"/>
  <c r="AY88" i="1"/>
  <c r="BG88" i="1"/>
  <c r="BO88" i="1"/>
  <c r="BW88" i="1"/>
  <c r="CE88" i="1"/>
  <c r="CM88" i="1"/>
  <c r="CU88" i="1"/>
  <c r="T88" i="1"/>
  <c r="AB88" i="1"/>
  <c r="AJ88" i="1"/>
  <c r="AR88" i="1"/>
  <c r="AZ88" i="1"/>
  <c r="BH88" i="1"/>
  <c r="BP88" i="1"/>
  <c r="BX88" i="1"/>
  <c r="CF88" i="1"/>
  <c r="CN88" i="1"/>
  <c r="CV88" i="1"/>
  <c r="M88" i="1"/>
  <c r="U88" i="1"/>
  <c r="AC88" i="1"/>
  <c r="AK88" i="1"/>
  <c r="AS88" i="1"/>
  <c r="BA88" i="1"/>
  <c r="BI88" i="1"/>
  <c r="BQ88" i="1"/>
  <c r="BY88" i="1"/>
  <c r="CG88" i="1"/>
  <c r="CO88" i="1"/>
  <c r="CW88" i="1"/>
  <c r="W88" i="1"/>
  <c r="AH88" i="1"/>
  <c r="AV88" i="1"/>
  <c r="BJ88" i="1"/>
  <c r="BU88" i="1"/>
  <c r="CI88" i="1"/>
  <c r="CT88" i="1"/>
  <c r="X88" i="1"/>
  <c r="AL88" i="1"/>
  <c r="AW88" i="1"/>
  <c r="BK88" i="1"/>
  <c r="BV88" i="1"/>
  <c r="CJ88" i="1"/>
  <c r="N88" i="1"/>
  <c r="Y88" i="1"/>
  <c r="AM88" i="1"/>
  <c r="AX88" i="1"/>
  <c r="BL88" i="1"/>
  <c r="BZ88" i="1"/>
  <c r="CK88" i="1"/>
  <c r="O88" i="1"/>
  <c r="Z88" i="1"/>
  <c r="AN88" i="1"/>
  <c r="BB88" i="1"/>
  <c r="BM88" i="1"/>
  <c r="CA88" i="1"/>
  <c r="CL88" i="1"/>
  <c r="P88" i="1"/>
  <c r="AD88" i="1"/>
  <c r="AO88" i="1"/>
  <c r="BC88" i="1"/>
  <c r="BN88" i="1"/>
  <c r="CB88" i="1"/>
  <c r="CP88" i="1"/>
  <c r="Q88" i="1"/>
  <c r="AE88" i="1"/>
  <c r="AP88" i="1"/>
  <c r="BD88" i="1"/>
  <c r="BR88" i="1"/>
  <c r="CC88" i="1"/>
  <c r="CQ88" i="1"/>
  <c r="R88" i="1"/>
  <c r="AF88" i="1"/>
  <c r="AT88" i="1"/>
  <c r="BE88" i="1"/>
  <c r="BS88" i="1"/>
  <c r="CD88" i="1"/>
  <c r="CR88" i="1"/>
  <c r="V88" i="1"/>
  <c r="AG88" i="1"/>
  <c r="AU88" i="1"/>
  <c r="BF88" i="1"/>
  <c r="BT88" i="1"/>
  <c r="CH88" i="1"/>
  <c r="CS88" i="1"/>
  <c r="M86" i="1"/>
  <c r="U86" i="1"/>
  <c r="AC86" i="1"/>
  <c r="AK86" i="1"/>
  <c r="AS86" i="1"/>
  <c r="BA86" i="1"/>
  <c r="BI86" i="1"/>
  <c r="BQ86" i="1"/>
  <c r="BY86" i="1"/>
  <c r="CG86" i="1"/>
  <c r="CO86" i="1"/>
  <c r="CW86" i="1"/>
  <c r="N86" i="1"/>
  <c r="V86" i="1"/>
  <c r="AD86" i="1"/>
  <c r="AL86" i="1"/>
  <c r="AT86" i="1"/>
  <c r="BB86" i="1"/>
  <c r="BJ86" i="1"/>
  <c r="BR86" i="1"/>
  <c r="BZ86" i="1"/>
  <c r="CH86" i="1"/>
  <c r="CP86" i="1"/>
  <c r="O86" i="1"/>
  <c r="W86" i="1"/>
  <c r="AE86" i="1"/>
  <c r="AM86" i="1"/>
  <c r="AU86" i="1"/>
  <c r="BC86" i="1"/>
  <c r="BK86" i="1"/>
  <c r="BS86" i="1"/>
  <c r="CA86" i="1"/>
  <c r="CI86" i="1"/>
  <c r="CQ86" i="1"/>
  <c r="T86" i="1"/>
  <c r="AB86" i="1"/>
  <c r="AJ86" i="1"/>
  <c r="AR86" i="1"/>
  <c r="P86" i="1"/>
  <c r="AF86" i="1"/>
  <c r="AV86" i="1"/>
  <c r="BG86" i="1"/>
  <c r="BU86" i="1"/>
  <c r="CF86" i="1"/>
  <c r="CT86" i="1"/>
  <c r="Q86" i="1"/>
  <c r="AG86" i="1"/>
  <c r="AW86" i="1"/>
  <c r="BH86" i="1"/>
  <c r="BV86" i="1"/>
  <c r="CJ86" i="1"/>
  <c r="CU86" i="1"/>
  <c r="R86" i="1"/>
  <c r="AH86" i="1"/>
  <c r="AX86" i="1"/>
  <c r="BL86" i="1"/>
  <c r="BW86" i="1"/>
  <c r="CK86" i="1"/>
  <c r="CV86" i="1"/>
  <c r="S86" i="1"/>
  <c r="AI86" i="1"/>
  <c r="AY86" i="1"/>
  <c r="BM86" i="1"/>
  <c r="BX86" i="1"/>
  <c r="CL86" i="1"/>
  <c r="X86" i="1"/>
  <c r="AN86" i="1"/>
  <c r="AZ86" i="1"/>
  <c r="BN86" i="1"/>
  <c r="CB86" i="1"/>
  <c r="CM86" i="1"/>
  <c r="Y86" i="1"/>
  <c r="AO86" i="1"/>
  <c r="BD86" i="1"/>
  <c r="BO86" i="1"/>
  <c r="CC86" i="1"/>
  <c r="CN86" i="1"/>
  <c r="Z86" i="1"/>
  <c r="AP86" i="1"/>
  <c r="BE86" i="1"/>
  <c r="BP86" i="1"/>
  <c r="CD86" i="1"/>
  <c r="CR86" i="1"/>
  <c r="AA86" i="1"/>
  <c r="AQ86" i="1"/>
  <c r="BF86" i="1"/>
  <c r="BT86" i="1"/>
  <c r="CE86" i="1"/>
  <c r="CS86" i="1"/>
  <c r="R89" i="1"/>
  <c r="Z89" i="1"/>
  <c r="AH89" i="1"/>
  <c r="AP89" i="1"/>
  <c r="AX89" i="1"/>
  <c r="BF89" i="1"/>
  <c r="BN89" i="1"/>
  <c r="BV89" i="1"/>
  <c r="CD89" i="1"/>
  <c r="CL89" i="1"/>
  <c r="CT89" i="1"/>
  <c r="S89" i="1"/>
  <c r="AA89" i="1"/>
  <c r="AI89" i="1"/>
  <c r="AQ89" i="1"/>
  <c r="AY89" i="1"/>
  <c r="BG89" i="1"/>
  <c r="BO89" i="1"/>
  <c r="BW89" i="1"/>
  <c r="CE89" i="1"/>
  <c r="CM89" i="1"/>
  <c r="CU89" i="1"/>
  <c r="T89" i="1"/>
  <c r="AB89" i="1"/>
  <c r="AJ89" i="1"/>
  <c r="AR89" i="1"/>
  <c r="AZ89" i="1"/>
  <c r="BH89" i="1"/>
  <c r="BP89" i="1"/>
  <c r="BX89" i="1"/>
  <c r="CF89" i="1"/>
  <c r="CN89" i="1"/>
  <c r="CV89" i="1"/>
  <c r="W89" i="1"/>
  <c r="AK89" i="1"/>
  <c r="AV89" i="1"/>
  <c r="BJ89" i="1"/>
  <c r="BU89" i="1"/>
  <c r="CI89" i="1"/>
  <c r="CW89" i="1"/>
  <c r="M89" i="1"/>
  <c r="X89" i="1"/>
  <c r="AL89" i="1"/>
  <c r="AW89" i="1"/>
  <c r="BK89" i="1"/>
  <c r="BY89" i="1"/>
  <c r="CJ89" i="1"/>
  <c r="N89" i="1"/>
  <c r="Y89" i="1"/>
  <c r="AM89" i="1"/>
  <c r="BA89" i="1"/>
  <c r="BL89" i="1"/>
  <c r="BZ89" i="1"/>
  <c r="CK89" i="1"/>
  <c r="O89" i="1"/>
  <c r="AC89" i="1"/>
  <c r="AN89" i="1"/>
  <c r="BB89" i="1"/>
  <c r="BM89" i="1"/>
  <c r="CA89" i="1"/>
  <c r="CO89" i="1"/>
  <c r="P89" i="1"/>
  <c r="AD89" i="1"/>
  <c r="AO89" i="1"/>
  <c r="BC89" i="1"/>
  <c r="BQ89" i="1"/>
  <c r="CB89" i="1"/>
  <c r="CP89" i="1"/>
  <c r="Q89" i="1"/>
  <c r="AE89" i="1"/>
  <c r="AS89" i="1"/>
  <c r="BD89" i="1"/>
  <c r="BR89" i="1"/>
  <c r="CC89" i="1"/>
  <c r="CQ89" i="1"/>
  <c r="U89" i="1"/>
  <c r="AF89" i="1"/>
  <c r="AT89" i="1"/>
  <c r="BE89" i="1"/>
  <c r="BS89" i="1"/>
  <c r="CG89" i="1"/>
  <c r="CR89" i="1"/>
  <c r="V89" i="1"/>
  <c r="AG89" i="1"/>
  <c r="AU89" i="1"/>
  <c r="BI89" i="1"/>
  <c r="BT89" i="1"/>
  <c r="CH89" i="1"/>
  <c r="CS89" i="1"/>
  <c r="T87" i="1"/>
  <c r="AB87" i="1"/>
  <c r="AJ87" i="1"/>
  <c r="AR87" i="1"/>
  <c r="AZ87" i="1"/>
  <c r="BH87" i="1"/>
  <c r="BP87" i="1"/>
  <c r="BX87" i="1"/>
  <c r="CF87" i="1"/>
  <c r="CN87" i="1"/>
  <c r="CV87" i="1"/>
  <c r="M87" i="1"/>
  <c r="U87" i="1"/>
  <c r="AC87" i="1"/>
  <c r="AK87" i="1"/>
  <c r="AS87" i="1"/>
  <c r="BA87" i="1"/>
  <c r="BI87" i="1"/>
  <c r="BQ87" i="1"/>
  <c r="BY87" i="1"/>
  <c r="CG87" i="1"/>
  <c r="CO87" i="1"/>
  <c r="CW87" i="1"/>
  <c r="N87" i="1"/>
  <c r="V87" i="1"/>
  <c r="AD87" i="1"/>
  <c r="AL87" i="1"/>
  <c r="AT87" i="1"/>
  <c r="BB87" i="1"/>
  <c r="BJ87" i="1"/>
  <c r="BR87" i="1"/>
  <c r="BZ87" i="1"/>
  <c r="CH87" i="1"/>
  <c r="CP87" i="1"/>
  <c r="W87" i="1"/>
  <c r="AH87" i="1"/>
  <c r="AV87" i="1"/>
  <c r="BG87" i="1"/>
  <c r="BU87" i="1"/>
  <c r="CI87" i="1"/>
  <c r="CT87" i="1"/>
  <c r="X87" i="1"/>
  <c r="AI87" i="1"/>
  <c r="AW87" i="1"/>
  <c r="BK87" i="1"/>
  <c r="BV87" i="1"/>
  <c r="CJ87" i="1"/>
  <c r="CU87" i="1"/>
  <c r="Y87" i="1"/>
  <c r="AM87" i="1"/>
  <c r="AX87" i="1"/>
  <c r="BL87" i="1"/>
  <c r="BW87" i="1"/>
  <c r="CK87" i="1"/>
  <c r="O87" i="1"/>
  <c r="Z87" i="1"/>
  <c r="AN87" i="1"/>
  <c r="AY87" i="1"/>
  <c r="BM87" i="1"/>
  <c r="CA87" i="1"/>
  <c r="CL87" i="1"/>
  <c r="P87" i="1"/>
  <c r="AA87" i="1"/>
  <c r="AO87" i="1"/>
  <c r="BC87" i="1"/>
  <c r="BN87" i="1"/>
  <c r="CB87" i="1"/>
  <c r="CM87" i="1"/>
  <c r="Q87" i="1"/>
  <c r="AE87" i="1"/>
  <c r="AP87" i="1"/>
  <c r="BD87" i="1"/>
  <c r="BO87" i="1"/>
  <c r="CC87" i="1"/>
  <c r="CQ87" i="1"/>
  <c r="R87" i="1"/>
  <c r="AF87" i="1"/>
  <c r="AQ87" i="1"/>
  <c r="BE87" i="1"/>
  <c r="BS87" i="1"/>
  <c r="CD87" i="1"/>
  <c r="CR87" i="1"/>
  <c r="S87" i="1"/>
  <c r="AG87" i="1"/>
  <c r="AU87" i="1"/>
  <c r="BF87" i="1"/>
  <c r="BT87" i="1"/>
  <c r="CE87" i="1"/>
  <c r="CS87" i="1"/>
  <c r="K19" i="5"/>
  <c r="S19" i="5"/>
  <c r="AA19" i="5"/>
  <c r="AI19" i="5"/>
  <c r="O19" i="5"/>
  <c r="X19" i="5"/>
  <c r="AG19" i="5"/>
  <c r="AP19" i="5"/>
  <c r="AX19" i="5"/>
  <c r="BF19" i="5"/>
  <c r="BN19" i="5"/>
  <c r="BV19" i="5"/>
  <c r="CD19" i="5"/>
  <c r="CL19" i="5"/>
  <c r="G19" i="5"/>
  <c r="P19" i="5"/>
  <c r="Y19" i="5"/>
  <c r="AH19" i="5"/>
  <c r="AQ19" i="5"/>
  <c r="AY19" i="5"/>
  <c r="BG19" i="5"/>
  <c r="BO19" i="5"/>
  <c r="BW19" i="5"/>
  <c r="CE19" i="5"/>
  <c r="CM19" i="5"/>
  <c r="H19" i="5"/>
  <c r="Q19" i="5"/>
  <c r="Z19" i="5"/>
  <c r="AJ19" i="5"/>
  <c r="AR19" i="5"/>
  <c r="AZ19" i="5"/>
  <c r="BH19" i="5"/>
  <c r="BP19" i="5"/>
  <c r="BX19" i="5"/>
  <c r="CF19" i="5"/>
  <c r="CN19" i="5"/>
  <c r="I19" i="5"/>
  <c r="R19" i="5"/>
  <c r="AB19" i="5"/>
  <c r="AK19" i="5"/>
  <c r="AS19" i="5"/>
  <c r="BA19" i="5"/>
  <c r="BI19" i="5"/>
  <c r="BQ19" i="5"/>
  <c r="BY19" i="5"/>
  <c r="CG19" i="5"/>
  <c r="CO19" i="5"/>
  <c r="J19" i="5"/>
  <c r="T19" i="5"/>
  <c r="AC19" i="5"/>
  <c r="AL19" i="5"/>
  <c r="AT19" i="5"/>
  <c r="BB19" i="5"/>
  <c r="BJ19" i="5"/>
  <c r="BR19" i="5"/>
  <c r="BZ19" i="5"/>
  <c r="CH19" i="5"/>
  <c r="CP19" i="5"/>
  <c r="L19" i="5"/>
  <c r="U19" i="5"/>
  <c r="AD19" i="5"/>
  <c r="AM19" i="5"/>
  <c r="AU19" i="5"/>
  <c r="BC19" i="5"/>
  <c r="BK19" i="5"/>
  <c r="BS19" i="5"/>
  <c r="CA19" i="5"/>
  <c r="CI19" i="5"/>
  <c r="CQ19" i="5"/>
  <c r="M19" i="5"/>
  <c r="V19" i="5"/>
  <c r="AE19" i="5"/>
  <c r="AN19" i="5"/>
  <c r="AV19" i="5"/>
  <c r="BD19" i="5"/>
  <c r="BL19" i="5"/>
  <c r="BT19" i="5"/>
  <c r="CB19" i="5"/>
  <c r="CJ19" i="5"/>
  <c r="N19" i="5"/>
  <c r="W19" i="5"/>
  <c r="AF19" i="5"/>
  <c r="AO19" i="5"/>
  <c r="AW19" i="5"/>
  <c r="BE19" i="5"/>
  <c r="BM19" i="5"/>
  <c r="BU19" i="5"/>
  <c r="CC19" i="5"/>
  <c r="CK19" i="5"/>
  <c r="M38" i="5"/>
  <c r="U38" i="5"/>
  <c r="AC38" i="5"/>
  <c r="AK38" i="5"/>
  <c r="AS38" i="5"/>
  <c r="BA38" i="5"/>
  <c r="BI38" i="5"/>
  <c r="BQ38" i="5"/>
  <c r="BY38" i="5"/>
  <c r="CG38" i="5"/>
  <c r="CO38" i="5"/>
  <c r="N38" i="5"/>
  <c r="V38" i="5"/>
  <c r="AD38" i="5"/>
  <c r="AL38" i="5"/>
  <c r="AT38" i="5"/>
  <c r="BB38" i="5"/>
  <c r="BJ38" i="5"/>
  <c r="BR38" i="5"/>
  <c r="BZ38" i="5"/>
  <c r="CH38" i="5"/>
  <c r="CP38" i="5"/>
  <c r="G38" i="5"/>
  <c r="O38" i="5"/>
  <c r="W38" i="5"/>
  <c r="AE38" i="5"/>
  <c r="AM38" i="5"/>
  <c r="AU38" i="5"/>
  <c r="BC38" i="5"/>
  <c r="BK38" i="5"/>
  <c r="BS38" i="5"/>
  <c r="CA38" i="5"/>
  <c r="CI38" i="5"/>
  <c r="CQ38" i="5"/>
  <c r="H38" i="5"/>
  <c r="P38" i="5"/>
  <c r="X38" i="5"/>
  <c r="AF38" i="5"/>
  <c r="AN38" i="5"/>
  <c r="AV38" i="5"/>
  <c r="BD38" i="5"/>
  <c r="BL38" i="5"/>
  <c r="BT38" i="5"/>
  <c r="CB38" i="5"/>
  <c r="CJ38" i="5"/>
  <c r="I38" i="5"/>
  <c r="Q38" i="5"/>
  <c r="Y38" i="5"/>
  <c r="AG38" i="5"/>
  <c r="AO38" i="5"/>
  <c r="AW38" i="5"/>
  <c r="BE38" i="5"/>
  <c r="BM38" i="5"/>
  <c r="BU38" i="5"/>
  <c r="CC38" i="5"/>
  <c r="CK38" i="5"/>
  <c r="J38" i="5"/>
  <c r="R38" i="5"/>
  <c r="Z38" i="5"/>
  <c r="AH38" i="5"/>
  <c r="AP38" i="5"/>
  <c r="AX38" i="5"/>
  <c r="BF38" i="5"/>
  <c r="BN38" i="5"/>
  <c r="BV38" i="5"/>
  <c r="CD38" i="5"/>
  <c r="CL38" i="5"/>
  <c r="K38" i="5"/>
  <c r="S38" i="5"/>
  <c r="AA38" i="5"/>
  <c r="AI38" i="5"/>
  <c r="AQ38" i="5"/>
  <c r="AY38" i="5"/>
  <c r="BG38" i="5"/>
  <c r="BO38" i="5"/>
  <c r="BW38" i="5"/>
  <c r="CE38" i="5"/>
  <c r="CM38" i="5"/>
  <c r="L38" i="5"/>
  <c r="T38" i="5"/>
  <c r="AB38" i="5"/>
  <c r="AJ38" i="5"/>
  <c r="AR38" i="5"/>
  <c r="AZ38" i="5"/>
  <c r="BH38" i="5"/>
  <c r="BP38" i="5"/>
  <c r="BX38" i="5"/>
  <c r="CF38" i="5"/>
  <c r="CN38" i="5"/>
  <c r="M24" i="5"/>
  <c r="U24" i="5"/>
  <c r="AC24" i="5"/>
  <c r="AK24" i="5"/>
  <c r="AS24" i="5"/>
  <c r="BA24" i="5"/>
  <c r="BI24" i="5"/>
  <c r="BQ24" i="5"/>
  <c r="BY24" i="5"/>
  <c r="CG24" i="5"/>
  <c r="CO24" i="5"/>
  <c r="N24" i="5"/>
  <c r="V24" i="5"/>
  <c r="AD24" i="5"/>
  <c r="AL24" i="5"/>
  <c r="AT24" i="5"/>
  <c r="BB24" i="5"/>
  <c r="BJ24" i="5"/>
  <c r="BR24" i="5"/>
  <c r="BZ24" i="5"/>
  <c r="CH24" i="5"/>
  <c r="CP24" i="5"/>
  <c r="G24" i="5"/>
  <c r="O24" i="5"/>
  <c r="W24" i="5"/>
  <c r="AE24" i="5"/>
  <c r="AM24" i="5"/>
  <c r="AU24" i="5"/>
  <c r="BC24" i="5"/>
  <c r="BK24" i="5"/>
  <c r="BS24" i="5"/>
  <c r="CA24" i="5"/>
  <c r="CI24" i="5"/>
  <c r="CQ24" i="5"/>
  <c r="H24" i="5"/>
  <c r="P24" i="5"/>
  <c r="X24" i="5"/>
  <c r="AF24" i="5"/>
  <c r="AN24" i="5"/>
  <c r="AV24" i="5"/>
  <c r="BD24" i="5"/>
  <c r="BL24" i="5"/>
  <c r="BT24" i="5"/>
  <c r="CB24" i="5"/>
  <c r="CJ24" i="5"/>
  <c r="I24" i="5"/>
  <c r="Q24" i="5"/>
  <c r="Y24" i="5"/>
  <c r="AA24" i="5"/>
  <c r="AQ24" i="5"/>
  <c r="BG24" i="5"/>
  <c r="BW24" i="5"/>
  <c r="CM24" i="5"/>
  <c r="J24" i="5"/>
  <c r="AB24" i="5"/>
  <c r="AR24" i="5"/>
  <c r="BH24" i="5"/>
  <c r="BX24" i="5"/>
  <c r="CN24" i="5"/>
  <c r="K24" i="5"/>
  <c r="AG24" i="5"/>
  <c r="AW24" i="5"/>
  <c r="BM24" i="5"/>
  <c r="CC24" i="5"/>
  <c r="L24" i="5"/>
  <c r="AH24" i="5"/>
  <c r="AX24" i="5"/>
  <c r="BN24" i="5"/>
  <c r="CD24" i="5"/>
  <c r="R24" i="5"/>
  <c r="AI24" i="5"/>
  <c r="AY24" i="5"/>
  <c r="BO24" i="5"/>
  <c r="CE24" i="5"/>
  <c r="S24" i="5"/>
  <c r="AJ24" i="5"/>
  <c r="AZ24" i="5"/>
  <c r="BP24" i="5"/>
  <c r="CF24" i="5"/>
  <c r="T24" i="5"/>
  <c r="AO24" i="5"/>
  <c r="BE24" i="5"/>
  <c r="BU24" i="5"/>
  <c r="CK24" i="5"/>
  <c r="Z24" i="5"/>
  <c r="AP24" i="5"/>
  <c r="BF24" i="5"/>
  <c r="BV24" i="5"/>
  <c r="CL24" i="5"/>
  <c r="J5" i="5"/>
  <c r="R5" i="5"/>
  <c r="Z5" i="5"/>
  <c r="AH5" i="5"/>
  <c r="AP5" i="5"/>
  <c r="AX5" i="5"/>
  <c r="BF5" i="5"/>
  <c r="BN5" i="5"/>
  <c r="BV5" i="5"/>
  <c r="CD5" i="5"/>
  <c r="CL5" i="5"/>
  <c r="H5" i="5"/>
  <c r="Q5" i="5"/>
  <c r="AA5" i="5"/>
  <c r="AJ5" i="5"/>
  <c r="AS5" i="5"/>
  <c r="BB5" i="5"/>
  <c r="BK5" i="5"/>
  <c r="BT5" i="5"/>
  <c r="CC5" i="5"/>
  <c r="CM5" i="5"/>
  <c r="I5" i="5"/>
  <c r="S5" i="5"/>
  <c r="AB5" i="5"/>
  <c r="AK5" i="5"/>
  <c r="AT5" i="5"/>
  <c r="BC5" i="5"/>
  <c r="BL5" i="5"/>
  <c r="BU5" i="5"/>
  <c r="CE5" i="5"/>
  <c r="CN5" i="5"/>
  <c r="K5" i="5"/>
  <c r="T5" i="5"/>
  <c r="AC5" i="5"/>
  <c r="AL5" i="5"/>
  <c r="AU5" i="5"/>
  <c r="BD5" i="5"/>
  <c r="BM5" i="5"/>
  <c r="BW5" i="5"/>
  <c r="CF5" i="5"/>
  <c r="CO5" i="5"/>
  <c r="N5" i="5"/>
  <c r="AD5" i="5"/>
  <c r="AQ5" i="5"/>
  <c r="BG5" i="5"/>
  <c r="BS5" i="5"/>
  <c r="CI5" i="5"/>
  <c r="O5" i="5"/>
  <c r="AE5" i="5"/>
  <c r="AR5" i="5"/>
  <c r="BH5" i="5"/>
  <c r="BX5" i="5"/>
  <c r="CJ5" i="5"/>
  <c r="P5" i="5"/>
  <c r="AF5" i="5"/>
  <c r="AV5" i="5"/>
  <c r="BI5" i="5"/>
  <c r="BY5" i="5"/>
  <c r="CK5" i="5"/>
  <c r="U5" i="5"/>
  <c r="AG5" i="5"/>
  <c r="AW5" i="5"/>
  <c r="BJ5" i="5"/>
  <c r="BZ5" i="5"/>
  <c r="CP5" i="5"/>
  <c r="V5" i="5"/>
  <c r="AI5" i="5"/>
  <c r="AY5" i="5"/>
  <c r="BO5" i="5"/>
  <c r="CA5" i="5"/>
  <c r="CQ5" i="5"/>
  <c r="G5" i="5"/>
  <c r="W5" i="5"/>
  <c r="AM5" i="5"/>
  <c r="AZ5" i="5"/>
  <c r="BP5" i="5"/>
  <c r="CB5" i="5"/>
  <c r="L5" i="5"/>
  <c r="X5" i="5"/>
  <c r="AN5" i="5"/>
  <c r="BA5" i="5"/>
  <c r="BQ5" i="5"/>
  <c r="CG5" i="5"/>
  <c r="M5" i="5"/>
  <c r="Y5" i="5"/>
  <c r="AO5" i="5"/>
  <c r="BE5" i="5"/>
  <c r="BR5" i="5"/>
  <c r="CH5" i="5"/>
  <c r="M13" i="5"/>
  <c r="U13" i="5"/>
  <c r="AC13" i="5"/>
  <c r="AK13" i="5"/>
  <c r="AS13" i="5"/>
  <c r="BA13" i="5"/>
  <c r="BI13" i="5"/>
  <c r="N13" i="5"/>
  <c r="V13" i="5"/>
  <c r="AD13" i="5"/>
  <c r="AL13" i="5"/>
  <c r="AT13" i="5"/>
  <c r="BB13" i="5"/>
  <c r="BJ13" i="5"/>
  <c r="G13" i="5"/>
  <c r="O13" i="5"/>
  <c r="W13" i="5"/>
  <c r="AE13" i="5"/>
  <c r="AM13" i="5"/>
  <c r="AU13" i="5"/>
  <c r="BC13" i="5"/>
  <c r="BK13" i="5"/>
  <c r="J13" i="5"/>
  <c r="X13" i="5"/>
  <c r="AI13" i="5"/>
  <c r="AW13" i="5"/>
  <c r="BH13" i="5"/>
  <c r="BS13" i="5"/>
  <c r="CA13" i="5"/>
  <c r="CI13" i="5"/>
  <c r="CQ13" i="5"/>
  <c r="K13" i="5"/>
  <c r="Y13" i="5"/>
  <c r="AJ13" i="5"/>
  <c r="AX13" i="5"/>
  <c r="BL13" i="5"/>
  <c r="BT13" i="5"/>
  <c r="CB13" i="5"/>
  <c r="CJ13" i="5"/>
  <c r="L13" i="5"/>
  <c r="Z13" i="5"/>
  <c r="AN13" i="5"/>
  <c r="AY13" i="5"/>
  <c r="BM13" i="5"/>
  <c r="BU13" i="5"/>
  <c r="CC13" i="5"/>
  <c r="CK13" i="5"/>
  <c r="P13" i="5"/>
  <c r="AA13" i="5"/>
  <c r="AO13" i="5"/>
  <c r="AZ13" i="5"/>
  <c r="BN13" i="5"/>
  <c r="BV13" i="5"/>
  <c r="CD13" i="5"/>
  <c r="CL13" i="5"/>
  <c r="Q13" i="5"/>
  <c r="AB13" i="5"/>
  <c r="AP13" i="5"/>
  <c r="BD13" i="5"/>
  <c r="BO13" i="5"/>
  <c r="BW13" i="5"/>
  <c r="CE13" i="5"/>
  <c r="CM13" i="5"/>
  <c r="R13" i="5"/>
  <c r="AF13" i="5"/>
  <c r="AQ13" i="5"/>
  <c r="BE13" i="5"/>
  <c r="BP13" i="5"/>
  <c r="BX13" i="5"/>
  <c r="CF13" i="5"/>
  <c r="CN13" i="5"/>
  <c r="H13" i="5"/>
  <c r="S13" i="5"/>
  <c r="AG13" i="5"/>
  <c r="AR13" i="5"/>
  <c r="BF13" i="5"/>
  <c r="BQ13" i="5"/>
  <c r="BY13" i="5"/>
  <c r="CG13" i="5"/>
  <c r="CO13" i="5"/>
  <c r="I13" i="5"/>
  <c r="T13" i="5"/>
  <c r="AH13" i="5"/>
  <c r="AV13" i="5"/>
  <c r="BG13" i="5"/>
  <c r="BR13" i="5"/>
  <c r="BZ13" i="5"/>
  <c r="CH13" i="5"/>
  <c r="CP13" i="5"/>
  <c r="H21" i="5"/>
  <c r="P21" i="5"/>
  <c r="X21" i="5"/>
  <c r="AF21" i="5"/>
  <c r="AN21" i="5"/>
  <c r="AV21" i="5"/>
  <c r="BD21" i="5"/>
  <c r="BL21" i="5"/>
  <c r="BT21" i="5"/>
  <c r="CB21" i="5"/>
  <c r="CJ21" i="5"/>
  <c r="I21" i="5"/>
  <c r="Q21" i="5"/>
  <c r="Y21" i="5"/>
  <c r="AG21" i="5"/>
  <c r="AO21" i="5"/>
  <c r="AW21" i="5"/>
  <c r="BE21" i="5"/>
  <c r="BM21" i="5"/>
  <c r="BU21" i="5"/>
  <c r="CC21" i="5"/>
  <c r="CK21" i="5"/>
  <c r="J21" i="5"/>
  <c r="R21" i="5"/>
  <c r="Z21" i="5"/>
  <c r="AH21" i="5"/>
  <c r="AP21" i="5"/>
  <c r="AX21" i="5"/>
  <c r="BF21" i="5"/>
  <c r="BN21" i="5"/>
  <c r="BV21" i="5"/>
  <c r="CD21" i="5"/>
  <c r="CL21" i="5"/>
  <c r="K21" i="5"/>
  <c r="S21" i="5"/>
  <c r="AA21" i="5"/>
  <c r="AI21" i="5"/>
  <c r="AQ21" i="5"/>
  <c r="AY21" i="5"/>
  <c r="BG21" i="5"/>
  <c r="BO21" i="5"/>
  <c r="BW21" i="5"/>
  <c r="CE21" i="5"/>
  <c r="CM21" i="5"/>
  <c r="L21" i="5"/>
  <c r="T21" i="5"/>
  <c r="AB21" i="5"/>
  <c r="AJ21" i="5"/>
  <c r="AR21" i="5"/>
  <c r="AZ21" i="5"/>
  <c r="BH21" i="5"/>
  <c r="BP21" i="5"/>
  <c r="BX21" i="5"/>
  <c r="CF21" i="5"/>
  <c r="CN21" i="5"/>
  <c r="M21" i="5"/>
  <c r="U21" i="5"/>
  <c r="AC21" i="5"/>
  <c r="AK21" i="5"/>
  <c r="AS21" i="5"/>
  <c r="BA21" i="5"/>
  <c r="BI21" i="5"/>
  <c r="BQ21" i="5"/>
  <c r="BY21" i="5"/>
  <c r="CG21" i="5"/>
  <c r="CO21" i="5"/>
  <c r="N21" i="5"/>
  <c r="V21" i="5"/>
  <c r="AD21" i="5"/>
  <c r="AL21" i="5"/>
  <c r="AT21" i="5"/>
  <c r="BB21" i="5"/>
  <c r="BJ21" i="5"/>
  <c r="BR21" i="5"/>
  <c r="BZ21" i="5"/>
  <c r="CH21" i="5"/>
  <c r="CP21" i="5"/>
  <c r="G21" i="5"/>
  <c r="O21" i="5"/>
  <c r="W21" i="5"/>
  <c r="AE21" i="5"/>
  <c r="AM21" i="5"/>
  <c r="AU21" i="5"/>
  <c r="BC21" i="5"/>
  <c r="BK21" i="5"/>
  <c r="BS21" i="5"/>
  <c r="CA21" i="5"/>
  <c r="CI21" i="5"/>
  <c r="CQ21" i="5"/>
  <c r="H29" i="5"/>
  <c r="P29" i="5"/>
  <c r="X29" i="5"/>
  <c r="AF29" i="5"/>
  <c r="AN29" i="5"/>
  <c r="AV29" i="5"/>
  <c r="BD29" i="5"/>
  <c r="BL29" i="5"/>
  <c r="BT29" i="5"/>
  <c r="CB29" i="5"/>
  <c r="CJ29" i="5"/>
  <c r="I29" i="5"/>
  <c r="Q29" i="5"/>
  <c r="Y29" i="5"/>
  <c r="AG29" i="5"/>
  <c r="AO29" i="5"/>
  <c r="AW29" i="5"/>
  <c r="BE29" i="5"/>
  <c r="BM29" i="5"/>
  <c r="BU29" i="5"/>
  <c r="CC29" i="5"/>
  <c r="CK29" i="5"/>
  <c r="J29" i="5"/>
  <c r="R29" i="5"/>
  <c r="Z29" i="5"/>
  <c r="AH29" i="5"/>
  <c r="AP29" i="5"/>
  <c r="AX29" i="5"/>
  <c r="BF29" i="5"/>
  <c r="BN29" i="5"/>
  <c r="BV29" i="5"/>
  <c r="CD29" i="5"/>
  <c r="CL29" i="5"/>
  <c r="L29" i="5"/>
  <c r="W29" i="5"/>
  <c r="AK29" i="5"/>
  <c r="AY29" i="5"/>
  <c r="BJ29" i="5"/>
  <c r="BX29" i="5"/>
  <c r="CI29" i="5"/>
  <c r="M29" i="5"/>
  <c r="AA29" i="5"/>
  <c r="AL29" i="5"/>
  <c r="AZ29" i="5"/>
  <c r="BK29" i="5"/>
  <c r="BY29" i="5"/>
  <c r="CM29" i="5"/>
  <c r="N29" i="5"/>
  <c r="AB29" i="5"/>
  <c r="AM29" i="5"/>
  <c r="BA29" i="5"/>
  <c r="BO29" i="5"/>
  <c r="BZ29" i="5"/>
  <c r="CN29" i="5"/>
  <c r="O29" i="5"/>
  <c r="AC29" i="5"/>
  <c r="AQ29" i="5"/>
  <c r="BB29" i="5"/>
  <c r="BP29" i="5"/>
  <c r="CA29" i="5"/>
  <c r="CO29" i="5"/>
  <c r="S29" i="5"/>
  <c r="AD29" i="5"/>
  <c r="AR29" i="5"/>
  <c r="BC29" i="5"/>
  <c r="BQ29" i="5"/>
  <c r="CE29" i="5"/>
  <c r="CP29" i="5"/>
  <c r="T29" i="5"/>
  <c r="AE29" i="5"/>
  <c r="AS29" i="5"/>
  <c r="BG29" i="5"/>
  <c r="BR29" i="5"/>
  <c r="CF29" i="5"/>
  <c r="CQ29" i="5"/>
  <c r="G29" i="5"/>
  <c r="U29" i="5"/>
  <c r="AI29" i="5"/>
  <c r="AT29" i="5"/>
  <c r="BH29" i="5"/>
  <c r="BS29" i="5"/>
  <c r="CG29" i="5"/>
  <c r="K29" i="5"/>
  <c r="V29" i="5"/>
  <c r="AJ29" i="5"/>
  <c r="AU29" i="5"/>
  <c r="BI29" i="5"/>
  <c r="BW29" i="5"/>
  <c r="CH29" i="5"/>
  <c r="J37" i="5"/>
  <c r="R37" i="5"/>
  <c r="Z37" i="5"/>
  <c r="L37" i="5"/>
  <c r="U37" i="5"/>
  <c r="AD37" i="5"/>
  <c r="AL37" i="5"/>
  <c r="AT37" i="5"/>
  <c r="BB37" i="5"/>
  <c r="BJ37" i="5"/>
  <c r="BR37" i="5"/>
  <c r="BZ37" i="5"/>
  <c r="CH37" i="5"/>
  <c r="CP37" i="5"/>
  <c r="M37" i="5"/>
  <c r="V37" i="5"/>
  <c r="AE37" i="5"/>
  <c r="AM37" i="5"/>
  <c r="AU37" i="5"/>
  <c r="BC37" i="5"/>
  <c r="BK37" i="5"/>
  <c r="BS37" i="5"/>
  <c r="CA37" i="5"/>
  <c r="CI37" i="5"/>
  <c r="CQ37" i="5"/>
  <c r="N37" i="5"/>
  <c r="W37" i="5"/>
  <c r="AF37" i="5"/>
  <c r="AN37" i="5"/>
  <c r="AV37" i="5"/>
  <c r="BD37" i="5"/>
  <c r="BL37" i="5"/>
  <c r="BT37" i="5"/>
  <c r="CB37" i="5"/>
  <c r="CJ37" i="5"/>
  <c r="O37" i="5"/>
  <c r="X37" i="5"/>
  <c r="AG37" i="5"/>
  <c r="AO37" i="5"/>
  <c r="AW37" i="5"/>
  <c r="BE37" i="5"/>
  <c r="BM37" i="5"/>
  <c r="BU37" i="5"/>
  <c r="CC37" i="5"/>
  <c r="CK37" i="5"/>
  <c r="G37" i="5"/>
  <c r="P37" i="5"/>
  <c r="Y37" i="5"/>
  <c r="AH37" i="5"/>
  <c r="AP37" i="5"/>
  <c r="AX37" i="5"/>
  <c r="BF37" i="5"/>
  <c r="BN37" i="5"/>
  <c r="BV37" i="5"/>
  <c r="CD37" i="5"/>
  <c r="CL37" i="5"/>
  <c r="H37" i="5"/>
  <c r="Q37" i="5"/>
  <c r="AA37" i="5"/>
  <c r="AI37" i="5"/>
  <c r="AQ37" i="5"/>
  <c r="AY37" i="5"/>
  <c r="BG37" i="5"/>
  <c r="BO37" i="5"/>
  <c r="BW37" i="5"/>
  <c r="CE37" i="5"/>
  <c r="CM37" i="5"/>
  <c r="I37" i="5"/>
  <c r="S37" i="5"/>
  <c r="AB37" i="5"/>
  <c r="AJ37" i="5"/>
  <c r="AR37" i="5"/>
  <c r="AZ37" i="5"/>
  <c r="BH37" i="5"/>
  <c r="BP37" i="5"/>
  <c r="BX37" i="5"/>
  <c r="CF37" i="5"/>
  <c r="CN37" i="5"/>
  <c r="K37" i="5"/>
  <c r="T37" i="5"/>
  <c r="AC37" i="5"/>
  <c r="AK37" i="5"/>
  <c r="AS37" i="5"/>
  <c r="BA37" i="5"/>
  <c r="BI37" i="5"/>
  <c r="BQ37" i="5"/>
  <c r="BY37" i="5"/>
  <c r="CG37" i="5"/>
  <c r="CO37" i="5"/>
  <c r="N45" i="5"/>
  <c r="V45" i="5"/>
  <c r="AD45" i="5"/>
  <c r="AL45" i="5"/>
  <c r="AT45" i="5"/>
  <c r="BB45" i="5"/>
  <c r="BJ45" i="5"/>
  <c r="BR45" i="5"/>
  <c r="BZ45" i="5"/>
  <c r="CH45" i="5"/>
  <c r="CP45" i="5"/>
  <c r="G45" i="5"/>
  <c r="O45" i="5"/>
  <c r="W45" i="5"/>
  <c r="AE45" i="5"/>
  <c r="AM45" i="5"/>
  <c r="AU45" i="5"/>
  <c r="BC45" i="5"/>
  <c r="BK45" i="5"/>
  <c r="BS45" i="5"/>
  <c r="CA45" i="5"/>
  <c r="CI45" i="5"/>
  <c r="H45" i="5"/>
  <c r="P45" i="5"/>
  <c r="X45" i="5"/>
  <c r="AF45" i="5"/>
  <c r="AN45" i="5"/>
  <c r="AV45" i="5"/>
  <c r="BD45" i="5"/>
  <c r="BL45" i="5"/>
  <c r="BT45" i="5"/>
  <c r="CB45" i="5"/>
  <c r="CJ45" i="5"/>
  <c r="M45" i="5"/>
  <c r="AA45" i="5"/>
  <c r="AO45" i="5"/>
  <c r="AZ45" i="5"/>
  <c r="BN45" i="5"/>
  <c r="BY45" i="5"/>
  <c r="CM45" i="5"/>
  <c r="Q45" i="5"/>
  <c r="AB45" i="5"/>
  <c r="AP45" i="5"/>
  <c r="BA45" i="5"/>
  <c r="BO45" i="5"/>
  <c r="CC45" i="5"/>
  <c r="CN45" i="5"/>
  <c r="R45" i="5"/>
  <c r="AC45" i="5"/>
  <c r="AQ45" i="5"/>
  <c r="BE45" i="5"/>
  <c r="BP45" i="5"/>
  <c r="CD45" i="5"/>
  <c r="CO45" i="5"/>
  <c r="S45" i="5"/>
  <c r="AG45" i="5"/>
  <c r="AR45" i="5"/>
  <c r="BF45" i="5"/>
  <c r="BQ45" i="5"/>
  <c r="CE45" i="5"/>
  <c r="CQ45" i="5"/>
  <c r="I45" i="5"/>
  <c r="T45" i="5"/>
  <c r="AH45" i="5"/>
  <c r="AS45" i="5"/>
  <c r="BG45" i="5"/>
  <c r="BU45" i="5"/>
  <c r="CF45" i="5"/>
  <c r="J45" i="5"/>
  <c r="U45" i="5"/>
  <c r="AI45" i="5"/>
  <c r="AW45" i="5"/>
  <c r="BH45" i="5"/>
  <c r="BV45" i="5"/>
  <c r="CG45" i="5"/>
  <c r="K45" i="5"/>
  <c r="Y45" i="5"/>
  <c r="AJ45" i="5"/>
  <c r="AX45" i="5"/>
  <c r="BI45" i="5"/>
  <c r="BW45" i="5"/>
  <c r="CK45" i="5"/>
  <c r="L45" i="5"/>
  <c r="Z45" i="5"/>
  <c r="AK45" i="5"/>
  <c r="AY45" i="5"/>
  <c r="BM45" i="5"/>
  <c r="BX45" i="5"/>
  <c r="CL45" i="5"/>
  <c r="M53" i="5"/>
  <c r="U53" i="5"/>
  <c r="AC53" i="5"/>
  <c r="AK53" i="5"/>
  <c r="AS53" i="5"/>
  <c r="BA53" i="5"/>
  <c r="BI53" i="5"/>
  <c r="BQ53" i="5"/>
  <c r="BY53" i="5"/>
  <c r="CG53" i="5"/>
  <c r="CO53" i="5"/>
  <c r="N53" i="5"/>
  <c r="V53" i="5"/>
  <c r="AD53" i="5"/>
  <c r="AL53" i="5"/>
  <c r="AT53" i="5"/>
  <c r="BB53" i="5"/>
  <c r="BJ53" i="5"/>
  <c r="BR53" i="5"/>
  <c r="BZ53" i="5"/>
  <c r="CH53" i="5"/>
  <c r="CP53" i="5"/>
  <c r="G53" i="5"/>
  <c r="O53" i="5"/>
  <c r="W53" i="5"/>
  <c r="AE53" i="5"/>
  <c r="AM53" i="5"/>
  <c r="AU53" i="5"/>
  <c r="BC53" i="5"/>
  <c r="BK53" i="5"/>
  <c r="BS53" i="5"/>
  <c r="CA53" i="5"/>
  <c r="CI53" i="5"/>
  <c r="CQ53" i="5"/>
  <c r="H53" i="5"/>
  <c r="P53" i="5"/>
  <c r="X53" i="5"/>
  <c r="AF53" i="5"/>
  <c r="AN53" i="5"/>
  <c r="AV53" i="5"/>
  <c r="BD53" i="5"/>
  <c r="BL53" i="5"/>
  <c r="BT53" i="5"/>
  <c r="CB53" i="5"/>
  <c r="CJ53" i="5"/>
  <c r="I53" i="5"/>
  <c r="Q53" i="5"/>
  <c r="Y53" i="5"/>
  <c r="AG53" i="5"/>
  <c r="AO53" i="5"/>
  <c r="AW53" i="5"/>
  <c r="BE53" i="5"/>
  <c r="BM53" i="5"/>
  <c r="BU53" i="5"/>
  <c r="CC53" i="5"/>
  <c r="CK53" i="5"/>
  <c r="J53" i="5"/>
  <c r="R53" i="5"/>
  <c r="Z53" i="5"/>
  <c r="AH53" i="5"/>
  <c r="AP53" i="5"/>
  <c r="AX53" i="5"/>
  <c r="BF53" i="5"/>
  <c r="BN53" i="5"/>
  <c r="BV53" i="5"/>
  <c r="CD53" i="5"/>
  <c r="CL53" i="5"/>
  <c r="K53" i="5"/>
  <c r="S53" i="5"/>
  <c r="AA53" i="5"/>
  <c r="AI53" i="5"/>
  <c r="AQ53" i="5"/>
  <c r="AY53" i="5"/>
  <c r="BG53" i="5"/>
  <c r="BO53" i="5"/>
  <c r="BW53" i="5"/>
  <c r="CE53" i="5"/>
  <c r="CM53" i="5"/>
  <c r="AZ53" i="5"/>
  <c r="BH53" i="5"/>
  <c r="BP53" i="5"/>
  <c r="L53" i="5"/>
  <c r="BX53" i="5"/>
  <c r="T53" i="5"/>
  <c r="CF53" i="5"/>
  <c r="AB53" i="5"/>
  <c r="CN53" i="5"/>
  <c r="AJ53" i="5"/>
  <c r="AR53" i="5"/>
  <c r="M61" i="5"/>
  <c r="U61" i="5"/>
  <c r="AC61" i="5"/>
  <c r="AK61" i="5"/>
  <c r="AS61" i="5"/>
  <c r="BA61" i="5"/>
  <c r="BI61" i="5"/>
  <c r="BQ61" i="5"/>
  <c r="BY61" i="5"/>
  <c r="CG61" i="5"/>
  <c r="CO61" i="5"/>
  <c r="N61" i="5"/>
  <c r="V61" i="5"/>
  <c r="AD61" i="5"/>
  <c r="AL61" i="5"/>
  <c r="AT61" i="5"/>
  <c r="BB61" i="5"/>
  <c r="BJ61" i="5"/>
  <c r="BR61" i="5"/>
  <c r="BZ61" i="5"/>
  <c r="CH61" i="5"/>
  <c r="CP61" i="5"/>
  <c r="G61" i="5"/>
  <c r="O61" i="5"/>
  <c r="W61" i="5"/>
  <c r="AE61" i="5"/>
  <c r="AM61" i="5"/>
  <c r="AU61" i="5"/>
  <c r="BC61" i="5"/>
  <c r="BK61" i="5"/>
  <c r="BS61" i="5"/>
  <c r="CA61" i="5"/>
  <c r="CI61" i="5"/>
  <c r="CQ61" i="5"/>
  <c r="R61" i="5"/>
  <c r="AF61" i="5"/>
  <c r="AQ61" i="5"/>
  <c r="BE61" i="5"/>
  <c r="BP61" i="5"/>
  <c r="CD61" i="5"/>
  <c r="H61" i="5"/>
  <c r="S61" i="5"/>
  <c r="AG61" i="5"/>
  <c r="AR61" i="5"/>
  <c r="BF61" i="5"/>
  <c r="BT61" i="5"/>
  <c r="CE61" i="5"/>
  <c r="I61" i="5"/>
  <c r="T61" i="5"/>
  <c r="AH61" i="5"/>
  <c r="AV61" i="5"/>
  <c r="BG61" i="5"/>
  <c r="BU61" i="5"/>
  <c r="CF61" i="5"/>
  <c r="J61" i="5"/>
  <c r="X61" i="5"/>
  <c r="AI61" i="5"/>
  <c r="AW61" i="5"/>
  <c r="BH61" i="5"/>
  <c r="BV61" i="5"/>
  <c r="CJ61" i="5"/>
  <c r="K61" i="5"/>
  <c r="Y61" i="5"/>
  <c r="AJ61" i="5"/>
  <c r="AX61" i="5"/>
  <c r="BL61" i="5"/>
  <c r="BW61" i="5"/>
  <c r="CK61" i="5"/>
  <c r="L61" i="5"/>
  <c r="Z61" i="5"/>
  <c r="AN61" i="5"/>
  <c r="AY61" i="5"/>
  <c r="BM61" i="5"/>
  <c r="BX61" i="5"/>
  <c r="CL61" i="5"/>
  <c r="P61" i="5"/>
  <c r="AA61" i="5"/>
  <c r="AO61" i="5"/>
  <c r="AZ61" i="5"/>
  <c r="BN61" i="5"/>
  <c r="CB61" i="5"/>
  <c r="CM61" i="5"/>
  <c r="Q61" i="5"/>
  <c r="AB61" i="5"/>
  <c r="AP61" i="5"/>
  <c r="BD61" i="5"/>
  <c r="BO61" i="5"/>
  <c r="CC61" i="5"/>
  <c r="CN61" i="5"/>
  <c r="M69" i="5"/>
  <c r="U69" i="5"/>
  <c r="AC69" i="5"/>
  <c r="AK69" i="5"/>
  <c r="AS69" i="5"/>
  <c r="BA69" i="5"/>
  <c r="BI69" i="5"/>
  <c r="BQ69" i="5"/>
  <c r="BY69" i="5"/>
  <c r="CG69" i="5"/>
  <c r="CO69" i="5"/>
  <c r="N69" i="5"/>
  <c r="V69" i="5"/>
  <c r="AD69" i="5"/>
  <c r="AL69" i="5"/>
  <c r="AT69" i="5"/>
  <c r="BB69" i="5"/>
  <c r="BJ69" i="5"/>
  <c r="BR69" i="5"/>
  <c r="BZ69" i="5"/>
  <c r="CH69" i="5"/>
  <c r="CP69" i="5"/>
  <c r="G69" i="5"/>
  <c r="O69" i="5"/>
  <c r="W69" i="5"/>
  <c r="AE69" i="5"/>
  <c r="AM69" i="5"/>
  <c r="AU69" i="5"/>
  <c r="BC69" i="5"/>
  <c r="BK69" i="5"/>
  <c r="BS69" i="5"/>
  <c r="CA69" i="5"/>
  <c r="CI69" i="5"/>
  <c r="CQ69" i="5"/>
  <c r="H69" i="5"/>
  <c r="P69" i="5"/>
  <c r="X69" i="5"/>
  <c r="AF69" i="5"/>
  <c r="AN69" i="5"/>
  <c r="AV69" i="5"/>
  <c r="BD69" i="5"/>
  <c r="BL69" i="5"/>
  <c r="BT69" i="5"/>
  <c r="CB69" i="5"/>
  <c r="CJ69" i="5"/>
  <c r="I69" i="5"/>
  <c r="Q69" i="5"/>
  <c r="Y69" i="5"/>
  <c r="AG69" i="5"/>
  <c r="AO69" i="5"/>
  <c r="AW69" i="5"/>
  <c r="BE69" i="5"/>
  <c r="BM69" i="5"/>
  <c r="BU69" i="5"/>
  <c r="CC69" i="5"/>
  <c r="CK69" i="5"/>
  <c r="J69" i="5"/>
  <c r="R69" i="5"/>
  <c r="Z69" i="5"/>
  <c r="AH69" i="5"/>
  <c r="AP69" i="5"/>
  <c r="AX69" i="5"/>
  <c r="BF69" i="5"/>
  <c r="BN69" i="5"/>
  <c r="BV69" i="5"/>
  <c r="CD69" i="5"/>
  <c r="CL69" i="5"/>
  <c r="K69" i="5"/>
  <c r="S69" i="5"/>
  <c r="AA69" i="5"/>
  <c r="AI69" i="5"/>
  <c r="AQ69" i="5"/>
  <c r="AY69" i="5"/>
  <c r="BG69" i="5"/>
  <c r="BO69" i="5"/>
  <c r="BW69" i="5"/>
  <c r="CE69" i="5"/>
  <c r="CM69" i="5"/>
  <c r="BP69" i="5"/>
  <c r="L69" i="5"/>
  <c r="BX69" i="5"/>
  <c r="T69" i="5"/>
  <c r="CF69" i="5"/>
  <c r="AB69" i="5"/>
  <c r="CN69" i="5"/>
  <c r="AJ69" i="5"/>
  <c r="AR69" i="5"/>
  <c r="AZ69" i="5"/>
  <c r="BH69" i="5"/>
  <c r="M77" i="5"/>
  <c r="U77" i="5"/>
  <c r="AC77" i="5"/>
  <c r="AK77" i="5"/>
  <c r="AS77" i="5"/>
  <c r="BA77" i="5"/>
  <c r="BI77" i="5"/>
  <c r="BQ77" i="5"/>
  <c r="BY77" i="5"/>
  <c r="CG77" i="5"/>
  <c r="CO77" i="5"/>
  <c r="N77" i="5"/>
  <c r="V77" i="5"/>
  <c r="AD77" i="5"/>
  <c r="AL77" i="5"/>
  <c r="AT77" i="5"/>
  <c r="BB77" i="5"/>
  <c r="BJ77" i="5"/>
  <c r="BR77" i="5"/>
  <c r="BZ77" i="5"/>
  <c r="CH77" i="5"/>
  <c r="CP77" i="5"/>
  <c r="G77" i="5"/>
  <c r="O77" i="5"/>
  <c r="W77" i="5"/>
  <c r="AE77" i="5"/>
  <c r="AM77" i="5"/>
  <c r="AU77" i="5"/>
  <c r="BC77" i="5"/>
  <c r="BK77" i="5"/>
  <c r="BS77" i="5"/>
  <c r="CA77" i="5"/>
  <c r="CI77" i="5"/>
  <c r="CQ77" i="5"/>
  <c r="H77" i="5"/>
  <c r="P77" i="5"/>
  <c r="X77" i="5"/>
  <c r="AF77" i="5"/>
  <c r="AN77" i="5"/>
  <c r="AV77" i="5"/>
  <c r="BD77" i="5"/>
  <c r="BL77" i="5"/>
  <c r="BT77" i="5"/>
  <c r="CB77" i="5"/>
  <c r="CJ77" i="5"/>
  <c r="I77" i="5"/>
  <c r="Q77" i="5"/>
  <c r="Y77" i="5"/>
  <c r="AG77" i="5"/>
  <c r="AO77" i="5"/>
  <c r="AW77" i="5"/>
  <c r="BE77" i="5"/>
  <c r="BM77" i="5"/>
  <c r="BU77" i="5"/>
  <c r="CC77" i="5"/>
  <c r="CK77" i="5"/>
  <c r="J77" i="5"/>
  <c r="R77" i="5"/>
  <c r="Z77" i="5"/>
  <c r="AH77" i="5"/>
  <c r="AP77" i="5"/>
  <c r="AX77" i="5"/>
  <c r="BF77" i="5"/>
  <c r="BN77" i="5"/>
  <c r="BV77" i="5"/>
  <c r="CD77" i="5"/>
  <c r="CL77" i="5"/>
  <c r="K77" i="5"/>
  <c r="S77" i="5"/>
  <c r="AA77" i="5"/>
  <c r="AI77" i="5"/>
  <c r="AQ77" i="5"/>
  <c r="AY77" i="5"/>
  <c r="BG77" i="5"/>
  <c r="BO77" i="5"/>
  <c r="BW77" i="5"/>
  <c r="CE77" i="5"/>
  <c r="CM77" i="5"/>
  <c r="L77" i="5"/>
  <c r="T77" i="5"/>
  <c r="AB77" i="5"/>
  <c r="AJ77" i="5"/>
  <c r="AR77" i="5"/>
  <c r="AZ77" i="5"/>
  <c r="BH77" i="5"/>
  <c r="BP77" i="5"/>
  <c r="BX77" i="5"/>
  <c r="CF77" i="5"/>
  <c r="CN77" i="5"/>
  <c r="G11" i="5"/>
  <c r="O11" i="5"/>
  <c r="W11" i="5"/>
  <c r="AE11" i="5"/>
  <c r="AM11" i="5"/>
  <c r="AU11" i="5"/>
  <c r="BC11" i="5"/>
  <c r="BK11" i="5"/>
  <c r="BS11" i="5"/>
  <c r="CA11" i="5"/>
  <c r="CI11" i="5"/>
  <c r="CQ11" i="5"/>
  <c r="H11" i="5"/>
  <c r="P11" i="5"/>
  <c r="X11" i="5"/>
  <c r="AF11" i="5"/>
  <c r="AN11" i="5"/>
  <c r="AV11" i="5"/>
  <c r="BD11" i="5"/>
  <c r="BL11" i="5"/>
  <c r="BT11" i="5"/>
  <c r="CB11" i="5"/>
  <c r="CJ11" i="5"/>
  <c r="I11" i="5"/>
  <c r="Q11" i="5"/>
  <c r="Y11" i="5"/>
  <c r="AG11" i="5"/>
  <c r="AO11" i="5"/>
  <c r="AW11" i="5"/>
  <c r="BE11" i="5"/>
  <c r="BM11" i="5"/>
  <c r="BU11" i="5"/>
  <c r="CC11" i="5"/>
  <c r="CK11" i="5"/>
  <c r="J11" i="5"/>
  <c r="U11" i="5"/>
  <c r="AI11" i="5"/>
  <c r="AT11" i="5"/>
  <c r="BH11" i="5"/>
  <c r="BV11" i="5"/>
  <c r="CG11" i="5"/>
  <c r="K11" i="5"/>
  <c r="V11" i="5"/>
  <c r="AJ11" i="5"/>
  <c r="AX11" i="5"/>
  <c r="BI11" i="5"/>
  <c r="BW11" i="5"/>
  <c r="CH11" i="5"/>
  <c r="L11" i="5"/>
  <c r="Z11" i="5"/>
  <c r="AK11" i="5"/>
  <c r="AY11" i="5"/>
  <c r="BJ11" i="5"/>
  <c r="BX11" i="5"/>
  <c r="CL11" i="5"/>
  <c r="M11" i="5"/>
  <c r="AA11" i="5"/>
  <c r="AL11" i="5"/>
  <c r="AZ11" i="5"/>
  <c r="BN11" i="5"/>
  <c r="BY11" i="5"/>
  <c r="CM11" i="5"/>
  <c r="N11" i="5"/>
  <c r="AB11" i="5"/>
  <c r="AP11" i="5"/>
  <c r="BA11" i="5"/>
  <c r="BO11" i="5"/>
  <c r="BZ11" i="5"/>
  <c r="CN11" i="5"/>
  <c r="R11" i="5"/>
  <c r="AC11" i="5"/>
  <c r="AQ11" i="5"/>
  <c r="BB11" i="5"/>
  <c r="BP11" i="5"/>
  <c r="CD11" i="5"/>
  <c r="CO11" i="5"/>
  <c r="S11" i="5"/>
  <c r="AD11" i="5"/>
  <c r="AR11" i="5"/>
  <c r="BF11" i="5"/>
  <c r="BQ11" i="5"/>
  <c r="CE11" i="5"/>
  <c r="CP11" i="5"/>
  <c r="T11" i="5"/>
  <c r="AH11" i="5"/>
  <c r="AS11" i="5"/>
  <c r="BG11" i="5"/>
  <c r="BR11" i="5"/>
  <c r="CF11" i="5"/>
  <c r="G8" i="5"/>
  <c r="O8" i="5"/>
  <c r="W8" i="5"/>
  <c r="AE8" i="5"/>
  <c r="AM8" i="5"/>
  <c r="AU8" i="5"/>
  <c r="BC8" i="5"/>
  <c r="BK8" i="5"/>
  <c r="BS8" i="5"/>
  <c r="CA8" i="5"/>
  <c r="CI8" i="5"/>
  <c r="CQ8" i="5"/>
  <c r="H8" i="5"/>
  <c r="P8" i="5"/>
  <c r="X8" i="5"/>
  <c r="AF8" i="5"/>
  <c r="AN8" i="5"/>
  <c r="AV8" i="5"/>
  <c r="BD8" i="5"/>
  <c r="BL8" i="5"/>
  <c r="BT8" i="5"/>
  <c r="CB8" i="5"/>
  <c r="CJ8" i="5"/>
  <c r="I8" i="5"/>
  <c r="Q8" i="5"/>
  <c r="Y8" i="5"/>
  <c r="AG8" i="5"/>
  <c r="AO8" i="5"/>
  <c r="AW8" i="5"/>
  <c r="BE8" i="5"/>
  <c r="BM8" i="5"/>
  <c r="BU8" i="5"/>
  <c r="CC8" i="5"/>
  <c r="CK8" i="5"/>
  <c r="T8" i="5"/>
  <c r="AH8" i="5"/>
  <c r="AS8" i="5"/>
  <c r="BG8" i="5"/>
  <c r="BR8" i="5"/>
  <c r="CF8" i="5"/>
  <c r="J8" i="5"/>
  <c r="U8" i="5"/>
  <c r="AI8" i="5"/>
  <c r="AT8" i="5"/>
  <c r="BH8" i="5"/>
  <c r="BV8" i="5"/>
  <c r="CG8" i="5"/>
  <c r="K8" i="5"/>
  <c r="V8" i="5"/>
  <c r="AJ8" i="5"/>
  <c r="AX8" i="5"/>
  <c r="BI8" i="5"/>
  <c r="BW8" i="5"/>
  <c r="CH8" i="5"/>
  <c r="L8" i="5"/>
  <c r="Z8" i="5"/>
  <c r="AK8" i="5"/>
  <c r="AY8" i="5"/>
  <c r="BJ8" i="5"/>
  <c r="BX8" i="5"/>
  <c r="M8" i="5"/>
  <c r="AA8" i="5"/>
  <c r="AL8" i="5"/>
  <c r="AZ8" i="5"/>
  <c r="N8" i="5"/>
  <c r="AB8" i="5"/>
  <c r="AP8" i="5"/>
  <c r="AR8" i="5"/>
  <c r="BY8" i="5"/>
  <c r="CP8" i="5"/>
  <c r="BA8" i="5"/>
  <c r="BZ8" i="5"/>
  <c r="BB8" i="5"/>
  <c r="CD8" i="5"/>
  <c r="R8" i="5"/>
  <c r="BF8" i="5"/>
  <c r="CE8" i="5"/>
  <c r="S8" i="5"/>
  <c r="BN8" i="5"/>
  <c r="CL8" i="5"/>
  <c r="AC8" i="5"/>
  <c r="BO8" i="5"/>
  <c r="CM8" i="5"/>
  <c r="AD8" i="5"/>
  <c r="BP8" i="5"/>
  <c r="CN8" i="5"/>
  <c r="AQ8" i="5"/>
  <c r="BQ8" i="5"/>
  <c r="CO8" i="5"/>
  <c r="L16" i="5"/>
  <c r="T16" i="5"/>
  <c r="AB16" i="5"/>
  <c r="AJ16" i="5"/>
  <c r="AR16" i="5"/>
  <c r="AZ16" i="5"/>
  <c r="BH16" i="5"/>
  <c r="BP16" i="5"/>
  <c r="BX16" i="5"/>
  <c r="CF16" i="5"/>
  <c r="CN16" i="5"/>
  <c r="M16" i="5"/>
  <c r="U16" i="5"/>
  <c r="AC16" i="5"/>
  <c r="AK16" i="5"/>
  <c r="AS16" i="5"/>
  <c r="BA16" i="5"/>
  <c r="BI16" i="5"/>
  <c r="BQ16" i="5"/>
  <c r="BY16" i="5"/>
  <c r="CG16" i="5"/>
  <c r="CO16" i="5"/>
  <c r="N16" i="5"/>
  <c r="V16" i="5"/>
  <c r="AD16" i="5"/>
  <c r="AL16" i="5"/>
  <c r="AT16" i="5"/>
  <c r="BB16" i="5"/>
  <c r="BJ16" i="5"/>
  <c r="BR16" i="5"/>
  <c r="BZ16" i="5"/>
  <c r="CH16" i="5"/>
  <c r="CP16" i="5"/>
  <c r="G16" i="5"/>
  <c r="O16" i="5"/>
  <c r="W16" i="5"/>
  <c r="AE16" i="5"/>
  <c r="AM16" i="5"/>
  <c r="AU16" i="5"/>
  <c r="BC16" i="5"/>
  <c r="BK16" i="5"/>
  <c r="BS16" i="5"/>
  <c r="CA16" i="5"/>
  <c r="CI16" i="5"/>
  <c r="CQ16" i="5"/>
  <c r="H16" i="5"/>
  <c r="P16" i="5"/>
  <c r="X16" i="5"/>
  <c r="AF16" i="5"/>
  <c r="I16" i="5"/>
  <c r="Q16" i="5"/>
  <c r="Y16" i="5"/>
  <c r="AG16" i="5"/>
  <c r="AO16" i="5"/>
  <c r="AW16" i="5"/>
  <c r="BE16" i="5"/>
  <c r="BM16" i="5"/>
  <c r="BU16" i="5"/>
  <c r="CC16" i="5"/>
  <c r="CK16" i="5"/>
  <c r="J16" i="5"/>
  <c r="R16" i="5"/>
  <c r="Z16" i="5"/>
  <c r="AH16" i="5"/>
  <c r="AP16" i="5"/>
  <c r="AX16" i="5"/>
  <c r="BF16" i="5"/>
  <c r="BN16" i="5"/>
  <c r="BV16" i="5"/>
  <c r="CD16" i="5"/>
  <c r="CL16" i="5"/>
  <c r="K16" i="5"/>
  <c r="S16" i="5"/>
  <c r="AA16" i="5"/>
  <c r="AI16" i="5"/>
  <c r="AQ16" i="5"/>
  <c r="AY16" i="5"/>
  <c r="BG16" i="5"/>
  <c r="BO16" i="5"/>
  <c r="BW16" i="5"/>
  <c r="AN16" i="5"/>
  <c r="CM16" i="5"/>
  <c r="AV16" i="5"/>
  <c r="BD16" i="5"/>
  <c r="BL16" i="5"/>
  <c r="BT16" i="5"/>
  <c r="CB16" i="5"/>
  <c r="CE16" i="5"/>
  <c r="CJ16" i="5"/>
  <c r="K48" i="5"/>
  <c r="S48" i="5"/>
  <c r="AA48" i="5"/>
  <c r="AI48" i="5"/>
  <c r="AQ48" i="5"/>
  <c r="AY48" i="5"/>
  <c r="BG48" i="5"/>
  <c r="BO48" i="5"/>
  <c r="BW48" i="5"/>
  <c r="CE48" i="5"/>
  <c r="CM48" i="5"/>
  <c r="J48" i="5"/>
  <c r="T48" i="5"/>
  <c r="AC48" i="5"/>
  <c r="AL48" i="5"/>
  <c r="AU48" i="5"/>
  <c r="BD48" i="5"/>
  <c r="BM48" i="5"/>
  <c r="BV48" i="5"/>
  <c r="CF48" i="5"/>
  <c r="CO48" i="5"/>
  <c r="L48" i="5"/>
  <c r="U48" i="5"/>
  <c r="AD48" i="5"/>
  <c r="AM48" i="5"/>
  <c r="AV48" i="5"/>
  <c r="BE48" i="5"/>
  <c r="BN48" i="5"/>
  <c r="BX48" i="5"/>
  <c r="CG48" i="5"/>
  <c r="CP48" i="5"/>
  <c r="M48" i="5"/>
  <c r="V48" i="5"/>
  <c r="AE48" i="5"/>
  <c r="AN48" i="5"/>
  <c r="AW48" i="5"/>
  <c r="BF48" i="5"/>
  <c r="BP48" i="5"/>
  <c r="BY48" i="5"/>
  <c r="CH48" i="5"/>
  <c r="CQ48" i="5"/>
  <c r="N48" i="5"/>
  <c r="W48" i="5"/>
  <c r="AF48" i="5"/>
  <c r="AO48" i="5"/>
  <c r="AX48" i="5"/>
  <c r="BH48" i="5"/>
  <c r="O48" i="5"/>
  <c r="X48" i="5"/>
  <c r="AG48" i="5"/>
  <c r="AP48" i="5"/>
  <c r="AZ48" i="5"/>
  <c r="BI48" i="5"/>
  <c r="BR48" i="5"/>
  <c r="CA48" i="5"/>
  <c r="G48" i="5"/>
  <c r="P48" i="5"/>
  <c r="Y48" i="5"/>
  <c r="AH48" i="5"/>
  <c r="AR48" i="5"/>
  <c r="BA48" i="5"/>
  <c r="BJ48" i="5"/>
  <c r="BS48" i="5"/>
  <c r="CB48" i="5"/>
  <c r="CK48" i="5"/>
  <c r="H48" i="5"/>
  <c r="Q48" i="5"/>
  <c r="Z48" i="5"/>
  <c r="AJ48" i="5"/>
  <c r="AS48" i="5"/>
  <c r="BB48" i="5"/>
  <c r="BK48" i="5"/>
  <c r="BT48" i="5"/>
  <c r="CC48" i="5"/>
  <c r="CL48" i="5"/>
  <c r="I48" i="5"/>
  <c r="R48" i="5"/>
  <c r="AB48" i="5"/>
  <c r="AK48" i="5"/>
  <c r="AT48" i="5"/>
  <c r="BC48" i="5"/>
  <c r="BL48" i="5"/>
  <c r="BU48" i="5"/>
  <c r="CD48" i="5"/>
  <c r="CN48" i="5"/>
  <c r="BQ48" i="5"/>
  <c r="BZ48" i="5"/>
  <c r="CI48" i="5"/>
  <c r="CJ48" i="5"/>
  <c r="J56" i="5"/>
  <c r="R56" i="5"/>
  <c r="Z56" i="5"/>
  <c r="AH56" i="5"/>
  <c r="AP56" i="5"/>
  <c r="AX56" i="5"/>
  <c r="BF56" i="5"/>
  <c r="BN56" i="5"/>
  <c r="BV56" i="5"/>
  <c r="CD56" i="5"/>
  <c r="CL56" i="5"/>
  <c r="K56" i="5"/>
  <c r="S56" i="5"/>
  <c r="AA56" i="5"/>
  <c r="AI56" i="5"/>
  <c r="AQ56" i="5"/>
  <c r="AY56" i="5"/>
  <c r="BG56" i="5"/>
  <c r="BO56" i="5"/>
  <c r="BW56" i="5"/>
  <c r="CE56" i="5"/>
  <c r="CM56" i="5"/>
  <c r="L56" i="5"/>
  <c r="T56" i="5"/>
  <c r="AB56" i="5"/>
  <c r="AJ56" i="5"/>
  <c r="AR56" i="5"/>
  <c r="AZ56" i="5"/>
  <c r="BH56" i="5"/>
  <c r="BP56" i="5"/>
  <c r="BX56" i="5"/>
  <c r="CF56" i="5"/>
  <c r="CN56" i="5"/>
  <c r="M56" i="5"/>
  <c r="U56" i="5"/>
  <c r="AC56" i="5"/>
  <c r="AK56" i="5"/>
  <c r="AS56" i="5"/>
  <c r="BA56" i="5"/>
  <c r="BI56" i="5"/>
  <c r="BQ56" i="5"/>
  <c r="BY56" i="5"/>
  <c r="CG56" i="5"/>
  <c r="CO56" i="5"/>
  <c r="N56" i="5"/>
  <c r="V56" i="5"/>
  <c r="AD56" i="5"/>
  <c r="AL56" i="5"/>
  <c r="AT56" i="5"/>
  <c r="BB56" i="5"/>
  <c r="BJ56" i="5"/>
  <c r="BR56" i="5"/>
  <c r="BZ56" i="5"/>
  <c r="CH56" i="5"/>
  <c r="CP56" i="5"/>
  <c r="G56" i="5"/>
  <c r="O56" i="5"/>
  <c r="W56" i="5"/>
  <c r="AE56" i="5"/>
  <c r="AM56" i="5"/>
  <c r="AU56" i="5"/>
  <c r="BC56" i="5"/>
  <c r="BK56" i="5"/>
  <c r="BS56" i="5"/>
  <c r="CA56" i="5"/>
  <c r="H56" i="5"/>
  <c r="P56" i="5"/>
  <c r="X56" i="5"/>
  <c r="AF56" i="5"/>
  <c r="AN56" i="5"/>
  <c r="AV56" i="5"/>
  <c r="BD56" i="5"/>
  <c r="BL56" i="5"/>
  <c r="BT56" i="5"/>
  <c r="CB56" i="5"/>
  <c r="CJ56" i="5"/>
  <c r="AO56" i="5"/>
  <c r="CQ56" i="5"/>
  <c r="AW56" i="5"/>
  <c r="BE56" i="5"/>
  <c r="BM56" i="5"/>
  <c r="I56" i="5"/>
  <c r="BU56" i="5"/>
  <c r="Q56" i="5"/>
  <c r="CC56" i="5"/>
  <c r="Y56" i="5"/>
  <c r="CI56" i="5"/>
  <c r="AG56" i="5"/>
  <c r="CK56" i="5"/>
  <c r="J64" i="5"/>
  <c r="R64" i="5"/>
  <c r="Z64" i="5"/>
  <c r="AH64" i="5"/>
  <c r="AP64" i="5"/>
  <c r="AX64" i="5"/>
  <c r="BF64" i="5"/>
  <c r="BN64" i="5"/>
  <c r="BV64" i="5"/>
  <c r="CD64" i="5"/>
  <c r="CL64" i="5"/>
  <c r="K64" i="5"/>
  <c r="S64" i="5"/>
  <c r="AA64" i="5"/>
  <c r="AI64" i="5"/>
  <c r="AQ64" i="5"/>
  <c r="AY64" i="5"/>
  <c r="BG64" i="5"/>
  <c r="BO64" i="5"/>
  <c r="BW64" i="5"/>
  <c r="CE64" i="5"/>
  <c r="CM64" i="5"/>
  <c r="L64" i="5"/>
  <c r="T64" i="5"/>
  <c r="AB64" i="5"/>
  <c r="AJ64" i="5"/>
  <c r="AR64" i="5"/>
  <c r="AZ64" i="5"/>
  <c r="BH64" i="5"/>
  <c r="BP64" i="5"/>
  <c r="BX64" i="5"/>
  <c r="CF64" i="5"/>
  <c r="CN64" i="5"/>
  <c r="M64" i="5"/>
  <c r="U64" i="5"/>
  <c r="AC64" i="5"/>
  <c r="AK64" i="5"/>
  <c r="AS64" i="5"/>
  <c r="BA64" i="5"/>
  <c r="BI64" i="5"/>
  <c r="BQ64" i="5"/>
  <c r="BY64" i="5"/>
  <c r="CG64" i="5"/>
  <c r="CO64" i="5"/>
  <c r="N64" i="5"/>
  <c r="V64" i="5"/>
  <c r="AD64" i="5"/>
  <c r="AL64" i="5"/>
  <c r="AT64" i="5"/>
  <c r="BB64" i="5"/>
  <c r="BJ64" i="5"/>
  <c r="BR64" i="5"/>
  <c r="BZ64" i="5"/>
  <c r="CH64" i="5"/>
  <c r="CP64" i="5"/>
  <c r="G64" i="5"/>
  <c r="O64" i="5"/>
  <c r="W64" i="5"/>
  <c r="AE64" i="5"/>
  <c r="AM64" i="5"/>
  <c r="AU64" i="5"/>
  <c r="BC64" i="5"/>
  <c r="BK64" i="5"/>
  <c r="BS64" i="5"/>
  <c r="CA64" i="5"/>
  <c r="CI64" i="5"/>
  <c r="CQ64" i="5"/>
  <c r="H64" i="5"/>
  <c r="P64" i="5"/>
  <c r="X64" i="5"/>
  <c r="AF64" i="5"/>
  <c r="AN64" i="5"/>
  <c r="AV64" i="5"/>
  <c r="BD64" i="5"/>
  <c r="BL64" i="5"/>
  <c r="BT64" i="5"/>
  <c r="CB64" i="5"/>
  <c r="CJ64" i="5"/>
  <c r="I64" i="5"/>
  <c r="Q64" i="5"/>
  <c r="Y64" i="5"/>
  <c r="AG64" i="5"/>
  <c r="AO64" i="5"/>
  <c r="AW64" i="5"/>
  <c r="BE64" i="5"/>
  <c r="BM64" i="5"/>
  <c r="BU64" i="5"/>
  <c r="CC64" i="5"/>
  <c r="CK64" i="5"/>
  <c r="K72" i="5"/>
  <c r="S72" i="5"/>
  <c r="AA72" i="5"/>
  <c r="AI72" i="5"/>
  <c r="AQ72" i="5"/>
  <c r="AY72" i="5"/>
  <c r="BG72" i="5"/>
  <c r="BO72" i="5"/>
  <c r="BW72" i="5"/>
  <c r="CE72" i="5"/>
  <c r="CM72" i="5"/>
  <c r="L72" i="5"/>
  <c r="T72" i="5"/>
  <c r="AB72" i="5"/>
  <c r="AJ72" i="5"/>
  <c r="AR72" i="5"/>
  <c r="AZ72" i="5"/>
  <c r="BH72" i="5"/>
  <c r="BP72" i="5"/>
  <c r="BX72" i="5"/>
  <c r="CF72" i="5"/>
  <c r="CN72" i="5"/>
  <c r="H72" i="5"/>
  <c r="R72" i="5"/>
  <c r="AD72" i="5"/>
  <c r="AN72" i="5"/>
  <c r="AX72" i="5"/>
  <c r="BJ72" i="5"/>
  <c r="BT72" i="5"/>
  <c r="CD72" i="5"/>
  <c r="CP72" i="5"/>
  <c r="I72" i="5"/>
  <c r="U72" i="5"/>
  <c r="AE72" i="5"/>
  <c r="AO72" i="5"/>
  <c r="BA72" i="5"/>
  <c r="BK72" i="5"/>
  <c r="BU72" i="5"/>
  <c r="CG72" i="5"/>
  <c r="CQ72" i="5"/>
  <c r="J72" i="5"/>
  <c r="V72" i="5"/>
  <c r="AF72" i="5"/>
  <c r="AP72" i="5"/>
  <c r="BB72" i="5"/>
  <c r="BL72" i="5"/>
  <c r="BV72" i="5"/>
  <c r="CH72" i="5"/>
  <c r="M72" i="5"/>
  <c r="W72" i="5"/>
  <c r="AG72" i="5"/>
  <c r="AS72" i="5"/>
  <c r="BC72" i="5"/>
  <c r="BM72" i="5"/>
  <c r="BY72" i="5"/>
  <c r="CI72" i="5"/>
  <c r="N72" i="5"/>
  <c r="X72" i="5"/>
  <c r="AH72" i="5"/>
  <c r="AT72" i="5"/>
  <c r="BD72" i="5"/>
  <c r="BN72" i="5"/>
  <c r="BZ72" i="5"/>
  <c r="CJ72" i="5"/>
  <c r="O72" i="5"/>
  <c r="Y72" i="5"/>
  <c r="AK72" i="5"/>
  <c r="AU72" i="5"/>
  <c r="BE72" i="5"/>
  <c r="BQ72" i="5"/>
  <c r="CA72" i="5"/>
  <c r="CK72" i="5"/>
  <c r="P72" i="5"/>
  <c r="Z72" i="5"/>
  <c r="AL72" i="5"/>
  <c r="AV72" i="5"/>
  <c r="BF72" i="5"/>
  <c r="BR72" i="5"/>
  <c r="CB72" i="5"/>
  <c r="CL72" i="5"/>
  <c r="G72" i="5"/>
  <c r="Q72" i="5"/>
  <c r="AC72" i="5"/>
  <c r="AM72" i="5"/>
  <c r="AW72" i="5"/>
  <c r="BI72" i="5"/>
  <c r="BS72" i="5"/>
  <c r="CC72" i="5"/>
  <c r="CO72" i="5"/>
  <c r="I42" i="5"/>
  <c r="Q42" i="5"/>
  <c r="Y42" i="5"/>
  <c r="AG42" i="5"/>
  <c r="AO42" i="5"/>
  <c r="AW42" i="5"/>
  <c r="BE42" i="5"/>
  <c r="BM42" i="5"/>
  <c r="BU42" i="5"/>
  <c r="CC42" i="5"/>
  <c r="CK42" i="5"/>
  <c r="J42" i="5"/>
  <c r="R42" i="5"/>
  <c r="Z42" i="5"/>
  <c r="AH42" i="5"/>
  <c r="AP42" i="5"/>
  <c r="AX42" i="5"/>
  <c r="BF42" i="5"/>
  <c r="BN42" i="5"/>
  <c r="BV42" i="5"/>
  <c r="CD42" i="5"/>
  <c r="CL42" i="5"/>
  <c r="K42" i="5"/>
  <c r="S42" i="5"/>
  <c r="AA42" i="5"/>
  <c r="AI42" i="5"/>
  <c r="AQ42" i="5"/>
  <c r="AY42" i="5"/>
  <c r="BG42" i="5"/>
  <c r="BO42" i="5"/>
  <c r="BW42" i="5"/>
  <c r="CE42" i="5"/>
  <c r="CM42" i="5"/>
  <c r="M42" i="5"/>
  <c r="X42" i="5"/>
  <c r="AL42" i="5"/>
  <c r="AZ42" i="5"/>
  <c r="BK42" i="5"/>
  <c r="BY42" i="5"/>
  <c r="CJ42" i="5"/>
  <c r="N42" i="5"/>
  <c r="AB42" i="5"/>
  <c r="AM42" i="5"/>
  <c r="BA42" i="5"/>
  <c r="BL42" i="5"/>
  <c r="BZ42" i="5"/>
  <c r="CN42" i="5"/>
  <c r="O42" i="5"/>
  <c r="AC42" i="5"/>
  <c r="AN42" i="5"/>
  <c r="BB42" i="5"/>
  <c r="BP42" i="5"/>
  <c r="CA42" i="5"/>
  <c r="CO42" i="5"/>
  <c r="P42" i="5"/>
  <c r="AD42" i="5"/>
  <c r="AR42" i="5"/>
  <c r="BC42" i="5"/>
  <c r="BQ42" i="5"/>
  <c r="CB42" i="5"/>
  <c r="CP42" i="5"/>
  <c r="T42" i="5"/>
  <c r="AE42" i="5"/>
  <c r="AS42" i="5"/>
  <c r="BD42" i="5"/>
  <c r="BR42" i="5"/>
  <c r="CF42" i="5"/>
  <c r="CQ42" i="5"/>
  <c r="G42" i="5"/>
  <c r="U42" i="5"/>
  <c r="AF42" i="5"/>
  <c r="AT42" i="5"/>
  <c r="BH42" i="5"/>
  <c r="BS42" i="5"/>
  <c r="CG42" i="5"/>
  <c r="H42" i="5"/>
  <c r="V42" i="5"/>
  <c r="AJ42" i="5"/>
  <c r="AU42" i="5"/>
  <c r="BI42" i="5"/>
  <c r="BT42" i="5"/>
  <c r="CH42" i="5"/>
  <c r="L42" i="5"/>
  <c r="W42" i="5"/>
  <c r="AK42" i="5"/>
  <c r="AV42" i="5"/>
  <c r="BJ42" i="5"/>
  <c r="BX42" i="5"/>
  <c r="CI42" i="5"/>
  <c r="M50" i="5"/>
  <c r="U50" i="5"/>
  <c r="AC50" i="5"/>
  <c r="AK50" i="5"/>
  <c r="AS50" i="5"/>
  <c r="BA50" i="5"/>
  <c r="N50" i="5"/>
  <c r="V50" i="5"/>
  <c r="AD50" i="5"/>
  <c r="AL50" i="5"/>
  <c r="AT50" i="5"/>
  <c r="BB50" i="5"/>
  <c r="BJ50" i="5"/>
  <c r="BR50" i="5"/>
  <c r="BZ50" i="5"/>
  <c r="CH50" i="5"/>
  <c r="CP50" i="5"/>
  <c r="G50" i="5"/>
  <c r="O50" i="5"/>
  <c r="W50" i="5"/>
  <c r="AE50" i="5"/>
  <c r="AM50" i="5"/>
  <c r="AU50" i="5"/>
  <c r="BC50" i="5"/>
  <c r="BK50" i="5"/>
  <c r="BS50" i="5"/>
  <c r="CA50" i="5"/>
  <c r="CI50" i="5"/>
  <c r="CQ50" i="5"/>
  <c r="J50" i="5"/>
  <c r="R50" i="5"/>
  <c r="Z50" i="5"/>
  <c r="AH50" i="5"/>
  <c r="K50" i="5"/>
  <c r="S50" i="5"/>
  <c r="AA50" i="5"/>
  <c r="AI50" i="5"/>
  <c r="AQ50" i="5"/>
  <c r="AY50" i="5"/>
  <c r="BG50" i="5"/>
  <c r="BO50" i="5"/>
  <c r="L50" i="5"/>
  <c r="T50" i="5"/>
  <c r="AB50" i="5"/>
  <c r="AJ50" i="5"/>
  <c r="AR50" i="5"/>
  <c r="AF50" i="5"/>
  <c r="AZ50" i="5"/>
  <c r="BN50" i="5"/>
  <c r="BY50" i="5"/>
  <c r="CK50" i="5"/>
  <c r="AG50" i="5"/>
  <c r="BD50" i="5"/>
  <c r="BP50" i="5"/>
  <c r="CB50" i="5"/>
  <c r="CL50" i="5"/>
  <c r="H50" i="5"/>
  <c r="AN50" i="5"/>
  <c r="BE50" i="5"/>
  <c r="BQ50" i="5"/>
  <c r="CC50" i="5"/>
  <c r="CM50" i="5"/>
  <c r="I50" i="5"/>
  <c r="AO50" i="5"/>
  <c r="BF50" i="5"/>
  <c r="BT50" i="5"/>
  <c r="CD50" i="5"/>
  <c r="CN50" i="5"/>
  <c r="P50" i="5"/>
  <c r="AP50" i="5"/>
  <c r="BH50" i="5"/>
  <c r="BU50" i="5"/>
  <c r="CE50" i="5"/>
  <c r="CO50" i="5"/>
  <c r="Q50" i="5"/>
  <c r="AV50" i="5"/>
  <c r="BI50" i="5"/>
  <c r="BV50" i="5"/>
  <c r="CF50" i="5"/>
  <c r="X50" i="5"/>
  <c r="AW50" i="5"/>
  <c r="BL50" i="5"/>
  <c r="BW50" i="5"/>
  <c r="CG50" i="5"/>
  <c r="Y50" i="5"/>
  <c r="AX50" i="5"/>
  <c r="BM50" i="5"/>
  <c r="BX50" i="5"/>
  <c r="CJ50" i="5"/>
  <c r="H58" i="5"/>
  <c r="P58" i="5"/>
  <c r="X58" i="5"/>
  <c r="AF58" i="5"/>
  <c r="AN58" i="5"/>
  <c r="AV58" i="5"/>
  <c r="BD58" i="5"/>
  <c r="BL58" i="5"/>
  <c r="BT58" i="5"/>
  <c r="CB58" i="5"/>
  <c r="CJ58" i="5"/>
  <c r="I58" i="5"/>
  <c r="Q58" i="5"/>
  <c r="Y58" i="5"/>
  <c r="AG58" i="5"/>
  <c r="AO58" i="5"/>
  <c r="AW58" i="5"/>
  <c r="BE58" i="5"/>
  <c r="BM58" i="5"/>
  <c r="BU58" i="5"/>
  <c r="CC58" i="5"/>
  <c r="CK58" i="5"/>
  <c r="J58" i="5"/>
  <c r="R58" i="5"/>
  <c r="Z58" i="5"/>
  <c r="AH58" i="5"/>
  <c r="AP58" i="5"/>
  <c r="AX58" i="5"/>
  <c r="BF58" i="5"/>
  <c r="BN58" i="5"/>
  <c r="BV58" i="5"/>
  <c r="CD58" i="5"/>
  <c r="CL58" i="5"/>
  <c r="L58" i="5"/>
  <c r="T58" i="5"/>
  <c r="N58" i="5"/>
  <c r="AC58" i="5"/>
  <c r="AQ58" i="5"/>
  <c r="BB58" i="5"/>
  <c r="BP58" i="5"/>
  <c r="CA58" i="5"/>
  <c r="CO58" i="5"/>
  <c r="O58" i="5"/>
  <c r="AD58" i="5"/>
  <c r="AR58" i="5"/>
  <c r="BC58" i="5"/>
  <c r="BQ58" i="5"/>
  <c r="CE58" i="5"/>
  <c r="CP58" i="5"/>
  <c r="S58" i="5"/>
  <c r="AE58" i="5"/>
  <c r="AS58" i="5"/>
  <c r="BG58" i="5"/>
  <c r="BR58" i="5"/>
  <c r="CF58" i="5"/>
  <c r="CQ58" i="5"/>
  <c r="U58" i="5"/>
  <c r="AI58" i="5"/>
  <c r="AT58" i="5"/>
  <c r="BH58" i="5"/>
  <c r="BS58" i="5"/>
  <c r="CG58" i="5"/>
  <c r="V58" i="5"/>
  <c r="AJ58" i="5"/>
  <c r="AU58" i="5"/>
  <c r="BI58" i="5"/>
  <c r="BW58" i="5"/>
  <c r="CH58" i="5"/>
  <c r="G58" i="5"/>
  <c r="W58" i="5"/>
  <c r="AK58" i="5"/>
  <c r="AY58" i="5"/>
  <c r="BJ58" i="5"/>
  <c r="BX58" i="5"/>
  <c r="CI58" i="5"/>
  <c r="K58" i="5"/>
  <c r="AA58" i="5"/>
  <c r="AL58" i="5"/>
  <c r="AZ58" i="5"/>
  <c r="BK58" i="5"/>
  <c r="BY58" i="5"/>
  <c r="CM58" i="5"/>
  <c r="M58" i="5"/>
  <c r="AB58" i="5"/>
  <c r="AM58" i="5"/>
  <c r="BA58" i="5"/>
  <c r="BO58" i="5"/>
  <c r="BZ58" i="5"/>
  <c r="CN58" i="5"/>
  <c r="H66" i="5"/>
  <c r="P66" i="5"/>
  <c r="X66" i="5"/>
  <c r="AF66" i="5"/>
  <c r="AN66" i="5"/>
  <c r="AV66" i="5"/>
  <c r="BD66" i="5"/>
  <c r="BL66" i="5"/>
  <c r="BT66" i="5"/>
  <c r="CB66" i="5"/>
  <c r="CJ66" i="5"/>
  <c r="I66" i="5"/>
  <c r="Q66" i="5"/>
  <c r="Y66" i="5"/>
  <c r="AG66" i="5"/>
  <c r="AO66" i="5"/>
  <c r="AW66" i="5"/>
  <c r="BE66" i="5"/>
  <c r="BM66" i="5"/>
  <c r="BU66" i="5"/>
  <c r="CC66" i="5"/>
  <c r="CK66" i="5"/>
  <c r="J66" i="5"/>
  <c r="R66" i="5"/>
  <c r="Z66" i="5"/>
  <c r="AH66" i="5"/>
  <c r="AP66" i="5"/>
  <c r="AX66" i="5"/>
  <c r="BF66" i="5"/>
  <c r="BN66" i="5"/>
  <c r="BV66" i="5"/>
  <c r="CD66" i="5"/>
  <c r="CL66" i="5"/>
  <c r="K66" i="5"/>
  <c r="S66" i="5"/>
  <c r="AA66" i="5"/>
  <c r="AI66" i="5"/>
  <c r="AQ66" i="5"/>
  <c r="AY66" i="5"/>
  <c r="BG66" i="5"/>
  <c r="BO66" i="5"/>
  <c r="BW66" i="5"/>
  <c r="CE66" i="5"/>
  <c r="CM66" i="5"/>
  <c r="L66" i="5"/>
  <c r="T66" i="5"/>
  <c r="AB66" i="5"/>
  <c r="AJ66" i="5"/>
  <c r="AR66" i="5"/>
  <c r="AZ66" i="5"/>
  <c r="BH66" i="5"/>
  <c r="BP66" i="5"/>
  <c r="BX66" i="5"/>
  <c r="CF66" i="5"/>
  <c r="CN66" i="5"/>
  <c r="M66" i="5"/>
  <c r="U66" i="5"/>
  <c r="AC66" i="5"/>
  <c r="AK66" i="5"/>
  <c r="AS66" i="5"/>
  <c r="BA66" i="5"/>
  <c r="BI66" i="5"/>
  <c r="BQ66" i="5"/>
  <c r="BY66" i="5"/>
  <c r="CG66" i="5"/>
  <c r="CO66" i="5"/>
  <c r="N66" i="5"/>
  <c r="V66" i="5"/>
  <c r="AD66" i="5"/>
  <c r="AL66" i="5"/>
  <c r="AT66" i="5"/>
  <c r="BB66" i="5"/>
  <c r="BJ66" i="5"/>
  <c r="BR66" i="5"/>
  <c r="BZ66" i="5"/>
  <c r="CH66" i="5"/>
  <c r="CP66" i="5"/>
  <c r="G66" i="5"/>
  <c r="O66" i="5"/>
  <c r="W66" i="5"/>
  <c r="AE66" i="5"/>
  <c r="AM66" i="5"/>
  <c r="AU66" i="5"/>
  <c r="BC66" i="5"/>
  <c r="BK66" i="5"/>
  <c r="BS66" i="5"/>
  <c r="CA66" i="5"/>
  <c r="CI66" i="5"/>
  <c r="CQ66" i="5"/>
  <c r="H74" i="5"/>
  <c r="P74" i="5"/>
  <c r="X74" i="5"/>
  <c r="AF74" i="5"/>
  <c r="AN74" i="5"/>
  <c r="AV74" i="5"/>
  <c r="BD74" i="5"/>
  <c r="BL74" i="5"/>
  <c r="BT74" i="5"/>
  <c r="CB74" i="5"/>
  <c r="CJ74" i="5"/>
  <c r="I74" i="5"/>
  <c r="Q74" i="5"/>
  <c r="Y74" i="5"/>
  <c r="AG74" i="5"/>
  <c r="AO74" i="5"/>
  <c r="AW74" i="5"/>
  <c r="BE74" i="5"/>
  <c r="BM74" i="5"/>
  <c r="BU74" i="5"/>
  <c r="CC74" i="5"/>
  <c r="CK74" i="5"/>
  <c r="J74" i="5"/>
  <c r="R74" i="5"/>
  <c r="Z74" i="5"/>
  <c r="AH74" i="5"/>
  <c r="AP74" i="5"/>
  <c r="AX74" i="5"/>
  <c r="BF74" i="5"/>
  <c r="BN74" i="5"/>
  <c r="BV74" i="5"/>
  <c r="CD74" i="5"/>
  <c r="CL74" i="5"/>
  <c r="K74" i="5"/>
  <c r="S74" i="5"/>
  <c r="AA74" i="5"/>
  <c r="AI74" i="5"/>
  <c r="AQ74" i="5"/>
  <c r="AY74" i="5"/>
  <c r="BG74" i="5"/>
  <c r="BO74" i="5"/>
  <c r="BW74" i="5"/>
  <c r="CE74" i="5"/>
  <c r="CM74" i="5"/>
  <c r="L74" i="5"/>
  <c r="T74" i="5"/>
  <c r="AB74" i="5"/>
  <c r="AJ74" i="5"/>
  <c r="AR74" i="5"/>
  <c r="AZ74" i="5"/>
  <c r="BH74" i="5"/>
  <c r="BP74" i="5"/>
  <c r="BX74" i="5"/>
  <c r="CF74" i="5"/>
  <c r="CN74" i="5"/>
  <c r="M74" i="5"/>
  <c r="U74" i="5"/>
  <c r="AC74" i="5"/>
  <c r="AK74" i="5"/>
  <c r="AS74" i="5"/>
  <c r="BA74" i="5"/>
  <c r="BI74" i="5"/>
  <c r="BQ74" i="5"/>
  <c r="BY74" i="5"/>
  <c r="CG74" i="5"/>
  <c r="CO74" i="5"/>
  <c r="N74" i="5"/>
  <c r="V74" i="5"/>
  <c r="AD74" i="5"/>
  <c r="AL74" i="5"/>
  <c r="AT74" i="5"/>
  <c r="BB74" i="5"/>
  <c r="BJ74" i="5"/>
  <c r="BR74" i="5"/>
  <c r="BZ74" i="5"/>
  <c r="CH74" i="5"/>
  <c r="CP74" i="5"/>
  <c r="G74" i="5"/>
  <c r="O74" i="5"/>
  <c r="W74" i="5"/>
  <c r="AE74" i="5"/>
  <c r="AM74" i="5"/>
  <c r="AU74" i="5"/>
  <c r="BC74" i="5"/>
  <c r="BK74" i="5"/>
  <c r="BS74" i="5"/>
  <c r="CA74" i="5"/>
  <c r="CI74" i="5"/>
  <c r="CQ74" i="5"/>
  <c r="I3" i="5"/>
  <c r="Q3" i="5"/>
  <c r="Y3" i="5"/>
  <c r="AG3" i="5"/>
  <c r="AO3" i="5"/>
  <c r="AW3" i="5"/>
  <c r="BE3" i="5"/>
  <c r="BM3" i="5"/>
  <c r="BU3" i="5"/>
  <c r="CC3" i="5"/>
  <c r="CK3" i="5"/>
  <c r="J3" i="5"/>
  <c r="R3" i="5"/>
  <c r="Z3" i="5"/>
  <c r="AH3" i="5"/>
  <c r="AP3" i="5"/>
  <c r="AX3" i="5"/>
  <c r="BF3" i="5"/>
  <c r="BN3" i="5"/>
  <c r="BV3" i="5"/>
  <c r="CD3" i="5"/>
  <c r="CL3" i="5"/>
  <c r="K3" i="5"/>
  <c r="S3" i="5"/>
  <c r="AA3" i="5"/>
  <c r="AI3" i="5"/>
  <c r="AQ3" i="5"/>
  <c r="AY3" i="5"/>
  <c r="BG3" i="5"/>
  <c r="BO3" i="5"/>
  <c r="BW3" i="5"/>
  <c r="CE3" i="5"/>
  <c r="CM3" i="5"/>
  <c r="L3" i="5"/>
  <c r="T3" i="5"/>
  <c r="AB3" i="5"/>
  <c r="AJ3" i="5"/>
  <c r="AR3" i="5"/>
  <c r="AZ3" i="5"/>
  <c r="BH3" i="5"/>
  <c r="BP3" i="5"/>
  <c r="BX3" i="5"/>
  <c r="CF3" i="5"/>
  <c r="CN3" i="5"/>
  <c r="M3" i="5"/>
  <c r="U3" i="5"/>
  <c r="AC3" i="5"/>
  <c r="AK3" i="5"/>
  <c r="AS3" i="5"/>
  <c r="BA3" i="5"/>
  <c r="BI3" i="5"/>
  <c r="BQ3" i="5"/>
  <c r="BY3" i="5"/>
  <c r="CG3" i="5"/>
  <c r="CO3" i="5"/>
  <c r="N3" i="5"/>
  <c r="V3" i="5"/>
  <c r="AD3" i="5"/>
  <c r="AL3" i="5"/>
  <c r="AT3" i="5"/>
  <c r="BB3" i="5"/>
  <c r="BJ3" i="5"/>
  <c r="BR3" i="5"/>
  <c r="BZ3" i="5"/>
  <c r="CH3" i="5"/>
  <c r="CP3" i="5"/>
  <c r="O3" i="5"/>
  <c r="W3" i="5"/>
  <c r="AE3" i="5"/>
  <c r="AM3" i="5"/>
  <c r="AU3" i="5"/>
  <c r="BC3" i="5"/>
  <c r="BK3" i="5"/>
  <c r="BS3" i="5"/>
  <c r="CA3" i="5"/>
  <c r="CI3" i="5"/>
  <c r="CQ3" i="5"/>
  <c r="H3" i="5"/>
  <c r="P3" i="5"/>
  <c r="X3" i="5"/>
  <c r="AF3" i="5"/>
  <c r="AN3" i="5"/>
  <c r="AV3" i="5"/>
  <c r="BD3" i="5"/>
  <c r="BL3" i="5"/>
  <c r="BT3" i="5"/>
  <c r="CB3" i="5"/>
  <c r="CJ3" i="5"/>
  <c r="G3" i="5"/>
  <c r="J27" i="5"/>
  <c r="R27" i="5"/>
  <c r="Z27" i="5"/>
  <c r="AH27" i="5"/>
  <c r="AP27" i="5"/>
  <c r="AX27" i="5"/>
  <c r="BF27" i="5"/>
  <c r="BN27" i="5"/>
  <c r="BV27" i="5"/>
  <c r="CD27" i="5"/>
  <c r="CL27" i="5"/>
  <c r="K27" i="5"/>
  <c r="S27" i="5"/>
  <c r="AA27" i="5"/>
  <c r="AI27" i="5"/>
  <c r="AQ27" i="5"/>
  <c r="AY27" i="5"/>
  <c r="BG27" i="5"/>
  <c r="BO27" i="5"/>
  <c r="BW27" i="5"/>
  <c r="CE27" i="5"/>
  <c r="CM27" i="5"/>
  <c r="L27" i="5"/>
  <c r="T27" i="5"/>
  <c r="AB27" i="5"/>
  <c r="AJ27" i="5"/>
  <c r="AR27" i="5"/>
  <c r="AZ27" i="5"/>
  <c r="BH27" i="5"/>
  <c r="BP27" i="5"/>
  <c r="BX27" i="5"/>
  <c r="CF27" i="5"/>
  <c r="CN27" i="5"/>
  <c r="I27" i="5"/>
  <c r="W27" i="5"/>
  <c r="AK27" i="5"/>
  <c r="AV27" i="5"/>
  <c r="BJ27" i="5"/>
  <c r="BU27" i="5"/>
  <c r="CI27" i="5"/>
  <c r="M27" i="5"/>
  <c r="X27" i="5"/>
  <c r="AL27" i="5"/>
  <c r="AW27" i="5"/>
  <c r="BK27" i="5"/>
  <c r="BY27" i="5"/>
  <c r="CJ27" i="5"/>
  <c r="N27" i="5"/>
  <c r="Y27" i="5"/>
  <c r="AM27" i="5"/>
  <c r="BA27" i="5"/>
  <c r="BL27" i="5"/>
  <c r="BZ27" i="5"/>
  <c r="CK27" i="5"/>
  <c r="O27" i="5"/>
  <c r="AC27" i="5"/>
  <c r="AN27" i="5"/>
  <c r="BB27" i="5"/>
  <c r="BM27" i="5"/>
  <c r="CA27" i="5"/>
  <c r="CO27" i="5"/>
  <c r="P27" i="5"/>
  <c r="AD27" i="5"/>
  <c r="AO27" i="5"/>
  <c r="BC27" i="5"/>
  <c r="BQ27" i="5"/>
  <c r="CB27" i="5"/>
  <c r="CP27" i="5"/>
  <c r="Q27" i="5"/>
  <c r="AE27" i="5"/>
  <c r="AS27" i="5"/>
  <c r="BD27" i="5"/>
  <c r="BR27" i="5"/>
  <c r="CC27" i="5"/>
  <c r="CQ27" i="5"/>
  <c r="G27" i="5"/>
  <c r="U27" i="5"/>
  <c r="AF27" i="5"/>
  <c r="AT27" i="5"/>
  <c r="BE27" i="5"/>
  <c r="BS27" i="5"/>
  <c r="CG27" i="5"/>
  <c r="H27" i="5"/>
  <c r="V27" i="5"/>
  <c r="AG27" i="5"/>
  <c r="AU27" i="5"/>
  <c r="BI27" i="5"/>
  <c r="BT27" i="5"/>
  <c r="CH27" i="5"/>
  <c r="K35" i="5"/>
  <c r="S35" i="5"/>
  <c r="AA35" i="5"/>
  <c r="AI35" i="5"/>
  <c r="AQ35" i="5"/>
  <c r="AY35" i="5"/>
  <c r="BG35" i="5"/>
  <c r="BO35" i="5"/>
  <c r="BW35" i="5"/>
  <c r="CE35" i="5"/>
  <c r="CM35" i="5"/>
  <c r="L35" i="5"/>
  <c r="T35" i="5"/>
  <c r="AB35" i="5"/>
  <c r="AJ35" i="5"/>
  <c r="AR35" i="5"/>
  <c r="AZ35" i="5"/>
  <c r="BH35" i="5"/>
  <c r="BP35" i="5"/>
  <c r="BX35" i="5"/>
  <c r="CF35" i="5"/>
  <c r="CN35" i="5"/>
  <c r="H35" i="5"/>
  <c r="R35" i="5"/>
  <c r="AD35" i="5"/>
  <c r="AN35" i="5"/>
  <c r="AX35" i="5"/>
  <c r="BJ35" i="5"/>
  <c r="BT35" i="5"/>
  <c r="CD35" i="5"/>
  <c r="CP35" i="5"/>
  <c r="I35" i="5"/>
  <c r="U35" i="5"/>
  <c r="AE35" i="5"/>
  <c r="AO35" i="5"/>
  <c r="BA35" i="5"/>
  <c r="BK35" i="5"/>
  <c r="BU35" i="5"/>
  <c r="CG35" i="5"/>
  <c r="CQ35" i="5"/>
  <c r="J35" i="5"/>
  <c r="V35" i="5"/>
  <c r="AF35" i="5"/>
  <c r="AP35" i="5"/>
  <c r="BB35" i="5"/>
  <c r="BL35" i="5"/>
  <c r="BV35" i="5"/>
  <c r="CH35" i="5"/>
  <c r="M35" i="5"/>
  <c r="W35" i="5"/>
  <c r="AG35" i="5"/>
  <c r="AS35" i="5"/>
  <c r="BC35" i="5"/>
  <c r="BM35" i="5"/>
  <c r="BY35" i="5"/>
  <c r="CI35" i="5"/>
  <c r="N35" i="5"/>
  <c r="X35" i="5"/>
  <c r="AH35" i="5"/>
  <c r="AT35" i="5"/>
  <c r="BD35" i="5"/>
  <c r="BN35" i="5"/>
  <c r="BZ35" i="5"/>
  <c r="CJ35" i="5"/>
  <c r="O35" i="5"/>
  <c r="Y35" i="5"/>
  <c r="AK35" i="5"/>
  <c r="AU35" i="5"/>
  <c r="BE35" i="5"/>
  <c r="BQ35" i="5"/>
  <c r="CA35" i="5"/>
  <c r="CK35" i="5"/>
  <c r="P35" i="5"/>
  <c r="Z35" i="5"/>
  <c r="AL35" i="5"/>
  <c r="AV35" i="5"/>
  <c r="BF35" i="5"/>
  <c r="BR35" i="5"/>
  <c r="CB35" i="5"/>
  <c r="CL35" i="5"/>
  <c r="G35" i="5"/>
  <c r="Q35" i="5"/>
  <c r="AC35" i="5"/>
  <c r="AM35" i="5"/>
  <c r="AW35" i="5"/>
  <c r="BI35" i="5"/>
  <c r="BS35" i="5"/>
  <c r="CC35" i="5"/>
  <c r="CO35" i="5"/>
  <c r="H43" i="5"/>
  <c r="P43" i="5"/>
  <c r="X43" i="5"/>
  <c r="AF43" i="5"/>
  <c r="AN43" i="5"/>
  <c r="AV43" i="5"/>
  <c r="BD43" i="5"/>
  <c r="BL43" i="5"/>
  <c r="BT43" i="5"/>
  <c r="CB43" i="5"/>
  <c r="CJ43" i="5"/>
  <c r="I43" i="5"/>
  <c r="Q43" i="5"/>
  <c r="Y43" i="5"/>
  <c r="AG43" i="5"/>
  <c r="AO43" i="5"/>
  <c r="AW43" i="5"/>
  <c r="BE43" i="5"/>
  <c r="BM43" i="5"/>
  <c r="BU43" i="5"/>
  <c r="CC43" i="5"/>
  <c r="CK43" i="5"/>
  <c r="J43" i="5"/>
  <c r="R43" i="5"/>
  <c r="Z43" i="5"/>
  <c r="AH43" i="5"/>
  <c r="AP43" i="5"/>
  <c r="AX43" i="5"/>
  <c r="BF43" i="5"/>
  <c r="BN43" i="5"/>
  <c r="BV43" i="5"/>
  <c r="CD43" i="5"/>
  <c r="CL43" i="5"/>
  <c r="M43" i="5"/>
  <c r="AA43" i="5"/>
  <c r="AL43" i="5"/>
  <c r="AZ43" i="5"/>
  <c r="BK43" i="5"/>
  <c r="BY43" i="5"/>
  <c r="CM43" i="5"/>
  <c r="N43" i="5"/>
  <c r="AB43" i="5"/>
  <c r="AM43" i="5"/>
  <c r="BA43" i="5"/>
  <c r="BO43" i="5"/>
  <c r="BZ43" i="5"/>
  <c r="CN43" i="5"/>
  <c r="O43" i="5"/>
  <c r="AC43" i="5"/>
  <c r="AQ43" i="5"/>
  <c r="BB43" i="5"/>
  <c r="BP43" i="5"/>
  <c r="CA43" i="5"/>
  <c r="CO43" i="5"/>
  <c r="S43" i="5"/>
  <c r="AD43" i="5"/>
  <c r="AR43" i="5"/>
  <c r="BC43" i="5"/>
  <c r="BQ43" i="5"/>
  <c r="CE43" i="5"/>
  <c r="CP43" i="5"/>
  <c r="T43" i="5"/>
  <c r="AE43" i="5"/>
  <c r="AS43" i="5"/>
  <c r="BG43" i="5"/>
  <c r="BR43" i="5"/>
  <c r="CF43" i="5"/>
  <c r="CQ43" i="5"/>
  <c r="G43" i="5"/>
  <c r="U43" i="5"/>
  <c r="AI43" i="5"/>
  <c r="AT43" i="5"/>
  <c r="BH43" i="5"/>
  <c r="BS43" i="5"/>
  <c r="CG43" i="5"/>
  <c r="K43" i="5"/>
  <c r="V43" i="5"/>
  <c r="AJ43" i="5"/>
  <c r="AU43" i="5"/>
  <c r="BI43" i="5"/>
  <c r="BW43" i="5"/>
  <c r="CH43" i="5"/>
  <c r="L43" i="5"/>
  <c r="W43" i="5"/>
  <c r="AK43" i="5"/>
  <c r="AY43" i="5"/>
  <c r="BJ43" i="5"/>
  <c r="BX43" i="5"/>
  <c r="CI43" i="5"/>
  <c r="M51" i="5"/>
  <c r="U51" i="5"/>
  <c r="AC51" i="5"/>
  <c r="AK51" i="5"/>
  <c r="AS51" i="5"/>
  <c r="BA51" i="5"/>
  <c r="BI51" i="5"/>
  <c r="N51" i="5"/>
  <c r="V51" i="5"/>
  <c r="AD51" i="5"/>
  <c r="AL51" i="5"/>
  <c r="AT51" i="5"/>
  <c r="BB51" i="5"/>
  <c r="BJ51" i="5"/>
  <c r="BR51" i="5"/>
  <c r="BZ51" i="5"/>
  <c r="CH51" i="5"/>
  <c r="CP51" i="5"/>
  <c r="J51" i="5"/>
  <c r="T51" i="5"/>
  <c r="AF51" i="5"/>
  <c r="AP51" i="5"/>
  <c r="AZ51" i="5"/>
  <c r="BL51" i="5"/>
  <c r="BU51" i="5"/>
  <c r="CD51" i="5"/>
  <c r="CM51" i="5"/>
  <c r="K51" i="5"/>
  <c r="W51" i="5"/>
  <c r="AG51" i="5"/>
  <c r="AQ51" i="5"/>
  <c r="BC51" i="5"/>
  <c r="BM51" i="5"/>
  <c r="BV51" i="5"/>
  <c r="CE51" i="5"/>
  <c r="CN51" i="5"/>
  <c r="L51" i="5"/>
  <c r="X51" i="5"/>
  <c r="AH51" i="5"/>
  <c r="AR51" i="5"/>
  <c r="BD51" i="5"/>
  <c r="BN51" i="5"/>
  <c r="BW51" i="5"/>
  <c r="CF51" i="5"/>
  <c r="CO51" i="5"/>
  <c r="O51" i="5"/>
  <c r="Y51" i="5"/>
  <c r="AI51" i="5"/>
  <c r="AU51" i="5"/>
  <c r="BE51" i="5"/>
  <c r="BO51" i="5"/>
  <c r="BX51" i="5"/>
  <c r="CG51" i="5"/>
  <c r="CQ51" i="5"/>
  <c r="P51" i="5"/>
  <c r="Z51" i="5"/>
  <c r="AJ51" i="5"/>
  <c r="AV51" i="5"/>
  <c r="BF51" i="5"/>
  <c r="BP51" i="5"/>
  <c r="BY51" i="5"/>
  <c r="CI51" i="5"/>
  <c r="G51" i="5"/>
  <c r="Q51" i="5"/>
  <c r="AA51" i="5"/>
  <c r="AM51" i="5"/>
  <c r="AW51" i="5"/>
  <c r="BG51" i="5"/>
  <c r="BQ51" i="5"/>
  <c r="CA51" i="5"/>
  <c r="CJ51" i="5"/>
  <c r="H51" i="5"/>
  <c r="R51" i="5"/>
  <c r="AB51" i="5"/>
  <c r="AN51" i="5"/>
  <c r="AX51" i="5"/>
  <c r="BH51" i="5"/>
  <c r="BS51" i="5"/>
  <c r="CB51" i="5"/>
  <c r="CK51" i="5"/>
  <c r="I51" i="5"/>
  <c r="CL51" i="5"/>
  <c r="S51" i="5"/>
  <c r="AE51" i="5"/>
  <c r="AO51" i="5"/>
  <c r="AY51" i="5"/>
  <c r="BK51" i="5"/>
  <c r="BT51" i="5"/>
  <c r="CC51" i="5"/>
  <c r="G59" i="5"/>
  <c r="O59" i="5"/>
  <c r="W59" i="5"/>
  <c r="AE59" i="5"/>
  <c r="AM59" i="5"/>
  <c r="AU59" i="5"/>
  <c r="BC59" i="5"/>
  <c r="BK59" i="5"/>
  <c r="BS59" i="5"/>
  <c r="CA59" i="5"/>
  <c r="CI59" i="5"/>
  <c r="CQ59" i="5"/>
  <c r="H59" i="5"/>
  <c r="P59" i="5"/>
  <c r="X59" i="5"/>
  <c r="AF59" i="5"/>
  <c r="AN59" i="5"/>
  <c r="AV59" i="5"/>
  <c r="BD59" i="5"/>
  <c r="BL59" i="5"/>
  <c r="BT59" i="5"/>
  <c r="CB59" i="5"/>
  <c r="CJ59" i="5"/>
  <c r="I59" i="5"/>
  <c r="Q59" i="5"/>
  <c r="Y59" i="5"/>
  <c r="AG59" i="5"/>
  <c r="AO59" i="5"/>
  <c r="AW59" i="5"/>
  <c r="BE59" i="5"/>
  <c r="BM59" i="5"/>
  <c r="BU59" i="5"/>
  <c r="CC59" i="5"/>
  <c r="CK59" i="5"/>
  <c r="R59" i="5"/>
  <c r="AC59" i="5"/>
  <c r="AQ59" i="5"/>
  <c r="BB59" i="5"/>
  <c r="BP59" i="5"/>
  <c r="CD59" i="5"/>
  <c r="CO59" i="5"/>
  <c r="S59" i="5"/>
  <c r="AD59" i="5"/>
  <c r="AR59" i="5"/>
  <c r="BF59" i="5"/>
  <c r="BQ59" i="5"/>
  <c r="CE59" i="5"/>
  <c r="CP59" i="5"/>
  <c r="T59" i="5"/>
  <c r="AH59" i="5"/>
  <c r="AS59" i="5"/>
  <c r="BG59" i="5"/>
  <c r="BR59" i="5"/>
  <c r="CF59" i="5"/>
  <c r="J59" i="5"/>
  <c r="U59" i="5"/>
  <c r="AI59" i="5"/>
  <c r="AT59" i="5"/>
  <c r="BH59" i="5"/>
  <c r="BV59" i="5"/>
  <c r="CG59" i="5"/>
  <c r="K59" i="5"/>
  <c r="V59" i="5"/>
  <c r="AJ59" i="5"/>
  <c r="AX59" i="5"/>
  <c r="BI59" i="5"/>
  <c r="BW59" i="5"/>
  <c r="CH59" i="5"/>
  <c r="L59" i="5"/>
  <c r="Z59" i="5"/>
  <c r="AK59" i="5"/>
  <c r="AY59" i="5"/>
  <c r="BJ59" i="5"/>
  <c r="BX59" i="5"/>
  <c r="CL59" i="5"/>
  <c r="M59" i="5"/>
  <c r="AA59" i="5"/>
  <c r="AL59" i="5"/>
  <c r="AZ59" i="5"/>
  <c r="BN59" i="5"/>
  <c r="BY59" i="5"/>
  <c r="CM59" i="5"/>
  <c r="N59" i="5"/>
  <c r="AB59" i="5"/>
  <c r="AP59" i="5"/>
  <c r="BA59" i="5"/>
  <c r="BO59" i="5"/>
  <c r="BZ59" i="5"/>
  <c r="CN59" i="5"/>
  <c r="J80" i="5"/>
  <c r="R80" i="5"/>
  <c r="Z80" i="5"/>
  <c r="AH80" i="5"/>
  <c r="AP80" i="5"/>
  <c r="AX80" i="5"/>
  <c r="BF80" i="5"/>
  <c r="BN80" i="5"/>
  <c r="BV80" i="5"/>
  <c r="CD80" i="5"/>
  <c r="CL80" i="5"/>
  <c r="K80" i="5"/>
  <c r="S80" i="5"/>
  <c r="AA80" i="5"/>
  <c r="AI80" i="5"/>
  <c r="AQ80" i="5"/>
  <c r="AY80" i="5"/>
  <c r="BG80" i="5"/>
  <c r="BO80" i="5"/>
  <c r="BW80" i="5"/>
  <c r="CE80" i="5"/>
  <c r="CM80" i="5"/>
  <c r="L80" i="5"/>
  <c r="T80" i="5"/>
  <c r="AB80" i="5"/>
  <c r="AJ80" i="5"/>
  <c r="AR80" i="5"/>
  <c r="AZ80" i="5"/>
  <c r="BH80" i="5"/>
  <c r="BP80" i="5"/>
  <c r="BX80" i="5"/>
  <c r="CF80" i="5"/>
  <c r="CN80" i="5"/>
  <c r="M80" i="5"/>
  <c r="U80" i="5"/>
  <c r="AC80" i="5"/>
  <c r="AK80" i="5"/>
  <c r="AS80" i="5"/>
  <c r="BA80" i="5"/>
  <c r="BI80" i="5"/>
  <c r="BQ80" i="5"/>
  <c r="BY80" i="5"/>
  <c r="CG80" i="5"/>
  <c r="CO80" i="5"/>
  <c r="N80" i="5"/>
  <c r="V80" i="5"/>
  <c r="AD80" i="5"/>
  <c r="AL80" i="5"/>
  <c r="AT80" i="5"/>
  <c r="BB80" i="5"/>
  <c r="BJ80" i="5"/>
  <c r="BR80" i="5"/>
  <c r="BZ80" i="5"/>
  <c r="CH80" i="5"/>
  <c r="CP80" i="5"/>
  <c r="G80" i="5"/>
  <c r="O80" i="5"/>
  <c r="W80" i="5"/>
  <c r="AE80" i="5"/>
  <c r="AM80" i="5"/>
  <c r="AU80" i="5"/>
  <c r="BC80" i="5"/>
  <c r="BK80" i="5"/>
  <c r="BS80" i="5"/>
  <c r="CA80" i="5"/>
  <c r="CI80" i="5"/>
  <c r="CQ80" i="5"/>
  <c r="H80" i="5"/>
  <c r="P80" i="5"/>
  <c r="X80" i="5"/>
  <c r="AF80" i="5"/>
  <c r="AN80" i="5"/>
  <c r="AV80" i="5"/>
  <c r="BD80" i="5"/>
  <c r="BL80" i="5"/>
  <c r="BT80" i="5"/>
  <c r="CB80" i="5"/>
  <c r="CJ80" i="5"/>
  <c r="I80" i="5"/>
  <c r="Q80" i="5"/>
  <c r="Y80" i="5"/>
  <c r="AG80" i="5"/>
  <c r="AO80" i="5"/>
  <c r="AW80" i="5"/>
  <c r="BE80" i="5"/>
  <c r="BM80" i="5"/>
  <c r="BU80" i="5"/>
  <c r="CC80" i="5"/>
  <c r="CK80" i="5"/>
  <c r="H10" i="5"/>
  <c r="P10" i="5"/>
  <c r="X10" i="5"/>
  <c r="AF10" i="5"/>
  <c r="AN10" i="5"/>
  <c r="AV10" i="5"/>
  <c r="BD10" i="5"/>
  <c r="BL10" i="5"/>
  <c r="BT10" i="5"/>
  <c r="CB10" i="5"/>
  <c r="CJ10" i="5"/>
  <c r="I10" i="5"/>
  <c r="Q10" i="5"/>
  <c r="Y10" i="5"/>
  <c r="AG10" i="5"/>
  <c r="AO10" i="5"/>
  <c r="AW10" i="5"/>
  <c r="BE10" i="5"/>
  <c r="BM10" i="5"/>
  <c r="BU10" i="5"/>
  <c r="CC10" i="5"/>
  <c r="CK10" i="5"/>
  <c r="J10" i="5"/>
  <c r="R10" i="5"/>
  <c r="Z10" i="5"/>
  <c r="AH10" i="5"/>
  <c r="AP10" i="5"/>
  <c r="AX10" i="5"/>
  <c r="BF10" i="5"/>
  <c r="BN10" i="5"/>
  <c r="BV10" i="5"/>
  <c r="CD10" i="5"/>
  <c r="CL10" i="5"/>
  <c r="G10" i="5"/>
  <c r="U10" i="5"/>
  <c r="AI10" i="5"/>
  <c r="AT10" i="5"/>
  <c r="BH10" i="5"/>
  <c r="BS10" i="5"/>
  <c r="CG10" i="5"/>
  <c r="K10" i="5"/>
  <c r="V10" i="5"/>
  <c r="AJ10" i="5"/>
  <c r="AU10" i="5"/>
  <c r="BI10" i="5"/>
  <c r="BW10" i="5"/>
  <c r="CH10" i="5"/>
  <c r="L10" i="5"/>
  <c r="W10" i="5"/>
  <c r="AK10" i="5"/>
  <c r="AY10" i="5"/>
  <c r="BJ10" i="5"/>
  <c r="BX10" i="5"/>
  <c r="CI10" i="5"/>
  <c r="M10" i="5"/>
  <c r="AA10" i="5"/>
  <c r="AL10" i="5"/>
  <c r="AZ10" i="5"/>
  <c r="BK10" i="5"/>
  <c r="BY10" i="5"/>
  <c r="CM10" i="5"/>
  <c r="N10" i="5"/>
  <c r="AB10" i="5"/>
  <c r="AM10" i="5"/>
  <c r="BA10" i="5"/>
  <c r="BO10" i="5"/>
  <c r="BZ10" i="5"/>
  <c r="CN10" i="5"/>
  <c r="O10" i="5"/>
  <c r="AC10" i="5"/>
  <c r="AQ10" i="5"/>
  <c r="BB10" i="5"/>
  <c r="BP10" i="5"/>
  <c r="CA10" i="5"/>
  <c r="CO10" i="5"/>
  <c r="S10" i="5"/>
  <c r="AD10" i="5"/>
  <c r="AR10" i="5"/>
  <c r="BC10" i="5"/>
  <c r="BQ10" i="5"/>
  <c r="CE10" i="5"/>
  <c r="CP10" i="5"/>
  <c r="T10" i="5"/>
  <c r="AE10" i="5"/>
  <c r="AS10" i="5"/>
  <c r="BG10" i="5"/>
  <c r="BR10" i="5"/>
  <c r="CF10" i="5"/>
  <c r="CQ10" i="5"/>
  <c r="K18" i="5"/>
  <c r="S18" i="5"/>
  <c r="AA18" i="5"/>
  <c r="AI18" i="5"/>
  <c r="AQ18" i="5"/>
  <c r="AY18" i="5"/>
  <c r="BG18" i="5"/>
  <c r="BO18" i="5"/>
  <c r="BW18" i="5"/>
  <c r="CE18" i="5"/>
  <c r="CM18" i="5"/>
  <c r="L18" i="5"/>
  <c r="T18" i="5"/>
  <c r="AB18" i="5"/>
  <c r="AJ18" i="5"/>
  <c r="AR18" i="5"/>
  <c r="AZ18" i="5"/>
  <c r="BH18" i="5"/>
  <c r="BP18" i="5"/>
  <c r="BX18" i="5"/>
  <c r="CF18" i="5"/>
  <c r="CN18" i="5"/>
  <c r="H18" i="5"/>
  <c r="P18" i="5"/>
  <c r="G18" i="5"/>
  <c r="U18" i="5"/>
  <c r="AE18" i="5"/>
  <c r="AO18" i="5"/>
  <c r="BA18" i="5"/>
  <c r="BK18" i="5"/>
  <c r="BU18" i="5"/>
  <c r="CG18" i="5"/>
  <c r="CQ18" i="5"/>
  <c r="I18" i="5"/>
  <c r="V18" i="5"/>
  <c r="AF18" i="5"/>
  <c r="AP18" i="5"/>
  <c r="BB18" i="5"/>
  <c r="BL18" i="5"/>
  <c r="BV18" i="5"/>
  <c r="CH18" i="5"/>
  <c r="J18" i="5"/>
  <c r="W18" i="5"/>
  <c r="AG18" i="5"/>
  <c r="AS18" i="5"/>
  <c r="BC18" i="5"/>
  <c r="BM18" i="5"/>
  <c r="BY18" i="5"/>
  <c r="CI18" i="5"/>
  <c r="M18" i="5"/>
  <c r="X18" i="5"/>
  <c r="AH18" i="5"/>
  <c r="AT18" i="5"/>
  <c r="BD18" i="5"/>
  <c r="BN18" i="5"/>
  <c r="BZ18" i="5"/>
  <c r="CJ18" i="5"/>
  <c r="N18" i="5"/>
  <c r="Y18" i="5"/>
  <c r="AK18" i="5"/>
  <c r="AU18" i="5"/>
  <c r="BE18" i="5"/>
  <c r="BQ18" i="5"/>
  <c r="CA18" i="5"/>
  <c r="CK18" i="5"/>
  <c r="O18" i="5"/>
  <c r="Z18" i="5"/>
  <c r="AL18" i="5"/>
  <c r="AV18" i="5"/>
  <c r="BF18" i="5"/>
  <c r="BR18" i="5"/>
  <c r="CB18" i="5"/>
  <c r="CL18" i="5"/>
  <c r="Q18" i="5"/>
  <c r="AC18" i="5"/>
  <c r="AM18" i="5"/>
  <c r="AW18" i="5"/>
  <c r="BI18" i="5"/>
  <c r="BS18" i="5"/>
  <c r="CC18" i="5"/>
  <c r="CO18" i="5"/>
  <c r="R18" i="5"/>
  <c r="AD18" i="5"/>
  <c r="AN18" i="5"/>
  <c r="AX18" i="5"/>
  <c r="BJ18" i="5"/>
  <c r="BT18" i="5"/>
  <c r="CD18" i="5"/>
  <c r="CP18" i="5"/>
  <c r="K26" i="5"/>
  <c r="S26" i="5"/>
  <c r="AA26" i="5"/>
  <c r="AI26" i="5"/>
  <c r="AQ26" i="5"/>
  <c r="AY26" i="5"/>
  <c r="BG26" i="5"/>
  <c r="BO26" i="5"/>
  <c r="BW26" i="5"/>
  <c r="CE26" i="5"/>
  <c r="CM26" i="5"/>
  <c r="L26" i="5"/>
  <c r="T26" i="5"/>
  <c r="AB26" i="5"/>
  <c r="AJ26" i="5"/>
  <c r="AR26" i="5"/>
  <c r="AZ26" i="5"/>
  <c r="BH26" i="5"/>
  <c r="BP26" i="5"/>
  <c r="BX26" i="5"/>
  <c r="CF26" i="5"/>
  <c r="CN26" i="5"/>
  <c r="M26" i="5"/>
  <c r="U26" i="5"/>
  <c r="AC26" i="5"/>
  <c r="AK26" i="5"/>
  <c r="AS26" i="5"/>
  <c r="BA26" i="5"/>
  <c r="BI26" i="5"/>
  <c r="BQ26" i="5"/>
  <c r="BY26" i="5"/>
  <c r="CG26" i="5"/>
  <c r="CO26" i="5"/>
  <c r="I26" i="5"/>
  <c r="W26" i="5"/>
  <c r="AH26" i="5"/>
  <c r="AV26" i="5"/>
  <c r="BJ26" i="5"/>
  <c r="BU26" i="5"/>
  <c r="CI26" i="5"/>
  <c r="J26" i="5"/>
  <c r="X26" i="5"/>
  <c r="AL26" i="5"/>
  <c r="AW26" i="5"/>
  <c r="BK26" i="5"/>
  <c r="BV26" i="5"/>
  <c r="CJ26" i="5"/>
  <c r="N26" i="5"/>
  <c r="Y26" i="5"/>
  <c r="AM26" i="5"/>
  <c r="AX26" i="5"/>
  <c r="BL26" i="5"/>
  <c r="BZ26" i="5"/>
  <c r="CK26" i="5"/>
  <c r="O26" i="5"/>
  <c r="Z26" i="5"/>
  <c r="AN26" i="5"/>
  <c r="BB26" i="5"/>
  <c r="BM26" i="5"/>
  <c r="CA26" i="5"/>
  <c r="CL26" i="5"/>
  <c r="P26" i="5"/>
  <c r="AD26" i="5"/>
  <c r="AO26" i="5"/>
  <c r="BC26" i="5"/>
  <c r="BN26" i="5"/>
  <c r="CB26" i="5"/>
  <c r="CP26" i="5"/>
  <c r="Q26" i="5"/>
  <c r="AE26" i="5"/>
  <c r="AP26" i="5"/>
  <c r="BD26" i="5"/>
  <c r="BR26" i="5"/>
  <c r="CC26" i="5"/>
  <c r="CQ26" i="5"/>
  <c r="G26" i="5"/>
  <c r="R26" i="5"/>
  <c r="AF26" i="5"/>
  <c r="AT26" i="5"/>
  <c r="BE26" i="5"/>
  <c r="BS26" i="5"/>
  <c r="CD26" i="5"/>
  <c r="H26" i="5"/>
  <c r="V26" i="5"/>
  <c r="AG26" i="5"/>
  <c r="AU26" i="5"/>
  <c r="BF26" i="5"/>
  <c r="BT26" i="5"/>
  <c r="CH26" i="5"/>
  <c r="K34" i="5"/>
  <c r="S34" i="5"/>
  <c r="AA34" i="5"/>
  <c r="AI34" i="5"/>
  <c r="AQ34" i="5"/>
  <c r="AY34" i="5"/>
  <c r="BG34" i="5"/>
  <c r="BO34" i="5"/>
  <c r="BW34" i="5"/>
  <c r="CE34" i="5"/>
  <c r="L34" i="5"/>
  <c r="T34" i="5"/>
  <c r="AB34" i="5"/>
  <c r="AJ34" i="5"/>
  <c r="AR34" i="5"/>
  <c r="AZ34" i="5"/>
  <c r="BH34" i="5"/>
  <c r="BP34" i="5"/>
  <c r="BX34" i="5"/>
  <c r="CF34" i="5"/>
  <c r="CN34" i="5"/>
  <c r="M34" i="5"/>
  <c r="U34" i="5"/>
  <c r="AC34" i="5"/>
  <c r="AK34" i="5"/>
  <c r="AS34" i="5"/>
  <c r="BA34" i="5"/>
  <c r="BI34" i="5"/>
  <c r="BQ34" i="5"/>
  <c r="BY34" i="5"/>
  <c r="CG34" i="5"/>
  <c r="CO34" i="5"/>
  <c r="I34" i="5"/>
  <c r="W34" i="5"/>
  <c r="AH34" i="5"/>
  <c r="AV34" i="5"/>
  <c r="BJ34" i="5"/>
  <c r="BU34" i="5"/>
  <c r="CI34" i="5"/>
  <c r="J34" i="5"/>
  <c r="X34" i="5"/>
  <c r="AL34" i="5"/>
  <c r="AW34" i="5"/>
  <c r="BK34" i="5"/>
  <c r="BV34" i="5"/>
  <c r="CJ34" i="5"/>
  <c r="N34" i="5"/>
  <c r="Y34" i="5"/>
  <c r="AM34" i="5"/>
  <c r="AX34" i="5"/>
  <c r="BL34" i="5"/>
  <c r="BZ34" i="5"/>
  <c r="CK34" i="5"/>
  <c r="O34" i="5"/>
  <c r="Z34" i="5"/>
  <c r="AN34" i="5"/>
  <c r="BB34" i="5"/>
  <c r="BM34" i="5"/>
  <c r="CA34" i="5"/>
  <c r="CL34" i="5"/>
  <c r="P34" i="5"/>
  <c r="AD34" i="5"/>
  <c r="AO34" i="5"/>
  <c r="BC34" i="5"/>
  <c r="BN34" i="5"/>
  <c r="CB34" i="5"/>
  <c r="CM34" i="5"/>
  <c r="Q34" i="5"/>
  <c r="AE34" i="5"/>
  <c r="AP34" i="5"/>
  <c r="BD34" i="5"/>
  <c r="BR34" i="5"/>
  <c r="CC34" i="5"/>
  <c r="CP34" i="5"/>
  <c r="G34" i="5"/>
  <c r="R34" i="5"/>
  <c r="AF34" i="5"/>
  <c r="AT34" i="5"/>
  <c r="BE34" i="5"/>
  <c r="BS34" i="5"/>
  <c r="CD34" i="5"/>
  <c r="CQ34" i="5"/>
  <c r="H34" i="5"/>
  <c r="V34" i="5"/>
  <c r="AG34" i="5"/>
  <c r="AU34" i="5"/>
  <c r="BF34" i="5"/>
  <c r="BT34" i="5"/>
  <c r="CH34" i="5"/>
  <c r="N31" i="5"/>
  <c r="V31" i="5"/>
  <c r="AD31" i="5"/>
  <c r="AL31" i="5"/>
  <c r="AT31" i="5"/>
  <c r="BB31" i="5"/>
  <c r="BJ31" i="5"/>
  <c r="BR31" i="5"/>
  <c r="BZ31" i="5"/>
  <c r="CH31" i="5"/>
  <c r="CP31" i="5"/>
  <c r="G31" i="5"/>
  <c r="O31" i="5"/>
  <c r="W31" i="5"/>
  <c r="AE31" i="5"/>
  <c r="AM31" i="5"/>
  <c r="AU31" i="5"/>
  <c r="BC31" i="5"/>
  <c r="BK31" i="5"/>
  <c r="BS31" i="5"/>
  <c r="CA31" i="5"/>
  <c r="CI31" i="5"/>
  <c r="CQ31" i="5"/>
  <c r="H31" i="5"/>
  <c r="P31" i="5"/>
  <c r="X31" i="5"/>
  <c r="AF31" i="5"/>
  <c r="AN31" i="5"/>
  <c r="AV31" i="5"/>
  <c r="BD31" i="5"/>
  <c r="BL31" i="5"/>
  <c r="BT31" i="5"/>
  <c r="CB31" i="5"/>
  <c r="CJ31" i="5"/>
  <c r="I31" i="5"/>
  <c r="Q31" i="5"/>
  <c r="Y31" i="5"/>
  <c r="AG31" i="5"/>
  <c r="AO31" i="5"/>
  <c r="AW31" i="5"/>
  <c r="BE31" i="5"/>
  <c r="BM31" i="5"/>
  <c r="BU31" i="5"/>
  <c r="CC31" i="5"/>
  <c r="CK31" i="5"/>
  <c r="J31" i="5"/>
  <c r="R31" i="5"/>
  <c r="Z31" i="5"/>
  <c r="AH31" i="5"/>
  <c r="K31" i="5"/>
  <c r="S31" i="5"/>
  <c r="AA31" i="5"/>
  <c r="AI31" i="5"/>
  <c r="AQ31" i="5"/>
  <c r="AY31" i="5"/>
  <c r="BG31" i="5"/>
  <c r="BO31" i="5"/>
  <c r="BW31" i="5"/>
  <c r="CE31" i="5"/>
  <c r="CM31" i="5"/>
  <c r="L31" i="5"/>
  <c r="T31" i="5"/>
  <c r="AB31" i="5"/>
  <c r="AJ31" i="5"/>
  <c r="AR31" i="5"/>
  <c r="AZ31" i="5"/>
  <c r="BH31" i="5"/>
  <c r="BP31" i="5"/>
  <c r="BX31" i="5"/>
  <c r="CF31" i="5"/>
  <c r="CN31" i="5"/>
  <c r="M31" i="5"/>
  <c r="U31" i="5"/>
  <c r="AC31" i="5"/>
  <c r="AK31" i="5"/>
  <c r="AS31" i="5"/>
  <c r="BA31" i="5"/>
  <c r="BI31" i="5"/>
  <c r="AP31" i="5"/>
  <c r="CG31" i="5"/>
  <c r="AX31" i="5"/>
  <c r="CL31" i="5"/>
  <c r="BF31" i="5"/>
  <c r="CO31" i="5"/>
  <c r="BN31" i="5"/>
  <c r="BQ31" i="5"/>
  <c r="BV31" i="5"/>
  <c r="BY31" i="5"/>
  <c r="CD31" i="5"/>
  <c r="K55" i="5"/>
  <c r="S55" i="5"/>
  <c r="AA55" i="5"/>
  <c r="AI55" i="5"/>
  <c r="AQ55" i="5"/>
  <c r="AY55" i="5"/>
  <c r="BG55" i="5"/>
  <c r="BO55" i="5"/>
  <c r="BW55" i="5"/>
  <c r="CE55" i="5"/>
  <c r="CM55" i="5"/>
  <c r="L55" i="5"/>
  <c r="T55" i="5"/>
  <c r="AB55" i="5"/>
  <c r="AJ55" i="5"/>
  <c r="AR55" i="5"/>
  <c r="AZ55" i="5"/>
  <c r="BH55" i="5"/>
  <c r="BP55" i="5"/>
  <c r="BX55" i="5"/>
  <c r="CF55" i="5"/>
  <c r="CN55" i="5"/>
  <c r="M55" i="5"/>
  <c r="U55" i="5"/>
  <c r="AC55" i="5"/>
  <c r="AK55" i="5"/>
  <c r="AS55" i="5"/>
  <c r="BA55" i="5"/>
  <c r="BI55" i="5"/>
  <c r="BQ55" i="5"/>
  <c r="BY55" i="5"/>
  <c r="CG55" i="5"/>
  <c r="CO55" i="5"/>
  <c r="N55" i="5"/>
  <c r="V55" i="5"/>
  <c r="AD55" i="5"/>
  <c r="AL55" i="5"/>
  <c r="AT55" i="5"/>
  <c r="BB55" i="5"/>
  <c r="BJ55" i="5"/>
  <c r="BR55" i="5"/>
  <c r="BZ55" i="5"/>
  <c r="CH55" i="5"/>
  <c r="CP55" i="5"/>
  <c r="G55" i="5"/>
  <c r="O55" i="5"/>
  <c r="W55" i="5"/>
  <c r="AE55" i="5"/>
  <c r="AM55" i="5"/>
  <c r="AU55" i="5"/>
  <c r="BC55" i="5"/>
  <c r="BK55" i="5"/>
  <c r="BS55" i="5"/>
  <c r="CA55" i="5"/>
  <c r="CI55" i="5"/>
  <c r="CQ55" i="5"/>
  <c r="H55" i="5"/>
  <c r="P55" i="5"/>
  <c r="X55" i="5"/>
  <c r="AF55" i="5"/>
  <c r="AN55" i="5"/>
  <c r="AV55" i="5"/>
  <c r="BD55" i="5"/>
  <c r="BL55" i="5"/>
  <c r="BT55" i="5"/>
  <c r="CB55" i="5"/>
  <c r="CJ55" i="5"/>
  <c r="I55" i="5"/>
  <c r="Q55" i="5"/>
  <c r="Y55" i="5"/>
  <c r="AG55" i="5"/>
  <c r="AO55" i="5"/>
  <c r="AW55" i="5"/>
  <c r="BE55" i="5"/>
  <c r="BM55" i="5"/>
  <c r="BU55" i="5"/>
  <c r="CC55" i="5"/>
  <c r="CK55" i="5"/>
  <c r="BN55" i="5"/>
  <c r="J55" i="5"/>
  <c r="BV55" i="5"/>
  <c r="R55" i="5"/>
  <c r="CD55" i="5"/>
  <c r="Z55" i="5"/>
  <c r="CL55" i="5"/>
  <c r="AH55" i="5"/>
  <c r="AP55" i="5"/>
  <c r="AX55" i="5"/>
  <c r="BF55" i="5"/>
  <c r="L63" i="5"/>
  <c r="T63" i="5"/>
  <c r="AB63" i="5"/>
  <c r="M63" i="5"/>
  <c r="U63" i="5"/>
  <c r="P63" i="5"/>
  <c r="Z63" i="5"/>
  <c r="AI63" i="5"/>
  <c r="AQ63" i="5"/>
  <c r="AY63" i="5"/>
  <c r="BG63" i="5"/>
  <c r="BO63" i="5"/>
  <c r="BW63" i="5"/>
  <c r="CE63" i="5"/>
  <c r="CM63" i="5"/>
  <c r="G63" i="5"/>
  <c r="Q63" i="5"/>
  <c r="AA63" i="5"/>
  <c r="AJ63" i="5"/>
  <c r="AR63" i="5"/>
  <c r="AZ63" i="5"/>
  <c r="BH63" i="5"/>
  <c r="BP63" i="5"/>
  <c r="BX63" i="5"/>
  <c r="CF63" i="5"/>
  <c r="CN63" i="5"/>
  <c r="H63" i="5"/>
  <c r="R63" i="5"/>
  <c r="AC63" i="5"/>
  <c r="AK63" i="5"/>
  <c r="AS63" i="5"/>
  <c r="BA63" i="5"/>
  <c r="BI63" i="5"/>
  <c r="BQ63" i="5"/>
  <c r="BY63" i="5"/>
  <c r="CG63" i="5"/>
  <c r="CO63" i="5"/>
  <c r="I63" i="5"/>
  <c r="S63" i="5"/>
  <c r="AD63" i="5"/>
  <c r="AL63" i="5"/>
  <c r="AT63" i="5"/>
  <c r="BB63" i="5"/>
  <c r="BJ63" i="5"/>
  <c r="BR63" i="5"/>
  <c r="BZ63" i="5"/>
  <c r="CH63" i="5"/>
  <c r="CP63" i="5"/>
  <c r="J63" i="5"/>
  <c r="V63" i="5"/>
  <c r="AE63" i="5"/>
  <c r="AM63" i="5"/>
  <c r="AU63" i="5"/>
  <c r="BC63" i="5"/>
  <c r="BK63" i="5"/>
  <c r="BS63" i="5"/>
  <c r="CA63" i="5"/>
  <c r="CI63" i="5"/>
  <c r="CQ63" i="5"/>
  <c r="K63" i="5"/>
  <c r="W63" i="5"/>
  <c r="AF63" i="5"/>
  <c r="AN63" i="5"/>
  <c r="AV63" i="5"/>
  <c r="BD63" i="5"/>
  <c r="BL63" i="5"/>
  <c r="BT63" i="5"/>
  <c r="CB63" i="5"/>
  <c r="CJ63" i="5"/>
  <c r="N63" i="5"/>
  <c r="X63" i="5"/>
  <c r="AG63" i="5"/>
  <c r="AO63" i="5"/>
  <c r="AW63" i="5"/>
  <c r="BE63" i="5"/>
  <c r="BM63" i="5"/>
  <c r="BU63" i="5"/>
  <c r="CC63" i="5"/>
  <c r="CK63" i="5"/>
  <c r="O63" i="5"/>
  <c r="Y63" i="5"/>
  <c r="AH63" i="5"/>
  <c r="AP63" i="5"/>
  <c r="AX63" i="5"/>
  <c r="BF63" i="5"/>
  <c r="BN63" i="5"/>
  <c r="BV63" i="5"/>
  <c r="CD63" i="5"/>
  <c r="CL63" i="5"/>
  <c r="L71" i="5"/>
  <c r="T71" i="5"/>
  <c r="AB71" i="5"/>
  <c r="AJ71" i="5"/>
  <c r="AR71" i="5"/>
  <c r="AZ71" i="5"/>
  <c r="BH71" i="5"/>
  <c r="BP71" i="5"/>
  <c r="BX71" i="5"/>
  <c r="CF71" i="5"/>
  <c r="CN71" i="5"/>
  <c r="M71" i="5"/>
  <c r="U71" i="5"/>
  <c r="AC71" i="5"/>
  <c r="AK71" i="5"/>
  <c r="AS71" i="5"/>
  <c r="BA71" i="5"/>
  <c r="BI71" i="5"/>
  <c r="BQ71" i="5"/>
  <c r="BY71" i="5"/>
  <c r="CG71" i="5"/>
  <c r="CO71" i="5"/>
  <c r="N71" i="5"/>
  <c r="V71" i="5"/>
  <c r="G71" i="5"/>
  <c r="H71" i="5"/>
  <c r="P71" i="5"/>
  <c r="I71" i="5"/>
  <c r="Q71" i="5"/>
  <c r="Y71" i="5"/>
  <c r="AG71" i="5"/>
  <c r="AO71" i="5"/>
  <c r="AW71" i="5"/>
  <c r="BE71" i="5"/>
  <c r="BM71" i="5"/>
  <c r="Z71" i="5"/>
  <c r="AM71" i="5"/>
  <c r="AY71" i="5"/>
  <c r="BL71" i="5"/>
  <c r="BW71" i="5"/>
  <c r="CI71" i="5"/>
  <c r="J71" i="5"/>
  <c r="AA71" i="5"/>
  <c r="AN71" i="5"/>
  <c r="BB71" i="5"/>
  <c r="BN71" i="5"/>
  <c r="BZ71" i="5"/>
  <c r="CJ71" i="5"/>
  <c r="K71" i="5"/>
  <c r="AD71" i="5"/>
  <c r="AP71" i="5"/>
  <c r="BC71" i="5"/>
  <c r="BO71" i="5"/>
  <c r="CA71" i="5"/>
  <c r="CK71" i="5"/>
  <c r="O71" i="5"/>
  <c r="AE71" i="5"/>
  <c r="AQ71" i="5"/>
  <c r="BD71" i="5"/>
  <c r="BR71" i="5"/>
  <c r="CB71" i="5"/>
  <c r="CL71" i="5"/>
  <c r="R71" i="5"/>
  <c r="AF71" i="5"/>
  <c r="AT71" i="5"/>
  <c r="BF71" i="5"/>
  <c r="BS71" i="5"/>
  <c r="CC71" i="5"/>
  <c r="CM71" i="5"/>
  <c r="S71" i="5"/>
  <c r="AH71" i="5"/>
  <c r="AU71" i="5"/>
  <c r="BG71" i="5"/>
  <c r="BT71" i="5"/>
  <c r="CD71" i="5"/>
  <c r="CP71" i="5"/>
  <c r="W71" i="5"/>
  <c r="AI71" i="5"/>
  <c r="AV71" i="5"/>
  <c r="BJ71" i="5"/>
  <c r="BU71" i="5"/>
  <c r="CE71" i="5"/>
  <c r="CQ71" i="5"/>
  <c r="X71" i="5"/>
  <c r="AL71" i="5"/>
  <c r="AX71" i="5"/>
  <c r="BK71" i="5"/>
  <c r="BV71" i="5"/>
  <c r="CH71" i="5"/>
  <c r="K79" i="5"/>
  <c r="S79" i="5"/>
  <c r="AA79" i="5"/>
  <c r="AI79" i="5"/>
  <c r="AQ79" i="5"/>
  <c r="AY79" i="5"/>
  <c r="BG79" i="5"/>
  <c r="BO79" i="5"/>
  <c r="BW79" i="5"/>
  <c r="CE79" i="5"/>
  <c r="CM79" i="5"/>
  <c r="L79" i="5"/>
  <c r="T79" i="5"/>
  <c r="AB79" i="5"/>
  <c r="AJ79" i="5"/>
  <c r="AR79" i="5"/>
  <c r="AZ79" i="5"/>
  <c r="BH79" i="5"/>
  <c r="BP79" i="5"/>
  <c r="BX79" i="5"/>
  <c r="CF79" i="5"/>
  <c r="CN79" i="5"/>
  <c r="M79" i="5"/>
  <c r="U79" i="5"/>
  <c r="AC79" i="5"/>
  <c r="AK79" i="5"/>
  <c r="AS79" i="5"/>
  <c r="BA79" i="5"/>
  <c r="BI79" i="5"/>
  <c r="BQ79" i="5"/>
  <c r="BY79" i="5"/>
  <c r="CG79" i="5"/>
  <c r="CO79" i="5"/>
  <c r="N79" i="5"/>
  <c r="V79" i="5"/>
  <c r="AD79" i="5"/>
  <c r="AL79" i="5"/>
  <c r="AT79" i="5"/>
  <c r="BB79" i="5"/>
  <c r="BJ79" i="5"/>
  <c r="BR79" i="5"/>
  <c r="BZ79" i="5"/>
  <c r="CH79" i="5"/>
  <c r="CP79" i="5"/>
  <c r="G79" i="5"/>
  <c r="O79" i="5"/>
  <c r="W79" i="5"/>
  <c r="AE79" i="5"/>
  <c r="AM79" i="5"/>
  <c r="AU79" i="5"/>
  <c r="BC79" i="5"/>
  <c r="BK79" i="5"/>
  <c r="BS79" i="5"/>
  <c r="CA79" i="5"/>
  <c r="CI79" i="5"/>
  <c r="CQ79" i="5"/>
  <c r="H79" i="5"/>
  <c r="P79" i="5"/>
  <c r="X79" i="5"/>
  <c r="AF79" i="5"/>
  <c r="AN79" i="5"/>
  <c r="AV79" i="5"/>
  <c r="BD79" i="5"/>
  <c r="BL79" i="5"/>
  <c r="BT79" i="5"/>
  <c r="CB79" i="5"/>
  <c r="CJ79" i="5"/>
  <c r="I79" i="5"/>
  <c r="Q79" i="5"/>
  <c r="Y79" i="5"/>
  <c r="AG79" i="5"/>
  <c r="AO79" i="5"/>
  <c r="AW79" i="5"/>
  <c r="BE79" i="5"/>
  <c r="BM79" i="5"/>
  <c r="BU79" i="5"/>
  <c r="CC79" i="5"/>
  <c r="CK79" i="5"/>
  <c r="J79" i="5"/>
  <c r="R79" i="5"/>
  <c r="Z79" i="5"/>
  <c r="AH79" i="5"/>
  <c r="AP79" i="5"/>
  <c r="AX79" i="5"/>
  <c r="BF79" i="5"/>
  <c r="BN79" i="5"/>
  <c r="BV79" i="5"/>
  <c r="CD79" i="5"/>
  <c r="CL79" i="5"/>
  <c r="M32" i="5"/>
  <c r="U32" i="5"/>
  <c r="AC32" i="5"/>
  <c r="AK32" i="5"/>
  <c r="AS32" i="5"/>
  <c r="BA32" i="5"/>
  <c r="BI32" i="5"/>
  <c r="BQ32" i="5"/>
  <c r="BY32" i="5"/>
  <c r="CG32" i="5"/>
  <c r="CO32" i="5"/>
  <c r="N32" i="5"/>
  <c r="V32" i="5"/>
  <c r="AD32" i="5"/>
  <c r="AL32" i="5"/>
  <c r="AT32" i="5"/>
  <c r="BB32" i="5"/>
  <c r="BJ32" i="5"/>
  <c r="BR32" i="5"/>
  <c r="BZ32" i="5"/>
  <c r="CH32" i="5"/>
  <c r="CP32" i="5"/>
  <c r="G32" i="5"/>
  <c r="O32" i="5"/>
  <c r="W32" i="5"/>
  <c r="AE32" i="5"/>
  <c r="AM32" i="5"/>
  <c r="AU32" i="5"/>
  <c r="BC32" i="5"/>
  <c r="BK32" i="5"/>
  <c r="BS32" i="5"/>
  <c r="CA32" i="5"/>
  <c r="CI32" i="5"/>
  <c r="CQ32" i="5"/>
  <c r="H32" i="5"/>
  <c r="P32" i="5"/>
  <c r="X32" i="5"/>
  <c r="AF32" i="5"/>
  <c r="AN32" i="5"/>
  <c r="AV32" i="5"/>
  <c r="BD32" i="5"/>
  <c r="BL32" i="5"/>
  <c r="BT32" i="5"/>
  <c r="CB32" i="5"/>
  <c r="CJ32" i="5"/>
  <c r="J32" i="5"/>
  <c r="R32" i="5"/>
  <c r="Z32" i="5"/>
  <c r="AH32" i="5"/>
  <c r="AP32" i="5"/>
  <c r="AX32" i="5"/>
  <c r="BF32" i="5"/>
  <c r="BN32" i="5"/>
  <c r="BV32" i="5"/>
  <c r="CD32" i="5"/>
  <c r="CL32" i="5"/>
  <c r="K32" i="5"/>
  <c r="S32" i="5"/>
  <c r="AA32" i="5"/>
  <c r="AI32" i="5"/>
  <c r="AQ32" i="5"/>
  <c r="AY32" i="5"/>
  <c r="BG32" i="5"/>
  <c r="BO32" i="5"/>
  <c r="BW32" i="5"/>
  <c r="CE32" i="5"/>
  <c r="AB32" i="5"/>
  <c r="BH32" i="5"/>
  <c r="CM32" i="5"/>
  <c r="AG32" i="5"/>
  <c r="BM32" i="5"/>
  <c r="CN32" i="5"/>
  <c r="AJ32" i="5"/>
  <c r="BP32" i="5"/>
  <c r="I32" i="5"/>
  <c r="AO32" i="5"/>
  <c r="BU32" i="5"/>
  <c r="L32" i="5"/>
  <c r="AR32" i="5"/>
  <c r="BX32" i="5"/>
  <c r="Q32" i="5"/>
  <c r="AW32" i="5"/>
  <c r="CC32" i="5"/>
  <c r="T32" i="5"/>
  <c r="AZ32" i="5"/>
  <c r="CF32" i="5"/>
  <c r="Y32" i="5"/>
  <c r="BE32" i="5"/>
  <c r="CK32" i="5"/>
  <c r="K40" i="5"/>
  <c r="S40" i="5"/>
  <c r="AA40" i="5"/>
  <c r="AI40" i="5"/>
  <c r="AQ40" i="5"/>
  <c r="AY40" i="5"/>
  <c r="BG40" i="5"/>
  <c r="BO40" i="5"/>
  <c r="BW40" i="5"/>
  <c r="CE40" i="5"/>
  <c r="CM40" i="5"/>
  <c r="L40" i="5"/>
  <c r="T40" i="5"/>
  <c r="AB40" i="5"/>
  <c r="AJ40" i="5"/>
  <c r="AR40" i="5"/>
  <c r="AZ40" i="5"/>
  <c r="BH40" i="5"/>
  <c r="BP40" i="5"/>
  <c r="BX40" i="5"/>
  <c r="CF40" i="5"/>
  <c r="CN40" i="5"/>
  <c r="M40" i="5"/>
  <c r="U40" i="5"/>
  <c r="AC40" i="5"/>
  <c r="AK40" i="5"/>
  <c r="AS40" i="5"/>
  <c r="BA40" i="5"/>
  <c r="BI40" i="5"/>
  <c r="BQ40" i="5"/>
  <c r="BY40" i="5"/>
  <c r="CG40" i="5"/>
  <c r="CO40" i="5"/>
  <c r="N40" i="5"/>
  <c r="V40" i="5"/>
  <c r="AD40" i="5"/>
  <c r="AL40" i="5"/>
  <c r="AT40" i="5"/>
  <c r="BB40" i="5"/>
  <c r="BJ40" i="5"/>
  <c r="G40" i="5"/>
  <c r="O40" i="5"/>
  <c r="W40" i="5"/>
  <c r="AE40" i="5"/>
  <c r="AM40" i="5"/>
  <c r="AU40" i="5"/>
  <c r="H40" i="5"/>
  <c r="P40" i="5"/>
  <c r="X40" i="5"/>
  <c r="AF40" i="5"/>
  <c r="AN40" i="5"/>
  <c r="AV40" i="5"/>
  <c r="BD40" i="5"/>
  <c r="BL40" i="5"/>
  <c r="BT40" i="5"/>
  <c r="CB40" i="5"/>
  <c r="CJ40" i="5"/>
  <c r="I40" i="5"/>
  <c r="Q40" i="5"/>
  <c r="Y40" i="5"/>
  <c r="AG40" i="5"/>
  <c r="AO40" i="5"/>
  <c r="AW40" i="5"/>
  <c r="BR40" i="5"/>
  <c r="CH40" i="5"/>
  <c r="AX40" i="5"/>
  <c r="BS40" i="5"/>
  <c r="CI40" i="5"/>
  <c r="BC40" i="5"/>
  <c r="BU40" i="5"/>
  <c r="CK40" i="5"/>
  <c r="J40" i="5"/>
  <c r="BE40" i="5"/>
  <c r="BV40" i="5"/>
  <c r="CL40" i="5"/>
  <c r="R40" i="5"/>
  <c r="BF40" i="5"/>
  <c r="BZ40" i="5"/>
  <c r="CP40" i="5"/>
  <c r="Z40" i="5"/>
  <c r="BK40" i="5"/>
  <c r="CA40" i="5"/>
  <c r="CQ40" i="5"/>
  <c r="AH40" i="5"/>
  <c r="BM40" i="5"/>
  <c r="CC40" i="5"/>
  <c r="AP40" i="5"/>
  <c r="BN40" i="5"/>
  <c r="CD40" i="5"/>
  <c r="H7" i="5"/>
  <c r="P7" i="5"/>
  <c r="X7" i="5"/>
  <c r="AF7" i="5"/>
  <c r="AN7" i="5"/>
  <c r="AV7" i="5"/>
  <c r="BD7" i="5"/>
  <c r="BL7" i="5"/>
  <c r="BT7" i="5"/>
  <c r="CB7" i="5"/>
  <c r="CJ7" i="5"/>
  <c r="I7" i="5"/>
  <c r="Q7" i="5"/>
  <c r="Y7" i="5"/>
  <c r="AG7" i="5"/>
  <c r="AO7" i="5"/>
  <c r="AW7" i="5"/>
  <c r="BE7" i="5"/>
  <c r="BM7" i="5"/>
  <c r="BU7" i="5"/>
  <c r="CC7" i="5"/>
  <c r="CK7" i="5"/>
  <c r="J7" i="5"/>
  <c r="R7" i="5"/>
  <c r="Z7" i="5"/>
  <c r="AH7" i="5"/>
  <c r="AP7" i="5"/>
  <c r="AX7" i="5"/>
  <c r="BF7" i="5"/>
  <c r="BN7" i="5"/>
  <c r="BV7" i="5"/>
  <c r="CD7" i="5"/>
  <c r="CL7" i="5"/>
  <c r="T7" i="5"/>
  <c r="AE7" i="5"/>
  <c r="AS7" i="5"/>
  <c r="BG7" i="5"/>
  <c r="BR7" i="5"/>
  <c r="CF7" i="5"/>
  <c r="CQ7" i="5"/>
  <c r="G7" i="5"/>
  <c r="U7" i="5"/>
  <c r="AI7" i="5"/>
  <c r="AT7" i="5"/>
  <c r="BH7" i="5"/>
  <c r="BS7" i="5"/>
  <c r="CG7" i="5"/>
  <c r="K7" i="5"/>
  <c r="V7" i="5"/>
  <c r="AJ7" i="5"/>
  <c r="AU7" i="5"/>
  <c r="BI7" i="5"/>
  <c r="BW7" i="5"/>
  <c r="CH7" i="5"/>
  <c r="L7" i="5"/>
  <c r="W7" i="5"/>
  <c r="AK7" i="5"/>
  <c r="AY7" i="5"/>
  <c r="BJ7" i="5"/>
  <c r="BX7" i="5"/>
  <c r="CI7" i="5"/>
  <c r="M7" i="5"/>
  <c r="AA7" i="5"/>
  <c r="AL7" i="5"/>
  <c r="AZ7" i="5"/>
  <c r="BK7" i="5"/>
  <c r="BY7" i="5"/>
  <c r="CM7" i="5"/>
  <c r="N7" i="5"/>
  <c r="AB7" i="5"/>
  <c r="AM7" i="5"/>
  <c r="BA7" i="5"/>
  <c r="BO7" i="5"/>
  <c r="BZ7" i="5"/>
  <c r="CN7" i="5"/>
  <c r="O7" i="5"/>
  <c r="AC7" i="5"/>
  <c r="AD7" i="5"/>
  <c r="CE7" i="5"/>
  <c r="AQ7" i="5"/>
  <c r="CO7" i="5"/>
  <c r="AR7" i="5"/>
  <c r="CP7" i="5"/>
  <c r="BB7" i="5"/>
  <c r="BC7" i="5"/>
  <c r="BP7" i="5"/>
  <c r="BQ7" i="5"/>
  <c r="S7" i="5"/>
  <c r="CA7" i="5"/>
  <c r="M15" i="5"/>
  <c r="U15" i="5"/>
  <c r="AC15" i="5"/>
  <c r="AK15" i="5"/>
  <c r="AS15" i="5"/>
  <c r="BA15" i="5"/>
  <c r="BI15" i="5"/>
  <c r="BQ15" i="5"/>
  <c r="BY15" i="5"/>
  <c r="CG15" i="5"/>
  <c r="CO15" i="5"/>
  <c r="N15" i="5"/>
  <c r="V15" i="5"/>
  <c r="AD15" i="5"/>
  <c r="AL15" i="5"/>
  <c r="AT15" i="5"/>
  <c r="BB15" i="5"/>
  <c r="BJ15" i="5"/>
  <c r="BR15" i="5"/>
  <c r="BZ15" i="5"/>
  <c r="CH15" i="5"/>
  <c r="CP15" i="5"/>
  <c r="G15" i="5"/>
  <c r="O15" i="5"/>
  <c r="W15" i="5"/>
  <c r="AE15" i="5"/>
  <c r="AM15" i="5"/>
  <c r="AU15" i="5"/>
  <c r="BC15" i="5"/>
  <c r="BK15" i="5"/>
  <c r="BS15" i="5"/>
  <c r="CA15" i="5"/>
  <c r="CI15" i="5"/>
  <c r="CQ15" i="5"/>
  <c r="H15" i="5"/>
  <c r="P15" i="5"/>
  <c r="X15" i="5"/>
  <c r="AF15" i="5"/>
  <c r="AN15" i="5"/>
  <c r="AV15" i="5"/>
  <c r="BD15" i="5"/>
  <c r="BL15" i="5"/>
  <c r="BT15" i="5"/>
  <c r="CB15" i="5"/>
  <c r="CJ15" i="5"/>
  <c r="I15" i="5"/>
  <c r="Q15" i="5"/>
  <c r="Y15" i="5"/>
  <c r="AG15" i="5"/>
  <c r="AO15" i="5"/>
  <c r="AW15" i="5"/>
  <c r="BE15" i="5"/>
  <c r="BM15" i="5"/>
  <c r="BU15" i="5"/>
  <c r="CC15" i="5"/>
  <c r="CK15" i="5"/>
  <c r="J15" i="5"/>
  <c r="R15" i="5"/>
  <c r="Z15" i="5"/>
  <c r="AH15" i="5"/>
  <c r="AP15" i="5"/>
  <c r="AX15" i="5"/>
  <c r="BF15" i="5"/>
  <c r="BN15" i="5"/>
  <c r="BV15" i="5"/>
  <c r="CD15" i="5"/>
  <c r="CL15" i="5"/>
  <c r="K15" i="5"/>
  <c r="S15" i="5"/>
  <c r="AA15" i="5"/>
  <c r="AI15" i="5"/>
  <c r="AQ15" i="5"/>
  <c r="AY15" i="5"/>
  <c r="BG15" i="5"/>
  <c r="BO15" i="5"/>
  <c r="BW15" i="5"/>
  <c r="CE15" i="5"/>
  <c r="CM15" i="5"/>
  <c r="L15" i="5"/>
  <c r="T15" i="5"/>
  <c r="AB15" i="5"/>
  <c r="AJ15" i="5"/>
  <c r="AR15" i="5"/>
  <c r="AZ15" i="5"/>
  <c r="BH15" i="5"/>
  <c r="BP15" i="5"/>
  <c r="BX15" i="5"/>
  <c r="CF15" i="5"/>
  <c r="CN15" i="5"/>
  <c r="N23" i="5"/>
  <c r="V23" i="5"/>
  <c r="AD23" i="5"/>
  <c r="AL23" i="5"/>
  <c r="AT23" i="5"/>
  <c r="BB23" i="5"/>
  <c r="BJ23" i="5"/>
  <c r="BR23" i="5"/>
  <c r="BZ23" i="5"/>
  <c r="CH23" i="5"/>
  <c r="CP23" i="5"/>
  <c r="G23" i="5"/>
  <c r="O23" i="5"/>
  <c r="W23" i="5"/>
  <c r="AE23" i="5"/>
  <c r="AM23" i="5"/>
  <c r="AU23" i="5"/>
  <c r="BC23" i="5"/>
  <c r="BK23" i="5"/>
  <c r="BS23" i="5"/>
  <c r="CA23" i="5"/>
  <c r="CI23" i="5"/>
  <c r="CQ23" i="5"/>
  <c r="H23" i="5"/>
  <c r="P23" i="5"/>
  <c r="X23" i="5"/>
  <c r="AF23" i="5"/>
  <c r="AN23" i="5"/>
  <c r="AV23" i="5"/>
  <c r="BD23" i="5"/>
  <c r="BL23" i="5"/>
  <c r="BT23" i="5"/>
  <c r="CB23" i="5"/>
  <c r="CJ23" i="5"/>
  <c r="I23" i="5"/>
  <c r="Q23" i="5"/>
  <c r="Y23" i="5"/>
  <c r="AG23" i="5"/>
  <c r="AO23" i="5"/>
  <c r="AW23" i="5"/>
  <c r="BE23" i="5"/>
  <c r="BM23" i="5"/>
  <c r="BU23" i="5"/>
  <c r="CC23" i="5"/>
  <c r="CK23" i="5"/>
  <c r="J23" i="5"/>
  <c r="R23" i="5"/>
  <c r="Z23" i="5"/>
  <c r="AH23" i="5"/>
  <c r="AP23" i="5"/>
  <c r="AX23" i="5"/>
  <c r="BF23" i="5"/>
  <c r="BN23" i="5"/>
  <c r="BV23" i="5"/>
  <c r="CD23" i="5"/>
  <c r="CL23" i="5"/>
  <c r="K23" i="5"/>
  <c r="S23" i="5"/>
  <c r="AA23" i="5"/>
  <c r="AI23" i="5"/>
  <c r="AQ23" i="5"/>
  <c r="AY23" i="5"/>
  <c r="BG23" i="5"/>
  <c r="M23" i="5"/>
  <c r="AS23" i="5"/>
  <c r="BW23" i="5"/>
  <c r="CO23" i="5"/>
  <c r="T23" i="5"/>
  <c r="AZ23" i="5"/>
  <c r="BX23" i="5"/>
  <c r="U23" i="5"/>
  <c r="BA23" i="5"/>
  <c r="BY23" i="5"/>
  <c r="AB23" i="5"/>
  <c r="BH23" i="5"/>
  <c r="CE23" i="5"/>
  <c r="AC23" i="5"/>
  <c r="BI23" i="5"/>
  <c r="CF23" i="5"/>
  <c r="AJ23" i="5"/>
  <c r="BO23" i="5"/>
  <c r="CG23" i="5"/>
  <c r="AK23" i="5"/>
  <c r="BP23" i="5"/>
  <c r="CM23" i="5"/>
  <c r="L23" i="5"/>
  <c r="AR23" i="5"/>
  <c r="BQ23" i="5"/>
  <c r="CN23" i="5"/>
  <c r="L39" i="5"/>
  <c r="T39" i="5"/>
  <c r="AB39" i="5"/>
  <c r="AJ39" i="5"/>
  <c r="AR39" i="5"/>
  <c r="AZ39" i="5"/>
  <c r="BH39" i="5"/>
  <c r="BP39" i="5"/>
  <c r="BX39" i="5"/>
  <c r="CF39" i="5"/>
  <c r="CN39" i="5"/>
  <c r="M39" i="5"/>
  <c r="U39" i="5"/>
  <c r="AC39" i="5"/>
  <c r="AK39" i="5"/>
  <c r="AS39" i="5"/>
  <c r="BA39" i="5"/>
  <c r="BI39" i="5"/>
  <c r="BQ39" i="5"/>
  <c r="BY39" i="5"/>
  <c r="CG39" i="5"/>
  <c r="CO39" i="5"/>
  <c r="N39" i="5"/>
  <c r="V39" i="5"/>
  <c r="AD39" i="5"/>
  <c r="AL39" i="5"/>
  <c r="AT39" i="5"/>
  <c r="BB39" i="5"/>
  <c r="BJ39" i="5"/>
  <c r="BR39" i="5"/>
  <c r="BZ39" i="5"/>
  <c r="CH39" i="5"/>
  <c r="CP39" i="5"/>
  <c r="G39" i="5"/>
  <c r="O39" i="5"/>
  <c r="W39" i="5"/>
  <c r="AE39" i="5"/>
  <c r="AM39" i="5"/>
  <c r="AU39" i="5"/>
  <c r="BC39" i="5"/>
  <c r="BK39" i="5"/>
  <c r="BS39" i="5"/>
  <c r="CA39" i="5"/>
  <c r="CI39" i="5"/>
  <c r="CQ39" i="5"/>
  <c r="H39" i="5"/>
  <c r="P39" i="5"/>
  <c r="X39" i="5"/>
  <c r="AF39" i="5"/>
  <c r="AN39" i="5"/>
  <c r="AV39" i="5"/>
  <c r="BD39" i="5"/>
  <c r="BL39" i="5"/>
  <c r="BT39" i="5"/>
  <c r="CB39" i="5"/>
  <c r="CJ39" i="5"/>
  <c r="I39" i="5"/>
  <c r="Q39" i="5"/>
  <c r="Y39" i="5"/>
  <c r="AG39" i="5"/>
  <c r="AO39" i="5"/>
  <c r="AW39" i="5"/>
  <c r="BE39" i="5"/>
  <c r="BM39" i="5"/>
  <c r="BU39" i="5"/>
  <c r="CC39" i="5"/>
  <c r="CK39" i="5"/>
  <c r="J39" i="5"/>
  <c r="R39" i="5"/>
  <c r="Z39" i="5"/>
  <c r="AH39" i="5"/>
  <c r="AP39" i="5"/>
  <c r="AX39" i="5"/>
  <c r="BF39" i="5"/>
  <c r="BN39" i="5"/>
  <c r="BV39" i="5"/>
  <c r="CD39" i="5"/>
  <c r="CL39" i="5"/>
  <c r="K39" i="5"/>
  <c r="BW39" i="5"/>
  <c r="S39" i="5"/>
  <c r="CE39" i="5"/>
  <c r="AA39" i="5"/>
  <c r="CM39" i="5"/>
  <c r="AI39" i="5"/>
  <c r="AQ39" i="5"/>
  <c r="AY39" i="5"/>
  <c r="BG39" i="5"/>
  <c r="BO39" i="5"/>
  <c r="L47" i="5"/>
  <c r="T47" i="5"/>
  <c r="AB47" i="5"/>
  <c r="AJ47" i="5"/>
  <c r="AR47" i="5"/>
  <c r="AZ47" i="5"/>
  <c r="BH47" i="5"/>
  <c r="BP47" i="5"/>
  <c r="BX47" i="5"/>
  <c r="CF47" i="5"/>
  <c r="CN47" i="5"/>
  <c r="H47" i="5"/>
  <c r="Q47" i="5"/>
  <c r="Z47" i="5"/>
  <c r="AI47" i="5"/>
  <c r="AS47" i="5"/>
  <c r="BB47" i="5"/>
  <c r="BK47" i="5"/>
  <c r="BT47" i="5"/>
  <c r="CC47" i="5"/>
  <c r="CL47" i="5"/>
  <c r="I47" i="5"/>
  <c r="R47" i="5"/>
  <c r="AA47" i="5"/>
  <c r="AK47" i="5"/>
  <c r="AT47" i="5"/>
  <c r="BC47" i="5"/>
  <c r="BL47" i="5"/>
  <c r="BU47" i="5"/>
  <c r="CD47" i="5"/>
  <c r="CM47" i="5"/>
  <c r="J47" i="5"/>
  <c r="S47" i="5"/>
  <c r="AC47" i="5"/>
  <c r="AL47" i="5"/>
  <c r="AU47" i="5"/>
  <c r="BD47" i="5"/>
  <c r="BM47" i="5"/>
  <c r="BV47" i="5"/>
  <c r="CE47" i="5"/>
  <c r="CO47" i="5"/>
  <c r="K47" i="5"/>
  <c r="U47" i="5"/>
  <c r="AD47" i="5"/>
  <c r="AM47" i="5"/>
  <c r="AV47" i="5"/>
  <c r="BE47" i="5"/>
  <c r="BN47" i="5"/>
  <c r="BW47" i="5"/>
  <c r="CG47" i="5"/>
  <c r="CP47" i="5"/>
  <c r="M47" i="5"/>
  <c r="V47" i="5"/>
  <c r="AE47" i="5"/>
  <c r="AN47" i="5"/>
  <c r="AW47" i="5"/>
  <c r="BF47" i="5"/>
  <c r="BO47" i="5"/>
  <c r="BY47" i="5"/>
  <c r="CH47" i="5"/>
  <c r="CQ47" i="5"/>
  <c r="N47" i="5"/>
  <c r="W47" i="5"/>
  <c r="AF47" i="5"/>
  <c r="AO47" i="5"/>
  <c r="AX47" i="5"/>
  <c r="BG47" i="5"/>
  <c r="BQ47" i="5"/>
  <c r="BZ47" i="5"/>
  <c r="CI47" i="5"/>
  <c r="O47" i="5"/>
  <c r="X47" i="5"/>
  <c r="AG47" i="5"/>
  <c r="AP47" i="5"/>
  <c r="AY47" i="5"/>
  <c r="BI47" i="5"/>
  <c r="BR47" i="5"/>
  <c r="CA47" i="5"/>
  <c r="CJ47" i="5"/>
  <c r="G47" i="5"/>
  <c r="P47" i="5"/>
  <c r="Y47" i="5"/>
  <c r="AH47" i="5"/>
  <c r="AQ47" i="5"/>
  <c r="BA47" i="5"/>
  <c r="BJ47" i="5"/>
  <c r="BS47" i="5"/>
  <c r="CB47" i="5"/>
  <c r="CK47" i="5"/>
  <c r="K4" i="5"/>
  <c r="S4" i="5"/>
  <c r="AA4" i="5"/>
  <c r="AI4" i="5"/>
  <c r="AQ4" i="5"/>
  <c r="AY4" i="5"/>
  <c r="BG4" i="5"/>
  <c r="BO4" i="5"/>
  <c r="BW4" i="5"/>
  <c r="CE4" i="5"/>
  <c r="CM4" i="5"/>
  <c r="N4" i="5"/>
  <c r="V4" i="5"/>
  <c r="M4" i="5"/>
  <c r="X4" i="5"/>
  <c r="AG4" i="5"/>
  <c r="AP4" i="5"/>
  <c r="AZ4" i="5"/>
  <c r="BI4" i="5"/>
  <c r="BR4" i="5"/>
  <c r="CA4" i="5"/>
  <c r="CJ4" i="5"/>
  <c r="O4" i="5"/>
  <c r="Y4" i="5"/>
  <c r="AH4" i="5"/>
  <c r="AR4" i="5"/>
  <c r="BA4" i="5"/>
  <c r="BJ4" i="5"/>
  <c r="BS4" i="5"/>
  <c r="CB4" i="5"/>
  <c r="CK4" i="5"/>
  <c r="P4" i="5"/>
  <c r="Z4" i="5"/>
  <c r="AJ4" i="5"/>
  <c r="AS4" i="5"/>
  <c r="BB4" i="5"/>
  <c r="BK4" i="5"/>
  <c r="BT4" i="5"/>
  <c r="CC4" i="5"/>
  <c r="CL4" i="5"/>
  <c r="G4" i="5"/>
  <c r="Q4" i="5"/>
  <c r="AB4" i="5"/>
  <c r="I4" i="5"/>
  <c r="AD4" i="5"/>
  <c r="AT4" i="5"/>
  <c r="BF4" i="5"/>
  <c r="BV4" i="5"/>
  <c r="CI4" i="5"/>
  <c r="J4" i="5"/>
  <c r="AE4" i="5"/>
  <c r="AU4" i="5"/>
  <c r="BH4" i="5"/>
  <c r="BX4" i="5"/>
  <c r="CN4" i="5"/>
  <c r="L4" i="5"/>
  <c r="AF4" i="5"/>
  <c r="AV4" i="5"/>
  <c r="BL4" i="5"/>
  <c r="BY4" i="5"/>
  <c r="CO4" i="5"/>
  <c r="R4" i="5"/>
  <c r="AK4" i="5"/>
  <c r="AW4" i="5"/>
  <c r="BM4" i="5"/>
  <c r="BZ4" i="5"/>
  <c r="CP4" i="5"/>
  <c r="T4" i="5"/>
  <c r="AL4" i="5"/>
  <c r="AX4" i="5"/>
  <c r="BN4" i="5"/>
  <c r="CD4" i="5"/>
  <c r="CQ4" i="5"/>
  <c r="U4" i="5"/>
  <c r="AM4" i="5"/>
  <c r="BC4" i="5"/>
  <c r="BP4" i="5"/>
  <c r="CF4" i="5"/>
  <c r="W4" i="5"/>
  <c r="AN4" i="5"/>
  <c r="BD4" i="5"/>
  <c r="BQ4" i="5"/>
  <c r="CG4" i="5"/>
  <c r="H4" i="5"/>
  <c r="AC4" i="5"/>
  <c r="AO4" i="5"/>
  <c r="BE4" i="5"/>
  <c r="BU4" i="5"/>
  <c r="CH4" i="5"/>
  <c r="N12" i="5"/>
  <c r="V12" i="5"/>
  <c r="AD12" i="5"/>
  <c r="AL12" i="5"/>
  <c r="AT12" i="5"/>
  <c r="BB12" i="5"/>
  <c r="BJ12" i="5"/>
  <c r="BR12" i="5"/>
  <c r="BZ12" i="5"/>
  <c r="CH12" i="5"/>
  <c r="CP12" i="5"/>
  <c r="G12" i="5"/>
  <c r="O12" i="5"/>
  <c r="W12" i="5"/>
  <c r="AE12" i="5"/>
  <c r="AM12" i="5"/>
  <c r="AU12" i="5"/>
  <c r="BC12" i="5"/>
  <c r="BK12" i="5"/>
  <c r="BS12" i="5"/>
  <c r="CA12" i="5"/>
  <c r="CI12" i="5"/>
  <c r="CQ12" i="5"/>
  <c r="H12" i="5"/>
  <c r="P12" i="5"/>
  <c r="X12" i="5"/>
  <c r="AF12" i="5"/>
  <c r="AN12" i="5"/>
  <c r="AV12" i="5"/>
  <c r="BD12" i="5"/>
  <c r="BL12" i="5"/>
  <c r="BT12" i="5"/>
  <c r="CB12" i="5"/>
  <c r="CJ12" i="5"/>
  <c r="J12" i="5"/>
  <c r="U12" i="5"/>
  <c r="AI12" i="5"/>
  <c r="AW12" i="5"/>
  <c r="BH12" i="5"/>
  <c r="BV12" i="5"/>
  <c r="CG12" i="5"/>
  <c r="K12" i="5"/>
  <c r="Y12" i="5"/>
  <c r="AJ12" i="5"/>
  <c r="AX12" i="5"/>
  <c r="BI12" i="5"/>
  <c r="BW12" i="5"/>
  <c r="CK12" i="5"/>
  <c r="L12" i="5"/>
  <c r="Z12" i="5"/>
  <c r="AK12" i="5"/>
  <c r="AY12" i="5"/>
  <c r="BM12" i="5"/>
  <c r="BX12" i="5"/>
  <c r="CL12" i="5"/>
  <c r="M12" i="5"/>
  <c r="AA12" i="5"/>
  <c r="AO12" i="5"/>
  <c r="AZ12" i="5"/>
  <c r="BN12" i="5"/>
  <c r="BY12" i="5"/>
  <c r="CM12" i="5"/>
  <c r="Q12" i="5"/>
  <c r="AB12" i="5"/>
  <c r="AP12" i="5"/>
  <c r="BA12" i="5"/>
  <c r="BO12" i="5"/>
  <c r="CC12" i="5"/>
  <c r="CN12" i="5"/>
  <c r="R12" i="5"/>
  <c r="AC12" i="5"/>
  <c r="AQ12" i="5"/>
  <c r="BE12" i="5"/>
  <c r="BP12" i="5"/>
  <c r="CD12" i="5"/>
  <c r="CO12" i="5"/>
  <c r="S12" i="5"/>
  <c r="AG12" i="5"/>
  <c r="AR12" i="5"/>
  <c r="BF12" i="5"/>
  <c r="BQ12" i="5"/>
  <c r="CE12" i="5"/>
  <c r="I12" i="5"/>
  <c r="T12" i="5"/>
  <c r="AH12" i="5"/>
  <c r="AS12" i="5"/>
  <c r="BG12" i="5"/>
  <c r="BU12" i="5"/>
  <c r="CF12" i="5"/>
  <c r="I20" i="5"/>
  <c r="Q20" i="5"/>
  <c r="Y20" i="5"/>
  <c r="AG20" i="5"/>
  <c r="AO20" i="5"/>
  <c r="AW20" i="5"/>
  <c r="BE20" i="5"/>
  <c r="BM20" i="5"/>
  <c r="BU20" i="5"/>
  <c r="CC20" i="5"/>
  <c r="CK20" i="5"/>
  <c r="J20" i="5"/>
  <c r="R20" i="5"/>
  <c r="Z20" i="5"/>
  <c r="AH20" i="5"/>
  <c r="AP20" i="5"/>
  <c r="AX20" i="5"/>
  <c r="BF20" i="5"/>
  <c r="BN20" i="5"/>
  <c r="BV20" i="5"/>
  <c r="CD20" i="5"/>
  <c r="CL20" i="5"/>
  <c r="K20" i="5"/>
  <c r="S20" i="5"/>
  <c r="AA20" i="5"/>
  <c r="AI20" i="5"/>
  <c r="AQ20" i="5"/>
  <c r="AY20" i="5"/>
  <c r="BG20" i="5"/>
  <c r="BO20" i="5"/>
  <c r="BW20" i="5"/>
  <c r="CE20" i="5"/>
  <c r="CM20" i="5"/>
  <c r="L20" i="5"/>
  <c r="T20" i="5"/>
  <c r="AB20" i="5"/>
  <c r="AJ20" i="5"/>
  <c r="AR20" i="5"/>
  <c r="AZ20" i="5"/>
  <c r="BH20" i="5"/>
  <c r="BP20" i="5"/>
  <c r="BX20" i="5"/>
  <c r="CF20" i="5"/>
  <c r="CN20" i="5"/>
  <c r="M20" i="5"/>
  <c r="U20" i="5"/>
  <c r="AC20" i="5"/>
  <c r="AK20" i="5"/>
  <c r="AS20" i="5"/>
  <c r="BA20" i="5"/>
  <c r="BI20" i="5"/>
  <c r="BQ20" i="5"/>
  <c r="BY20" i="5"/>
  <c r="CG20" i="5"/>
  <c r="CO20" i="5"/>
  <c r="N20" i="5"/>
  <c r="V20" i="5"/>
  <c r="AD20" i="5"/>
  <c r="AL20" i="5"/>
  <c r="AT20" i="5"/>
  <c r="BB20" i="5"/>
  <c r="BJ20" i="5"/>
  <c r="BR20" i="5"/>
  <c r="BZ20" i="5"/>
  <c r="CH20" i="5"/>
  <c r="CP20" i="5"/>
  <c r="G20" i="5"/>
  <c r="O20" i="5"/>
  <c r="W20" i="5"/>
  <c r="AE20" i="5"/>
  <c r="AM20" i="5"/>
  <c r="AU20" i="5"/>
  <c r="BC20" i="5"/>
  <c r="BK20" i="5"/>
  <c r="BS20" i="5"/>
  <c r="CA20" i="5"/>
  <c r="CI20" i="5"/>
  <c r="CQ20" i="5"/>
  <c r="H20" i="5"/>
  <c r="P20" i="5"/>
  <c r="X20" i="5"/>
  <c r="AF20" i="5"/>
  <c r="AN20" i="5"/>
  <c r="AV20" i="5"/>
  <c r="BD20" i="5"/>
  <c r="BL20" i="5"/>
  <c r="BT20" i="5"/>
  <c r="CB20" i="5"/>
  <c r="CJ20" i="5"/>
  <c r="I28" i="5"/>
  <c r="Q28" i="5"/>
  <c r="Y28" i="5"/>
  <c r="AG28" i="5"/>
  <c r="AO28" i="5"/>
  <c r="AW28" i="5"/>
  <c r="BE28" i="5"/>
  <c r="BM28" i="5"/>
  <c r="BU28" i="5"/>
  <c r="CC28" i="5"/>
  <c r="CK28" i="5"/>
  <c r="J28" i="5"/>
  <c r="R28" i="5"/>
  <c r="Z28" i="5"/>
  <c r="AH28" i="5"/>
  <c r="AP28" i="5"/>
  <c r="AX28" i="5"/>
  <c r="BF28" i="5"/>
  <c r="BN28" i="5"/>
  <c r="BV28" i="5"/>
  <c r="CD28" i="5"/>
  <c r="CL28" i="5"/>
  <c r="K28" i="5"/>
  <c r="S28" i="5"/>
  <c r="AA28" i="5"/>
  <c r="AI28" i="5"/>
  <c r="AQ28" i="5"/>
  <c r="AY28" i="5"/>
  <c r="BG28" i="5"/>
  <c r="BO28" i="5"/>
  <c r="BW28" i="5"/>
  <c r="CE28" i="5"/>
  <c r="CM28" i="5"/>
  <c r="L28" i="5"/>
  <c r="W28" i="5"/>
  <c r="AK28" i="5"/>
  <c r="AV28" i="5"/>
  <c r="BJ28" i="5"/>
  <c r="BX28" i="5"/>
  <c r="CI28" i="5"/>
  <c r="M28" i="5"/>
  <c r="X28" i="5"/>
  <c r="AL28" i="5"/>
  <c r="AZ28" i="5"/>
  <c r="BK28" i="5"/>
  <c r="BY28" i="5"/>
  <c r="CJ28" i="5"/>
  <c r="N28" i="5"/>
  <c r="AB28" i="5"/>
  <c r="AM28" i="5"/>
  <c r="BA28" i="5"/>
  <c r="BL28" i="5"/>
  <c r="BZ28" i="5"/>
  <c r="CN28" i="5"/>
  <c r="O28" i="5"/>
  <c r="AC28" i="5"/>
  <c r="AN28" i="5"/>
  <c r="BB28" i="5"/>
  <c r="BP28" i="5"/>
  <c r="CA28" i="5"/>
  <c r="CO28" i="5"/>
  <c r="P28" i="5"/>
  <c r="AD28" i="5"/>
  <c r="AR28" i="5"/>
  <c r="BC28" i="5"/>
  <c r="BQ28" i="5"/>
  <c r="CB28" i="5"/>
  <c r="CP28" i="5"/>
  <c r="T28" i="5"/>
  <c r="AE28" i="5"/>
  <c r="AS28" i="5"/>
  <c r="BD28" i="5"/>
  <c r="BR28" i="5"/>
  <c r="CF28" i="5"/>
  <c r="CQ28" i="5"/>
  <c r="G28" i="5"/>
  <c r="U28" i="5"/>
  <c r="AF28" i="5"/>
  <c r="AT28" i="5"/>
  <c r="BH28" i="5"/>
  <c r="BS28" i="5"/>
  <c r="CG28" i="5"/>
  <c r="H28" i="5"/>
  <c r="V28" i="5"/>
  <c r="AJ28" i="5"/>
  <c r="AU28" i="5"/>
  <c r="BI28" i="5"/>
  <c r="BT28" i="5"/>
  <c r="CH28" i="5"/>
  <c r="J36" i="5"/>
  <c r="R36" i="5"/>
  <c r="Z36" i="5"/>
  <c r="AH36" i="5"/>
  <c r="K36" i="5"/>
  <c r="S36" i="5"/>
  <c r="AA36" i="5"/>
  <c r="AI36" i="5"/>
  <c r="AQ36" i="5"/>
  <c r="AY36" i="5"/>
  <c r="BG36" i="5"/>
  <c r="BO36" i="5"/>
  <c r="BW36" i="5"/>
  <c r="CE36" i="5"/>
  <c r="CM36" i="5"/>
  <c r="O36" i="5"/>
  <c r="Y36" i="5"/>
  <c r="AK36" i="5"/>
  <c r="AT36" i="5"/>
  <c r="BC36" i="5"/>
  <c r="BL36" i="5"/>
  <c r="BU36" i="5"/>
  <c r="CD36" i="5"/>
  <c r="CN36" i="5"/>
  <c r="P36" i="5"/>
  <c r="AB36" i="5"/>
  <c r="AL36" i="5"/>
  <c r="AU36" i="5"/>
  <c r="BD36" i="5"/>
  <c r="BM36" i="5"/>
  <c r="BV36" i="5"/>
  <c r="CF36" i="5"/>
  <c r="CO36" i="5"/>
  <c r="G36" i="5"/>
  <c r="Q36" i="5"/>
  <c r="AC36" i="5"/>
  <c r="AM36" i="5"/>
  <c r="AV36" i="5"/>
  <c r="BE36" i="5"/>
  <c r="BN36" i="5"/>
  <c r="BX36" i="5"/>
  <c r="CG36" i="5"/>
  <c r="CP36" i="5"/>
  <c r="H36" i="5"/>
  <c r="T36" i="5"/>
  <c r="AD36" i="5"/>
  <c r="AN36" i="5"/>
  <c r="AW36" i="5"/>
  <c r="BF36" i="5"/>
  <c r="BP36" i="5"/>
  <c r="BY36" i="5"/>
  <c r="CH36" i="5"/>
  <c r="CQ36" i="5"/>
  <c r="I36" i="5"/>
  <c r="U36" i="5"/>
  <c r="AE36" i="5"/>
  <c r="AO36" i="5"/>
  <c r="AX36" i="5"/>
  <c r="BH36" i="5"/>
  <c r="BQ36" i="5"/>
  <c r="BZ36" i="5"/>
  <c r="CI36" i="5"/>
  <c r="L36" i="5"/>
  <c r="V36" i="5"/>
  <c r="AF36" i="5"/>
  <c r="AP36" i="5"/>
  <c r="AZ36" i="5"/>
  <c r="BI36" i="5"/>
  <c r="BR36" i="5"/>
  <c r="CA36" i="5"/>
  <c r="CJ36" i="5"/>
  <c r="M36" i="5"/>
  <c r="W36" i="5"/>
  <c r="AG36" i="5"/>
  <c r="AR36" i="5"/>
  <c r="BA36" i="5"/>
  <c r="BJ36" i="5"/>
  <c r="BS36" i="5"/>
  <c r="CB36" i="5"/>
  <c r="CK36" i="5"/>
  <c r="N36" i="5"/>
  <c r="X36" i="5"/>
  <c r="AJ36" i="5"/>
  <c r="AS36" i="5"/>
  <c r="BB36" i="5"/>
  <c r="BK36" i="5"/>
  <c r="BT36" i="5"/>
  <c r="CC36" i="5"/>
  <c r="CL36" i="5"/>
  <c r="G44" i="5"/>
  <c r="O44" i="5"/>
  <c r="W44" i="5"/>
  <c r="AE44" i="5"/>
  <c r="AM44" i="5"/>
  <c r="AU44" i="5"/>
  <c r="BC44" i="5"/>
  <c r="BK44" i="5"/>
  <c r="BS44" i="5"/>
  <c r="CA44" i="5"/>
  <c r="CI44" i="5"/>
  <c r="CQ44" i="5"/>
  <c r="H44" i="5"/>
  <c r="P44" i="5"/>
  <c r="X44" i="5"/>
  <c r="AF44" i="5"/>
  <c r="AN44" i="5"/>
  <c r="AV44" i="5"/>
  <c r="BD44" i="5"/>
  <c r="BL44" i="5"/>
  <c r="BT44" i="5"/>
  <c r="CB44" i="5"/>
  <c r="CJ44" i="5"/>
  <c r="I44" i="5"/>
  <c r="Q44" i="5"/>
  <c r="Y44" i="5"/>
  <c r="AG44" i="5"/>
  <c r="AO44" i="5"/>
  <c r="AW44" i="5"/>
  <c r="BE44" i="5"/>
  <c r="BM44" i="5"/>
  <c r="BU44" i="5"/>
  <c r="CC44" i="5"/>
  <c r="CK44" i="5"/>
  <c r="M44" i="5"/>
  <c r="AA44" i="5"/>
  <c r="AL44" i="5"/>
  <c r="AZ44" i="5"/>
  <c r="BN44" i="5"/>
  <c r="BY44" i="5"/>
  <c r="CM44" i="5"/>
  <c r="N44" i="5"/>
  <c r="AB44" i="5"/>
  <c r="AP44" i="5"/>
  <c r="BA44" i="5"/>
  <c r="BO44" i="5"/>
  <c r="BZ44" i="5"/>
  <c r="CN44" i="5"/>
  <c r="R44" i="5"/>
  <c r="AC44" i="5"/>
  <c r="AQ44" i="5"/>
  <c r="BB44" i="5"/>
  <c r="BP44" i="5"/>
  <c r="CD44" i="5"/>
  <c r="CO44" i="5"/>
  <c r="S44" i="5"/>
  <c r="AD44" i="5"/>
  <c r="AR44" i="5"/>
  <c r="BF44" i="5"/>
  <c r="BQ44" i="5"/>
  <c r="CE44" i="5"/>
  <c r="CP44" i="5"/>
  <c r="T44" i="5"/>
  <c r="AH44" i="5"/>
  <c r="AS44" i="5"/>
  <c r="BG44" i="5"/>
  <c r="BR44" i="5"/>
  <c r="CF44" i="5"/>
  <c r="J44" i="5"/>
  <c r="U44" i="5"/>
  <c r="AI44" i="5"/>
  <c r="AT44" i="5"/>
  <c r="BH44" i="5"/>
  <c r="BV44" i="5"/>
  <c r="CG44" i="5"/>
  <c r="K44" i="5"/>
  <c r="V44" i="5"/>
  <c r="AJ44" i="5"/>
  <c r="AX44" i="5"/>
  <c r="BI44" i="5"/>
  <c r="BW44" i="5"/>
  <c r="CH44" i="5"/>
  <c r="L44" i="5"/>
  <c r="Z44" i="5"/>
  <c r="AK44" i="5"/>
  <c r="AY44" i="5"/>
  <c r="BJ44" i="5"/>
  <c r="BX44" i="5"/>
  <c r="CL44" i="5"/>
  <c r="M52" i="5"/>
  <c r="U52" i="5"/>
  <c r="AC52" i="5"/>
  <c r="AK52" i="5"/>
  <c r="AS52" i="5"/>
  <c r="BA52" i="5"/>
  <c r="BI52" i="5"/>
  <c r="BQ52" i="5"/>
  <c r="BY52" i="5"/>
  <c r="CG52" i="5"/>
  <c r="CO52" i="5"/>
  <c r="K52" i="5"/>
  <c r="T52" i="5"/>
  <c r="AD52" i="5"/>
  <c r="AM52" i="5"/>
  <c r="AV52" i="5"/>
  <c r="BE52" i="5"/>
  <c r="BN52" i="5"/>
  <c r="BW52" i="5"/>
  <c r="CF52" i="5"/>
  <c r="CP52" i="5"/>
  <c r="L52" i="5"/>
  <c r="V52" i="5"/>
  <c r="AE52" i="5"/>
  <c r="AN52" i="5"/>
  <c r="AW52" i="5"/>
  <c r="BF52" i="5"/>
  <c r="BO52" i="5"/>
  <c r="BX52" i="5"/>
  <c r="CH52" i="5"/>
  <c r="CQ52" i="5"/>
  <c r="N52" i="5"/>
  <c r="W52" i="5"/>
  <c r="AF52" i="5"/>
  <c r="AO52" i="5"/>
  <c r="AX52" i="5"/>
  <c r="BG52" i="5"/>
  <c r="BP52" i="5"/>
  <c r="BZ52" i="5"/>
  <c r="CI52" i="5"/>
  <c r="O52" i="5"/>
  <c r="X52" i="5"/>
  <c r="AG52" i="5"/>
  <c r="AP52" i="5"/>
  <c r="AY52" i="5"/>
  <c r="BH52" i="5"/>
  <c r="BR52" i="5"/>
  <c r="CA52" i="5"/>
  <c r="CJ52" i="5"/>
  <c r="G52" i="5"/>
  <c r="P52" i="5"/>
  <c r="Y52" i="5"/>
  <c r="AH52" i="5"/>
  <c r="AQ52" i="5"/>
  <c r="AZ52" i="5"/>
  <c r="BJ52" i="5"/>
  <c r="BS52" i="5"/>
  <c r="CB52" i="5"/>
  <c r="CK52" i="5"/>
  <c r="H52" i="5"/>
  <c r="Q52" i="5"/>
  <c r="Z52" i="5"/>
  <c r="AI52" i="5"/>
  <c r="AR52" i="5"/>
  <c r="BB52" i="5"/>
  <c r="BK52" i="5"/>
  <c r="BT52" i="5"/>
  <c r="CC52" i="5"/>
  <c r="CL52" i="5"/>
  <c r="I52" i="5"/>
  <c r="R52" i="5"/>
  <c r="AA52" i="5"/>
  <c r="AJ52" i="5"/>
  <c r="AT52" i="5"/>
  <c r="BC52" i="5"/>
  <c r="BL52" i="5"/>
  <c r="BU52" i="5"/>
  <c r="CD52" i="5"/>
  <c r="CM52" i="5"/>
  <c r="BV52" i="5"/>
  <c r="J52" i="5"/>
  <c r="CE52" i="5"/>
  <c r="S52" i="5"/>
  <c r="CN52" i="5"/>
  <c r="AB52" i="5"/>
  <c r="AL52" i="5"/>
  <c r="AU52" i="5"/>
  <c r="BD52" i="5"/>
  <c r="BM52" i="5"/>
  <c r="N60" i="5"/>
  <c r="V60" i="5"/>
  <c r="AD60" i="5"/>
  <c r="AL60" i="5"/>
  <c r="AT60" i="5"/>
  <c r="BB60" i="5"/>
  <c r="BJ60" i="5"/>
  <c r="BR60" i="5"/>
  <c r="BZ60" i="5"/>
  <c r="CH60" i="5"/>
  <c r="CP60" i="5"/>
  <c r="G60" i="5"/>
  <c r="O60" i="5"/>
  <c r="W60" i="5"/>
  <c r="AE60" i="5"/>
  <c r="AM60" i="5"/>
  <c r="AU60" i="5"/>
  <c r="BC60" i="5"/>
  <c r="BK60" i="5"/>
  <c r="BS60" i="5"/>
  <c r="CA60" i="5"/>
  <c r="CI60" i="5"/>
  <c r="CQ60" i="5"/>
  <c r="H60" i="5"/>
  <c r="P60" i="5"/>
  <c r="X60" i="5"/>
  <c r="AF60" i="5"/>
  <c r="AN60" i="5"/>
  <c r="AV60" i="5"/>
  <c r="BD60" i="5"/>
  <c r="BL60" i="5"/>
  <c r="BT60" i="5"/>
  <c r="CB60" i="5"/>
  <c r="CJ60" i="5"/>
  <c r="R60" i="5"/>
  <c r="AC60" i="5"/>
  <c r="AQ60" i="5"/>
  <c r="BE60" i="5"/>
  <c r="BP60" i="5"/>
  <c r="CD60" i="5"/>
  <c r="CO60" i="5"/>
  <c r="S60" i="5"/>
  <c r="AG60" i="5"/>
  <c r="AR60" i="5"/>
  <c r="BF60" i="5"/>
  <c r="BQ60" i="5"/>
  <c r="CE60" i="5"/>
  <c r="I60" i="5"/>
  <c r="T60" i="5"/>
  <c r="AH60" i="5"/>
  <c r="AS60" i="5"/>
  <c r="BG60" i="5"/>
  <c r="BU60" i="5"/>
  <c r="CF60" i="5"/>
  <c r="J60" i="5"/>
  <c r="U60" i="5"/>
  <c r="AI60" i="5"/>
  <c r="AW60" i="5"/>
  <c r="BH60" i="5"/>
  <c r="BV60" i="5"/>
  <c r="CG60" i="5"/>
  <c r="K60" i="5"/>
  <c r="Y60" i="5"/>
  <c r="AJ60" i="5"/>
  <c r="AX60" i="5"/>
  <c r="BI60" i="5"/>
  <c r="BW60" i="5"/>
  <c r="CK60" i="5"/>
  <c r="L60" i="5"/>
  <c r="Z60" i="5"/>
  <c r="AK60" i="5"/>
  <c r="AY60" i="5"/>
  <c r="BM60" i="5"/>
  <c r="BX60" i="5"/>
  <c r="CL60" i="5"/>
  <c r="M60" i="5"/>
  <c r="AA60" i="5"/>
  <c r="AO60" i="5"/>
  <c r="AZ60" i="5"/>
  <c r="BN60" i="5"/>
  <c r="BY60" i="5"/>
  <c r="CM60" i="5"/>
  <c r="Q60" i="5"/>
  <c r="AB60" i="5"/>
  <c r="AP60" i="5"/>
  <c r="BA60" i="5"/>
  <c r="BO60" i="5"/>
  <c r="CC60" i="5"/>
  <c r="CN60" i="5"/>
  <c r="N68" i="5"/>
  <c r="V68" i="5"/>
  <c r="AD68" i="5"/>
  <c r="AL68" i="5"/>
  <c r="AT68" i="5"/>
  <c r="BB68" i="5"/>
  <c r="BJ68" i="5"/>
  <c r="BR68" i="5"/>
  <c r="BZ68" i="5"/>
  <c r="CH68" i="5"/>
  <c r="CP68" i="5"/>
  <c r="G68" i="5"/>
  <c r="O68" i="5"/>
  <c r="W68" i="5"/>
  <c r="AE68" i="5"/>
  <c r="AM68" i="5"/>
  <c r="AU68" i="5"/>
  <c r="BC68" i="5"/>
  <c r="BK68" i="5"/>
  <c r="BS68" i="5"/>
  <c r="CA68" i="5"/>
  <c r="CI68" i="5"/>
  <c r="CQ68" i="5"/>
  <c r="H68" i="5"/>
  <c r="P68" i="5"/>
  <c r="X68" i="5"/>
  <c r="AF68" i="5"/>
  <c r="AN68" i="5"/>
  <c r="AV68" i="5"/>
  <c r="BD68" i="5"/>
  <c r="BL68" i="5"/>
  <c r="BT68" i="5"/>
  <c r="CB68" i="5"/>
  <c r="CJ68" i="5"/>
  <c r="I68" i="5"/>
  <c r="Q68" i="5"/>
  <c r="Y68" i="5"/>
  <c r="AG68" i="5"/>
  <c r="AO68" i="5"/>
  <c r="AW68" i="5"/>
  <c r="BE68" i="5"/>
  <c r="BM68" i="5"/>
  <c r="BU68" i="5"/>
  <c r="CC68" i="5"/>
  <c r="CK68" i="5"/>
  <c r="J68" i="5"/>
  <c r="R68" i="5"/>
  <c r="Z68" i="5"/>
  <c r="AH68" i="5"/>
  <c r="AP68" i="5"/>
  <c r="AX68" i="5"/>
  <c r="BF68" i="5"/>
  <c r="BN68" i="5"/>
  <c r="BV68" i="5"/>
  <c r="CD68" i="5"/>
  <c r="CL68" i="5"/>
  <c r="K68" i="5"/>
  <c r="S68" i="5"/>
  <c r="AA68" i="5"/>
  <c r="AI68" i="5"/>
  <c r="AQ68" i="5"/>
  <c r="AY68" i="5"/>
  <c r="BG68" i="5"/>
  <c r="BO68" i="5"/>
  <c r="BW68" i="5"/>
  <c r="CE68" i="5"/>
  <c r="CM68" i="5"/>
  <c r="L68" i="5"/>
  <c r="T68" i="5"/>
  <c r="AB68" i="5"/>
  <c r="AJ68" i="5"/>
  <c r="AR68" i="5"/>
  <c r="AZ68" i="5"/>
  <c r="BH68" i="5"/>
  <c r="BP68" i="5"/>
  <c r="BX68" i="5"/>
  <c r="CF68" i="5"/>
  <c r="CN68" i="5"/>
  <c r="AC68" i="5"/>
  <c r="CO68" i="5"/>
  <c r="AK68" i="5"/>
  <c r="AS68" i="5"/>
  <c r="BA68" i="5"/>
  <c r="BI68" i="5"/>
  <c r="BQ68" i="5"/>
  <c r="M68" i="5"/>
  <c r="BY68" i="5"/>
  <c r="U68" i="5"/>
  <c r="CG68" i="5"/>
  <c r="N76" i="5"/>
  <c r="V76" i="5"/>
  <c r="AD76" i="5"/>
  <c r="AL76" i="5"/>
  <c r="AT76" i="5"/>
  <c r="BB76" i="5"/>
  <c r="BJ76" i="5"/>
  <c r="BR76" i="5"/>
  <c r="BZ76" i="5"/>
  <c r="CH76" i="5"/>
  <c r="CP76" i="5"/>
  <c r="G76" i="5"/>
  <c r="O76" i="5"/>
  <c r="W76" i="5"/>
  <c r="AE76" i="5"/>
  <c r="AM76" i="5"/>
  <c r="AU76" i="5"/>
  <c r="BC76" i="5"/>
  <c r="BK76" i="5"/>
  <c r="BS76" i="5"/>
  <c r="CA76" i="5"/>
  <c r="CI76" i="5"/>
  <c r="CQ76" i="5"/>
  <c r="H76" i="5"/>
  <c r="P76" i="5"/>
  <c r="X76" i="5"/>
  <c r="AF76" i="5"/>
  <c r="AN76" i="5"/>
  <c r="AV76" i="5"/>
  <c r="BD76" i="5"/>
  <c r="BL76" i="5"/>
  <c r="BT76" i="5"/>
  <c r="CB76" i="5"/>
  <c r="CJ76" i="5"/>
  <c r="I76" i="5"/>
  <c r="Q76" i="5"/>
  <c r="Y76" i="5"/>
  <c r="AG76" i="5"/>
  <c r="AO76" i="5"/>
  <c r="AW76" i="5"/>
  <c r="BE76" i="5"/>
  <c r="BM76" i="5"/>
  <c r="BU76" i="5"/>
  <c r="CC76" i="5"/>
  <c r="CK76" i="5"/>
  <c r="J76" i="5"/>
  <c r="R76" i="5"/>
  <c r="Z76" i="5"/>
  <c r="AH76" i="5"/>
  <c r="AP76" i="5"/>
  <c r="AX76" i="5"/>
  <c r="BF76" i="5"/>
  <c r="BN76" i="5"/>
  <c r="BV76" i="5"/>
  <c r="CD76" i="5"/>
  <c r="CL76" i="5"/>
  <c r="K76" i="5"/>
  <c r="S76" i="5"/>
  <c r="AA76" i="5"/>
  <c r="AI76" i="5"/>
  <c r="AQ76" i="5"/>
  <c r="AY76" i="5"/>
  <c r="BG76" i="5"/>
  <c r="BO76" i="5"/>
  <c r="BW76" i="5"/>
  <c r="CE76" i="5"/>
  <c r="CM76" i="5"/>
  <c r="L76" i="5"/>
  <c r="T76" i="5"/>
  <c r="AB76" i="5"/>
  <c r="AJ76" i="5"/>
  <c r="AR76" i="5"/>
  <c r="AZ76" i="5"/>
  <c r="BH76" i="5"/>
  <c r="BP76" i="5"/>
  <c r="BX76" i="5"/>
  <c r="CF76" i="5"/>
  <c r="CN76" i="5"/>
  <c r="M76" i="5"/>
  <c r="U76" i="5"/>
  <c r="AC76" i="5"/>
  <c r="AK76" i="5"/>
  <c r="AS76" i="5"/>
  <c r="BA76" i="5"/>
  <c r="BI76" i="5"/>
  <c r="BQ76" i="5"/>
  <c r="BY76" i="5"/>
  <c r="CG76" i="5"/>
  <c r="CO76" i="5"/>
  <c r="K17" i="5"/>
  <c r="L17" i="5"/>
  <c r="T17" i="5"/>
  <c r="AB17" i="5"/>
  <c r="AJ17" i="5"/>
  <c r="AR17" i="5"/>
  <c r="AZ17" i="5"/>
  <c r="BH17" i="5"/>
  <c r="BP17" i="5"/>
  <c r="BX17" i="5"/>
  <c r="CF17" i="5"/>
  <c r="CN17" i="5"/>
  <c r="M17" i="5"/>
  <c r="U17" i="5"/>
  <c r="AC17" i="5"/>
  <c r="AK17" i="5"/>
  <c r="AS17" i="5"/>
  <c r="BA17" i="5"/>
  <c r="BI17" i="5"/>
  <c r="BQ17" i="5"/>
  <c r="BY17" i="5"/>
  <c r="CG17" i="5"/>
  <c r="CO17" i="5"/>
  <c r="N17" i="5"/>
  <c r="V17" i="5"/>
  <c r="AD17" i="5"/>
  <c r="AL17" i="5"/>
  <c r="AT17" i="5"/>
  <c r="BB17" i="5"/>
  <c r="H17" i="5"/>
  <c r="P17" i="5"/>
  <c r="I17" i="5"/>
  <c r="Q17" i="5"/>
  <c r="Y17" i="5"/>
  <c r="AG17" i="5"/>
  <c r="AO17" i="5"/>
  <c r="AW17" i="5"/>
  <c r="BE17" i="5"/>
  <c r="BM17" i="5"/>
  <c r="BU17" i="5"/>
  <c r="CC17" i="5"/>
  <c r="CK17" i="5"/>
  <c r="Z17" i="5"/>
  <c r="AP17" i="5"/>
  <c r="BF17" i="5"/>
  <c r="BS17" i="5"/>
  <c r="CE17" i="5"/>
  <c r="G17" i="5"/>
  <c r="AA17" i="5"/>
  <c r="AQ17" i="5"/>
  <c r="BG17" i="5"/>
  <c r="BT17" i="5"/>
  <c r="CH17" i="5"/>
  <c r="J17" i="5"/>
  <c r="AE17" i="5"/>
  <c r="AU17" i="5"/>
  <c r="BJ17" i="5"/>
  <c r="BV17" i="5"/>
  <c r="CI17" i="5"/>
  <c r="O17" i="5"/>
  <c r="AF17" i="5"/>
  <c r="AV17" i="5"/>
  <c r="BK17" i="5"/>
  <c r="BW17" i="5"/>
  <c r="CJ17" i="5"/>
  <c r="R17" i="5"/>
  <c r="AH17" i="5"/>
  <c r="AX17" i="5"/>
  <c r="BL17" i="5"/>
  <c r="BZ17" i="5"/>
  <c r="CL17" i="5"/>
  <c r="S17" i="5"/>
  <c r="AI17" i="5"/>
  <c r="AY17" i="5"/>
  <c r="BN17" i="5"/>
  <c r="CA17" i="5"/>
  <c r="CM17" i="5"/>
  <c r="W17" i="5"/>
  <c r="AM17" i="5"/>
  <c r="BC17" i="5"/>
  <c r="BO17" i="5"/>
  <c r="CB17" i="5"/>
  <c r="CP17" i="5"/>
  <c r="X17" i="5"/>
  <c r="AN17" i="5"/>
  <c r="BD17" i="5"/>
  <c r="BR17" i="5"/>
  <c r="CD17" i="5"/>
  <c r="CQ17" i="5"/>
  <c r="L25" i="5"/>
  <c r="T25" i="5"/>
  <c r="AB25" i="5"/>
  <c r="AJ25" i="5"/>
  <c r="AR25" i="5"/>
  <c r="AZ25" i="5"/>
  <c r="BH25" i="5"/>
  <c r="BP25" i="5"/>
  <c r="BX25" i="5"/>
  <c r="CF25" i="5"/>
  <c r="CN25" i="5"/>
  <c r="M25" i="5"/>
  <c r="U25" i="5"/>
  <c r="AC25" i="5"/>
  <c r="AK25" i="5"/>
  <c r="AS25" i="5"/>
  <c r="BA25" i="5"/>
  <c r="BI25" i="5"/>
  <c r="BQ25" i="5"/>
  <c r="BY25" i="5"/>
  <c r="CG25" i="5"/>
  <c r="CO25" i="5"/>
  <c r="N25" i="5"/>
  <c r="V25" i="5"/>
  <c r="AD25" i="5"/>
  <c r="AL25" i="5"/>
  <c r="AT25" i="5"/>
  <c r="BB25" i="5"/>
  <c r="BJ25" i="5"/>
  <c r="BR25" i="5"/>
  <c r="BZ25" i="5"/>
  <c r="CH25" i="5"/>
  <c r="CP25" i="5"/>
  <c r="G25" i="5"/>
  <c r="O25" i="5"/>
  <c r="W25" i="5"/>
  <c r="AE25" i="5"/>
  <c r="R25" i="5"/>
  <c r="AH25" i="5"/>
  <c r="AV25" i="5"/>
  <c r="BG25" i="5"/>
  <c r="BU25" i="5"/>
  <c r="CI25" i="5"/>
  <c r="S25" i="5"/>
  <c r="AI25" i="5"/>
  <c r="AW25" i="5"/>
  <c r="BK25" i="5"/>
  <c r="BV25" i="5"/>
  <c r="CJ25" i="5"/>
  <c r="H25" i="5"/>
  <c r="X25" i="5"/>
  <c r="AM25" i="5"/>
  <c r="AX25" i="5"/>
  <c r="BL25" i="5"/>
  <c r="BW25" i="5"/>
  <c r="CK25" i="5"/>
  <c r="I25" i="5"/>
  <c r="Y25" i="5"/>
  <c r="AN25" i="5"/>
  <c r="AY25" i="5"/>
  <c r="BM25" i="5"/>
  <c r="CA25" i="5"/>
  <c r="CL25" i="5"/>
  <c r="J25" i="5"/>
  <c r="Z25" i="5"/>
  <c r="AO25" i="5"/>
  <c r="BC25" i="5"/>
  <c r="BN25" i="5"/>
  <c r="CB25" i="5"/>
  <c r="CM25" i="5"/>
  <c r="K25" i="5"/>
  <c r="AA25" i="5"/>
  <c r="AP25" i="5"/>
  <c r="BD25" i="5"/>
  <c r="BO25" i="5"/>
  <c r="CC25" i="5"/>
  <c r="CQ25" i="5"/>
  <c r="P25" i="5"/>
  <c r="AF25" i="5"/>
  <c r="AQ25" i="5"/>
  <c r="BE25" i="5"/>
  <c r="BS25" i="5"/>
  <c r="CD25" i="5"/>
  <c r="Q25" i="5"/>
  <c r="AG25" i="5"/>
  <c r="AU25" i="5"/>
  <c r="BF25" i="5"/>
  <c r="BT25" i="5"/>
  <c r="CE25" i="5"/>
  <c r="L33" i="5"/>
  <c r="T33" i="5"/>
  <c r="AB33" i="5"/>
  <c r="AJ33" i="5"/>
  <c r="AR33" i="5"/>
  <c r="AZ33" i="5"/>
  <c r="BH33" i="5"/>
  <c r="BP33" i="5"/>
  <c r="BX33" i="5"/>
  <c r="CF33" i="5"/>
  <c r="CN33" i="5"/>
  <c r="M33" i="5"/>
  <c r="U33" i="5"/>
  <c r="AC33" i="5"/>
  <c r="AK33" i="5"/>
  <c r="AS33" i="5"/>
  <c r="BA33" i="5"/>
  <c r="BI33" i="5"/>
  <c r="BQ33" i="5"/>
  <c r="BY33" i="5"/>
  <c r="CG33" i="5"/>
  <c r="CO33" i="5"/>
  <c r="N33" i="5"/>
  <c r="V33" i="5"/>
  <c r="AD33" i="5"/>
  <c r="AL33" i="5"/>
  <c r="AT33" i="5"/>
  <c r="BB33" i="5"/>
  <c r="BJ33" i="5"/>
  <c r="BR33" i="5"/>
  <c r="BZ33" i="5"/>
  <c r="CH33" i="5"/>
  <c r="CP33" i="5"/>
  <c r="G33" i="5"/>
  <c r="I33" i="5"/>
  <c r="Q33" i="5"/>
  <c r="Y33" i="5"/>
  <c r="AG33" i="5"/>
  <c r="AO33" i="5"/>
  <c r="AW33" i="5"/>
  <c r="BE33" i="5"/>
  <c r="BM33" i="5"/>
  <c r="BU33" i="5"/>
  <c r="CC33" i="5"/>
  <c r="CK33" i="5"/>
  <c r="S33" i="5"/>
  <c r="AI33" i="5"/>
  <c r="AY33" i="5"/>
  <c r="BO33" i="5"/>
  <c r="CE33" i="5"/>
  <c r="W33" i="5"/>
  <c r="AM33" i="5"/>
  <c r="BC33" i="5"/>
  <c r="BS33" i="5"/>
  <c r="CI33" i="5"/>
  <c r="H33" i="5"/>
  <c r="X33" i="5"/>
  <c r="AN33" i="5"/>
  <c r="BD33" i="5"/>
  <c r="BT33" i="5"/>
  <c r="CJ33" i="5"/>
  <c r="J33" i="5"/>
  <c r="Z33" i="5"/>
  <c r="AP33" i="5"/>
  <c r="BF33" i="5"/>
  <c r="BV33" i="5"/>
  <c r="CL33" i="5"/>
  <c r="K33" i="5"/>
  <c r="AA33" i="5"/>
  <c r="AQ33" i="5"/>
  <c r="BG33" i="5"/>
  <c r="BW33" i="5"/>
  <c r="CM33" i="5"/>
  <c r="O33" i="5"/>
  <c r="AE33" i="5"/>
  <c r="AU33" i="5"/>
  <c r="BK33" i="5"/>
  <c r="CA33" i="5"/>
  <c r="CQ33" i="5"/>
  <c r="P33" i="5"/>
  <c r="AF33" i="5"/>
  <c r="AV33" i="5"/>
  <c r="BL33" i="5"/>
  <c r="CB33" i="5"/>
  <c r="R33" i="5"/>
  <c r="AH33" i="5"/>
  <c r="AX33" i="5"/>
  <c r="BN33" i="5"/>
  <c r="CD33" i="5"/>
  <c r="J41" i="5"/>
  <c r="R41" i="5"/>
  <c r="Z41" i="5"/>
  <c r="AH41" i="5"/>
  <c r="AP41" i="5"/>
  <c r="AX41" i="5"/>
  <c r="BF41" i="5"/>
  <c r="BN41" i="5"/>
  <c r="BV41" i="5"/>
  <c r="CD41" i="5"/>
  <c r="CL41" i="5"/>
  <c r="K41" i="5"/>
  <c r="S41" i="5"/>
  <c r="AA41" i="5"/>
  <c r="AI41" i="5"/>
  <c r="AQ41" i="5"/>
  <c r="AY41" i="5"/>
  <c r="BG41" i="5"/>
  <c r="BO41" i="5"/>
  <c r="BW41" i="5"/>
  <c r="CE41" i="5"/>
  <c r="CM41" i="5"/>
  <c r="L41" i="5"/>
  <c r="T41" i="5"/>
  <c r="AB41" i="5"/>
  <c r="AJ41" i="5"/>
  <c r="AR41" i="5"/>
  <c r="AZ41" i="5"/>
  <c r="BH41" i="5"/>
  <c r="BP41" i="5"/>
  <c r="BX41" i="5"/>
  <c r="CF41" i="5"/>
  <c r="CN41" i="5"/>
  <c r="G41" i="5"/>
  <c r="M41" i="5"/>
  <c r="X41" i="5"/>
  <c r="AL41" i="5"/>
  <c r="AW41" i="5"/>
  <c r="BK41" i="5"/>
  <c r="BY41" i="5"/>
  <c r="CJ41" i="5"/>
  <c r="N41" i="5"/>
  <c r="Y41" i="5"/>
  <c r="AM41" i="5"/>
  <c r="BA41" i="5"/>
  <c r="BL41" i="5"/>
  <c r="BZ41" i="5"/>
  <c r="CK41" i="5"/>
  <c r="O41" i="5"/>
  <c r="AC41" i="5"/>
  <c r="AN41" i="5"/>
  <c r="BB41" i="5"/>
  <c r="BM41" i="5"/>
  <c r="CA41" i="5"/>
  <c r="CO41" i="5"/>
  <c r="P41" i="5"/>
  <c r="AD41" i="5"/>
  <c r="AO41" i="5"/>
  <c r="BC41" i="5"/>
  <c r="BQ41" i="5"/>
  <c r="CB41" i="5"/>
  <c r="CP41" i="5"/>
  <c r="Q41" i="5"/>
  <c r="AE41" i="5"/>
  <c r="AS41" i="5"/>
  <c r="BD41" i="5"/>
  <c r="BR41" i="5"/>
  <c r="CC41" i="5"/>
  <c r="CQ41" i="5"/>
  <c r="U41" i="5"/>
  <c r="AF41" i="5"/>
  <c r="AT41" i="5"/>
  <c r="BE41" i="5"/>
  <c r="BS41" i="5"/>
  <c r="CG41" i="5"/>
  <c r="H41" i="5"/>
  <c r="V41" i="5"/>
  <c r="AG41" i="5"/>
  <c r="AU41" i="5"/>
  <c r="BI41" i="5"/>
  <c r="BT41" i="5"/>
  <c r="CH41" i="5"/>
  <c r="I41" i="5"/>
  <c r="W41" i="5"/>
  <c r="AK41" i="5"/>
  <c r="AV41" i="5"/>
  <c r="BJ41" i="5"/>
  <c r="BU41" i="5"/>
  <c r="CI41" i="5"/>
  <c r="J49" i="5"/>
  <c r="R49" i="5"/>
  <c r="M49" i="5"/>
  <c r="V49" i="5"/>
  <c r="AD49" i="5"/>
  <c r="AL49" i="5"/>
  <c r="AT49" i="5"/>
  <c r="BB49" i="5"/>
  <c r="BJ49" i="5"/>
  <c r="BR49" i="5"/>
  <c r="BZ49" i="5"/>
  <c r="CH49" i="5"/>
  <c r="CP49" i="5"/>
  <c r="N49" i="5"/>
  <c r="W49" i="5"/>
  <c r="AE49" i="5"/>
  <c r="AM49" i="5"/>
  <c r="AU49" i="5"/>
  <c r="BC49" i="5"/>
  <c r="BK49" i="5"/>
  <c r="BS49" i="5"/>
  <c r="CA49" i="5"/>
  <c r="CI49" i="5"/>
  <c r="CQ49" i="5"/>
  <c r="O49" i="5"/>
  <c r="X49" i="5"/>
  <c r="AF49" i="5"/>
  <c r="AN49" i="5"/>
  <c r="AV49" i="5"/>
  <c r="BD49" i="5"/>
  <c r="BL49" i="5"/>
  <c r="BT49" i="5"/>
  <c r="CB49" i="5"/>
  <c r="CJ49" i="5"/>
  <c r="I49" i="5"/>
  <c r="S49" i="5"/>
  <c r="AA49" i="5"/>
  <c r="AI49" i="5"/>
  <c r="AQ49" i="5"/>
  <c r="AY49" i="5"/>
  <c r="BG49" i="5"/>
  <c r="BO49" i="5"/>
  <c r="BW49" i="5"/>
  <c r="CE49" i="5"/>
  <c r="CM49" i="5"/>
  <c r="K49" i="5"/>
  <c r="T49" i="5"/>
  <c r="AB49" i="5"/>
  <c r="AJ49" i="5"/>
  <c r="AR49" i="5"/>
  <c r="AZ49" i="5"/>
  <c r="BH49" i="5"/>
  <c r="BP49" i="5"/>
  <c r="BX49" i="5"/>
  <c r="CF49" i="5"/>
  <c r="CN49" i="5"/>
  <c r="L49" i="5"/>
  <c r="U49" i="5"/>
  <c r="AC49" i="5"/>
  <c r="AK49" i="5"/>
  <c r="AS49" i="5"/>
  <c r="BA49" i="5"/>
  <c r="BI49" i="5"/>
  <c r="BQ49" i="5"/>
  <c r="BY49" i="5"/>
  <c r="CG49" i="5"/>
  <c r="CO49" i="5"/>
  <c r="Y49" i="5"/>
  <c r="BE49" i="5"/>
  <c r="CK49" i="5"/>
  <c r="Z49" i="5"/>
  <c r="BF49" i="5"/>
  <c r="CL49" i="5"/>
  <c r="AG49" i="5"/>
  <c r="BM49" i="5"/>
  <c r="AH49" i="5"/>
  <c r="BN49" i="5"/>
  <c r="G49" i="5"/>
  <c r="AO49" i="5"/>
  <c r="BU49" i="5"/>
  <c r="H49" i="5"/>
  <c r="AP49" i="5"/>
  <c r="BV49" i="5"/>
  <c r="P49" i="5"/>
  <c r="AW49" i="5"/>
  <c r="CC49" i="5"/>
  <c r="Q49" i="5"/>
  <c r="AX49" i="5"/>
  <c r="CD49" i="5"/>
  <c r="I57" i="5"/>
  <c r="Q57" i="5"/>
  <c r="Y57" i="5"/>
  <c r="AG57" i="5"/>
  <c r="AO57" i="5"/>
  <c r="AW57" i="5"/>
  <c r="BE57" i="5"/>
  <c r="BM57" i="5"/>
  <c r="BU57" i="5"/>
  <c r="CC57" i="5"/>
  <c r="CK57" i="5"/>
  <c r="J57" i="5"/>
  <c r="R57" i="5"/>
  <c r="Z57" i="5"/>
  <c r="AH57" i="5"/>
  <c r="AP57" i="5"/>
  <c r="AX57" i="5"/>
  <c r="BF57" i="5"/>
  <c r="BN57" i="5"/>
  <c r="BV57" i="5"/>
  <c r="CD57" i="5"/>
  <c r="CL57" i="5"/>
  <c r="K57" i="5"/>
  <c r="S57" i="5"/>
  <c r="AA57" i="5"/>
  <c r="AI57" i="5"/>
  <c r="AQ57" i="5"/>
  <c r="AY57" i="5"/>
  <c r="BG57" i="5"/>
  <c r="BO57" i="5"/>
  <c r="BW57" i="5"/>
  <c r="CE57" i="5"/>
  <c r="CM57" i="5"/>
  <c r="L57" i="5"/>
  <c r="M57" i="5"/>
  <c r="U57" i="5"/>
  <c r="AC57" i="5"/>
  <c r="AK57" i="5"/>
  <c r="AS57" i="5"/>
  <c r="BA57" i="5"/>
  <c r="BI57" i="5"/>
  <c r="BQ57" i="5"/>
  <c r="BY57" i="5"/>
  <c r="CG57" i="5"/>
  <c r="CO57" i="5"/>
  <c r="W57" i="5"/>
  <c r="AM57" i="5"/>
  <c r="BC57" i="5"/>
  <c r="BS57" i="5"/>
  <c r="CI57" i="5"/>
  <c r="G57" i="5"/>
  <c r="X57" i="5"/>
  <c r="AN57" i="5"/>
  <c r="BD57" i="5"/>
  <c r="BT57" i="5"/>
  <c r="CJ57" i="5"/>
  <c r="H57" i="5"/>
  <c r="AB57" i="5"/>
  <c r="AR57" i="5"/>
  <c r="BH57" i="5"/>
  <c r="BX57" i="5"/>
  <c r="CN57" i="5"/>
  <c r="N57" i="5"/>
  <c r="AD57" i="5"/>
  <c r="AT57" i="5"/>
  <c r="BJ57" i="5"/>
  <c r="BZ57" i="5"/>
  <c r="CP57" i="5"/>
  <c r="O57" i="5"/>
  <c r="AE57" i="5"/>
  <c r="AU57" i="5"/>
  <c r="BK57" i="5"/>
  <c r="CA57" i="5"/>
  <c r="CQ57" i="5"/>
  <c r="P57" i="5"/>
  <c r="AF57" i="5"/>
  <c r="AV57" i="5"/>
  <c r="BL57" i="5"/>
  <c r="CB57" i="5"/>
  <c r="T57" i="5"/>
  <c r="AJ57" i="5"/>
  <c r="AZ57" i="5"/>
  <c r="BP57" i="5"/>
  <c r="CF57" i="5"/>
  <c r="V57" i="5"/>
  <c r="AL57" i="5"/>
  <c r="BB57" i="5"/>
  <c r="BR57" i="5"/>
  <c r="CH57" i="5"/>
  <c r="I65" i="5"/>
  <c r="Q65" i="5"/>
  <c r="Y65" i="5"/>
  <c r="AG65" i="5"/>
  <c r="AO65" i="5"/>
  <c r="AW65" i="5"/>
  <c r="BE65" i="5"/>
  <c r="BM65" i="5"/>
  <c r="BU65" i="5"/>
  <c r="CC65" i="5"/>
  <c r="CK65" i="5"/>
  <c r="J65" i="5"/>
  <c r="R65" i="5"/>
  <c r="Z65" i="5"/>
  <c r="AH65" i="5"/>
  <c r="AP65" i="5"/>
  <c r="AX65" i="5"/>
  <c r="BF65" i="5"/>
  <c r="BN65" i="5"/>
  <c r="BV65" i="5"/>
  <c r="CD65" i="5"/>
  <c r="CL65" i="5"/>
  <c r="K65" i="5"/>
  <c r="S65" i="5"/>
  <c r="AA65" i="5"/>
  <c r="AI65" i="5"/>
  <c r="AQ65" i="5"/>
  <c r="AY65" i="5"/>
  <c r="BG65" i="5"/>
  <c r="BO65" i="5"/>
  <c r="BW65" i="5"/>
  <c r="CE65" i="5"/>
  <c r="CM65" i="5"/>
  <c r="L65" i="5"/>
  <c r="T65" i="5"/>
  <c r="AB65" i="5"/>
  <c r="AJ65" i="5"/>
  <c r="AR65" i="5"/>
  <c r="AZ65" i="5"/>
  <c r="BH65" i="5"/>
  <c r="BP65" i="5"/>
  <c r="BX65" i="5"/>
  <c r="CF65" i="5"/>
  <c r="CN65" i="5"/>
  <c r="M65" i="5"/>
  <c r="U65" i="5"/>
  <c r="AC65" i="5"/>
  <c r="AK65" i="5"/>
  <c r="AS65" i="5"/>
  <c r="BA65" i="5"/>
  <c r="BI65" i="5"/>
  <c r="BQ65" i="5"/>
  <c r="BY65" i="5"/>
  <c r="CG65" i="5"/>
  <c r="CO65" i="5"/>
  <c r="N65" i="5"/>
  <c r="V65" i="5"/>
  <c r="AD65" i="5"/>
  <c r="AL65" i="5"/>
  <c r="AT65" i="5"/>
  <c r="BB65" i="5"/>
  <c r="BJ65" i="5"/>
  <c r="BR65" i="5"/>
  <c r="BZ65" i="5"/>
  <c r="CH65" i="5"/>
  <c r="CP65" i="5"/>
  <c r="G65" i="5"/>
  <c r="O65" i="5"/>
  <c r="W65" i="5"/>
  <c r="AE65" i="5"/>
  <c r="AM65" i="5"/>
  <c r="AU65" i="5"/>
  <c r="BC65" i="5"/>
  <c r="BK65" i="5"/>
  <c r="BS65" i="5"/>
  <c r="CA65" i="5"/>
  <c r="CI65" i="5"/>
  <c r="CQ65" i="5"/>
  <c r="H65" i="5"/>
  <c r="P65" i="5"/>
  <c r="X65" i="5"/>
  <c r="AF65" i="5"/>
  <c r="AN65" i="5"/>
  <c r="AV65" i="5"/>
  <c r="BD65" i="5"/>
  <c r="BL65" i="5"/>
  <c r="BT65" i="5"/>
  <c r="CB65" i="5"/>
  <c r="CJ65" i="5"/>
  <c r="J73" i="5"/>
  <c r="R73" i="5"/>
  <c r="Z73" i="5"/>
  <c r="AH73" i="5"/>
  <c r="AP73" i="5"/>
  <c r="AX73" i="5"/>
  <c r="BF73" i="5"/>
  <c r="BN73" i="5"/>
  <c r="BV73" i="5"/>
  <c r="CD73" i="5"/>
  <c r="K73" i="5"/>
  <c r="S73" i="5"/>
  <c r="AA73" i="5"/>
  <c r="AI73" i="5"/>
  <c r="AQ73" i="5"/>
  <c r="AY73" i="5"/>
  <c r="BG73" i="5"/>
  <c r="BO73" i="5"/>
  <c r="BW73" i="5"/>
  <c r="CE73" i="5"/>
  <c r="O73" i="5"/>
  <c r="Y73" i="5"/>
  <c r="AK73" i="5"/>
  <c r="AU73" i="5"/>
  <c r="BE73" i="5"/>
  <c r="BQ73" i="5"/>
  <c r="CA73" i="5"/>
  <c r="CK73" i="5"/>
  <c r="P73" i="5"/>
  <c r="AB73" i="5"/>
  <c r="AL73" i="5"/>
  <c r="AV73" i="5"/>
  <c r="BH73" i="5"/>
  <c r="BR73" i="5"/>
  <c r="CB73" i="5"/>
  <c r="CL73" i="5"/>
  <c r="G73" i="5"/>
  <c r="Q73" i="5"/>
  <c r="AC73" i="5"/>
  <c r="AM73" i="5"/>
  <c r="AW73" i="5"/>
  <c r="BI73" i="5"/>
  <c r="BS73" i="5"/>
  <c r="CC73" i="5"/>
  <c r="CM73" i="5"/>
  <c r="H73" i="5"/>
  <c r="T73" i="5"/>
  <c r="AD73" i="5"/>
  <c r="AN73" i="5"/>
  <c r="AZ73" i="5"/>
  <c r="BJ73" i="5"/>
  <c r="BT73" i="5"/>
  <c r="CF73" i="5"/>
  <c r="CN73" i="5"/>
  <c r="I73" i="5"/>
  <c r="U73" i="5"/>
  <c r="AE73" i="5"/>
  <c r="AO73" i="5"/>
  <c r="BA73" i="5"/>
  <c r="BK73" i="5"/>
  <c r="BU73" i="5"/>
  <c r="CG73" i="5"/>
  <c r="CO73" i="5"/>
  <c r="L73" i="5"/>
  <c r="V73" i="5"/>
  <c r="AF73" i="5"/>
  <c r="AR73" i="5"/>
  <c r="BB73" i="5"/>
  <c r="BL73" i="5"/>
  <c r="BX73" i="5"/>
  <c r="CH73" i="5"/>
  <c r="CP73" i="5"/>
  <c r="M73" i="5"/>
  <c r="W73" i="5"/>
  <c r="AG73" i="5"/>
  <c r="AS73" i="5"/>
  <c r="BC73" i="5"/>
  <c r="BM73" i="5"/>
  <c r="BY73" i="5"/>
  <c r="CI73" i="5"/>
  <c r="CQ73" i="5"/>
  <c r="N73" i="5"/>
  <c r="X73" i="5"/>
  <c r="AJ73" i="5"/>
  <c r="AT73" i="5"/>
  <c r="BD73" i="5"/>
  <c r="BP73" i="5"/>
  <c r="BZ73" i="5"/>
  <c r="CJ73" i="5"/>
  <c r="I81" i="5"/>
  <c r="Q81" i="5"/>
  <c r="Y81" i="5"/>
  <c r="AG81" i="5"/>
  <c r="AO81" i="5"/>
  <c r="AW81" i="5"/>
  <c r="BE81" i="5"/>
  <c r="BM81" i="5"/>
  <c r="BU81" i="5"/>
  <c r="CC81" i="5"/>
  <c r="CK81" i="5"/>
  <c r="J81" i="5"/>
  <c r="R81" i="5"/>
  <c r="Z81" i="5"/>
  <c r="AH81" i="5"/>
  <c r="AP81" i="5"/>
  <c r="AX81" i="5"/>
  <c r="BF81" i="5"/>
  <c r="BN81" i="5"/>
  <c r="BV81" i="5"/>
  <c r="CD81" i="5"/>
  <c r="CL81" i="5"/>
  <c r="K81" i="5"/>
  <c r="S81" i="5"/>
  <c r="AA81" i="5"/>
  <c r="AI81" i="5"/>
  <c r="AQ81" i="5"/>
  <c r="AY81" i="5"/>
  <c r="BG81" i="5"/>
  <c r="BO81" i="5"/>
  <c r="BW81" i="5"/>
  <c r="CE81" i="5"/>
  <c r="CM81" i="5"/>
  <c r="L81" i="5"/>
  <c r="T81" i="5"/>
  <c r="AB81" i="5"/>
  <c r="AJ81" i="5"/>
  <c r="AR81" i="5"/>
  <c r="AZ81" i="5"/>
  <c r="BH81" i="5"/>
  <c r="BP81" i="5"/>
  <c r="BX81" i="5"/>
  <c r="CF81" i="5"/>
  <c r="CN81" i="5"/>
  <c r="M81" i="5"/>
  <c r="U81" i="5"/>
  <c r="AC81" i="5"/>
  <c r="AK81" i="5"/>
  <c r="AS81" i="5"/>
  <c r="BA81" i="5"/>
  <c r="BI81" i="5"/>
  <c r="BQ81" i="5"/>
  <c r="BY81" i="5"/>
  <c r="CG81" i="5"/>
  <c r="CO81" i="5"/>
  <c r="N81" i="5"/>
  <c r="V81" i="5"/>
  <c r="AD81" i="5"/>
  <c r="AL81" i="5"/>
  <c r="AT81" i="5"/>
  <c r="BB81" i="5"/>
  <c r="BJ81" i="5"/>
  <c r="BR81" i="5"/>
  <c r="BZ81" i="5"/>
  <c r="CH81" i="5"/>
  <c r="CP81" i="5"/>
  <c r="G81" i="5"/>
  <c r="O81" i="5"/>
  <c r="W81" i="5"/>
  <c r="AE81" i="5"/>
  <c r="AM81" i="5"/>
  <c r="AU81" i="5"/>
  <c r="BC81" i="5"/>
  <c r="BK81" i="5"/>
  <c r="BS81" i="5"/>
  <c r="CA81" i="5"/>
  <c r="CI81" i="5"/>
  <c r="CQ81" i="5"/>
  <c r="H81" i="5"/>
  <c r="P81" i="5"/>
  <c r="X81" i="5"/>
  <c r="AF81" i="5"/>
  <c r="AN81" i="5"/>
  <c r="AV81" i="5"/>
  <c r="BD81" i="5"/>
  <c r="BL81" i="5"/>
  <c r="BT81" i="5"/>
  <c r="CB81" i="5"/>
  <c r="CJ81" i="5"/>
  <c r="N9" i="5"/>
  <c r="V9" i="5"/>
  <c r="AD9" i="5"/>
  <c r="AL9" i="5"/>
  <c r="AT9" i="5"/>
  <c r="BB9" i="5"/>
  <c r="BJ9" i="5"/>
  <c r="G9" i="5"/>
  <c r="O9" i="5"/>
  <c r="W9" i="5"/>
  <c r="AE9" i="5"/>
  <c r="AM9" i="5"/>
  <c r="AU9" i="5"/>
  <c r="BC9" i="5"/>
  <c r="BK9" i="5"/>
  <c r="BS9" i="5"/>
  <c r="H9" i="5"/>
  <c r="P9" i="5"/>
  <c r="X9" i="5"/>
  <c r="AF9" i="5"/>
  <c r="AN9" i="5"/>
  <c r="AV9" i="5"/>
  <c r="BD9" i="5"/>
  <c r="BL9" i="5"/>
  <c r="BT9" i="5"/>
  <c r="CB9" i="5"/>
  <c r="I9" i="5"/>
  <c r="T9" i="5"/>
  <c r="AH9" i="5"/>
  <c r="AS9" i="5"/>
  <c r="BG9" i="5"/>
  <c r="BR9" i="5"/>
  <c r="CC9" i="5"/>
  <c r="CK9" i="5"/>
  <c r="J9" i="5"/>
  <c r="U9" i="5"/>
  <c r="AI9" i="5"/>
  <c r="AW9" i="5"/>
  <c r="BH9" i="5"/>
  <c r="BU9" i="5"/>
  <c r="CD9" i="5"/>
  <c r="CL9" i="5"/>
  <c r="K9" i="5"/>
  <c r="Y9" i="5"/>
  <c r="AJ9" i="5"/>
  <c r="AX9" i="5"/>
  <c r="BI9" i="5"/>
  <c r="BV9" i="5"/>
  <c r="CE9" i="5"/>
  <c r="CM9" i="5"/>
  <c r="AB9" i="5"/>
  <c r="AY9" i="5"/>
  <c r="BP9" i="5"/>
  <c r="CG9" i="5"/>
  <c r="L9" i="5"/>
  <c r="AC9" i="5"/>
  <c r="AZ9" i="5"/>
  <c r="BQ9" i="5"/>
  <c r="CH9" i="5"/>
  <c r="M9" i="5"/>
  <c r="AG9" i="5"/>
  <c r="BA9" i="5"/>
  <c r="BW9" i="5"/>
  <c r="CI9" i="5"/>
  <c r="Q9" i="5"/>
  <c r="AK9" i="5"/>
  <c r="BE9" i="5"/>
  <c r="BX9" i="5"/>
  <c r="CJ9" i="5"/>
  <c r="R9" i="5"/>
  <c r="AO9" i="5"/>
  <c r="BF9" i="5"/>
  <c r="BY9" i="5"/>
  <c r="CN9" i="5"/>
  <c r="S9" i="5"/>
  <c r="AP9" i="5"/>
  <c r="BM9" i="5"/>
  <c r="BZ9" i="5"/>
  <c r="CO9" i="5"/>
  <c r="Z9" i="5"/>
  <c r="AQ9" i="5"/>
  <c r="BN9" i="5"/>
  <c r="CA9" i="5"/>
  <c r="CP9" i="5"/>
  <c r="AA9" i="5"/>
  <c r="AR9" i="5"/>
  <c r="BO9" i="5"/>
  <c r="CF9" i="5"/>
  <c r="CQ9" i="5"/>
  <c r="I6" i="5"/>
  <c r="Q6" i="5"/>
  <c r="Y6" i="5"/>
  <c r="AG6" i="5"/>
  <c r="AO6" i="5"/>
  <c r="AW6" i="5"/>
  <c r="BE6" i="5"/>
  <c r="K6" i="5"/>
  <c r="T6" i="5"/>
  <c r="AC6" i="5"/>
  <c r="AL6" i="5"/>
  <c r="AU6" i="5"/>
  <c r="BD6" i="5"/>
  <c r="BM6" i="5"/>
  <c r="BU6" i="5"/>
  <c r="CC6" i="5"/>
  <c r="CK6" i="5"/>
  <c r="L6" i="5"/>
  <c r="U6" i="5"/>
  <c r="AD6" i="5"/>
  <c r="AM6" i="5"/>
  <c r="AV6" i="5"/>
  <c r="BF6" i="5"/>
  <c r="BN6" i="5"/>
  <c r="BV6" i="5"/>
  <c r="CD6" i="5"/>
  <c r="CL6" i="5"/>
  <c r="M6" i="5"/>
  <c r="V6" i="5"/>
  <c r="AE6" i="5"/>
  <c r="AN6" i="5"/>
  <c r="AX6" i="5"/>
  <c r="BG6" i="5"/>
  <c r="BO6" i="5"/>
  <c r="BW6" i="5"/>
  <c r="CE6" i="5"/>
  <c r="CM6" i="5"/>
  <c r="N6" i="5"/>
  <c r="AA6" i="5"/>
  <c r="AQ6" i="5"/>
  <c r="BC6" i="5"/>
  <c r="BR6" i="5"/>
  <c r="CF6" i="5"/>
  <c r="CQ6" i="5"/>
  <c r="O6" i="5"/>
  <c r="AB6" i="5"/>
  <c r="AR6" i="5"/>
  <c r="BH6" i="5"/>
  <c r="BS6" i="5"/>
  <c r="CG6" i="5"/>
  <c r="P6" i="5"/>
  <c r="AF6" i="5"/>
  <c r="AS6" i="5"/>
  <c r="BI6" i="5"/>
  <c r="BT6" i="5"/>
  <c r="CH6" i="5"/>
  <c r="R6" i="5"/>
  <c r="AH6" i="5"/>
  <c r="AT6" i="5"/>
  <c r="BJ6" i="5"/>
  <c r="BX6" i="5"/>
  <c r="CI6" i="5"/>
  <c r="S6" i="5"/>
  <c r="AI6" i="5"/>
  <c r="AY6" i="5"/>
  <c r="BK6" i="5"/>
  <c r="BY6" i="5"/>
  <c r="CJ6" i="5"/>
  <c r="G6" i="5"/>
  <c r="W6" i="5"/>
  <c r="AJ6" i="5"/>
  <c r="AZ6" i="5"/>
  <c r="BL6" i="5"/>
  <c r="BZ6" i="5"/>
  <c r="CN6" i="5"/>
  <c r="H6" i="5"/>
  <c r="X6" i="5"/>
  <c r="AK6" i="5"/>
  <c r="BA6" i="5"/>
  <c r="BP6" i="5"/>
  <c r="CA6" i="5"/>
  <c r="CO6" i="5"/>
  <c r="J6" i="5"/>
  <c r="Z6" i="5"/>
  <c r="AP6" i="5"/>
  <c r="BB6" i="5"/>
  <c r="BQ6" i="5"/>
  <c r="CB6" i="5"/>
  <c r="CP6" i="5"/>
  <c r="N14" i="5"/>
  <c r="V14" i="5"/>
  <c r="AD14" i="5"/>
  <c r="AL14" i="5"/>
  <c r="AT14" i="5"/>
  <c r="BB14" i="5"/>
  <c r="BJ14" i="5"/>
  <c r="BR14" i="5"/>
  <c r="BZ14" i="5"/>
  <c r="CH14" i="5"/>
  <c r="CP14" i="5"/>
  <c r="G14" i="5"/>
  <c r="O14" i="5"/>
  <c r="W14" i="5"/>
  <c r="AE14" i="5"/>
  <c r="AM14" i="5"/>
  <c r="AU14" i="5"/>
  <c r="BC14" i="5"/>
  <c r="BK14" i="5"/>
  <c r="BS14" i="5"/>
  <c r="CA14" i="5"/>
  <c r="CI14" i="5"/>
  <c r="CQ14" i="5"/>
  <c r="H14" i="5"/>
  <c r="P14" i="5"/>
  <c r="X14" i="5"/>
  <c r="AF14" i="5"/>
  <c r="AN14" i="5"/>
  <c r="AV14" i="5"/>
  <c r="BD14" i="5"/>
  <c r="BL14" i="5"/>
  <c r="BT14" i="5"/>
  <c r="CB14" i="5"/>
  <c r="CJ14" i="5"/>
  <c r="I14" i="5"/>
  <c r="Q14" i="5"/>
  <c r="Y14" i="5"/>
  <c r="AG14" i="5"/>
  <c r="AO14" i="5"/>
  <c r="AW14" i="5"/>
  <c r="BE14" i="5"/>
  <c r="BM14" i="5"/>
  <c r="BU14" i="5"/>
  <c r="CC14" i="5"/>
  <c r="CK14" i="5"/>
  <c r="J14" i="5"/>
  <c r="R14" i="5"/>
  <c r="Z14" i="5"/>
  <c r="AH14" i="5"/>
  <c r="AP14" i="5"/>
  <c r="AX14" i="5"/>
  <c r="BF14" i="5"/>
  <c r="BN14" i="5"/>
  <c r="BV14" i="5"/>
  <c r="CD14" i="5"/>
  <c r="CL14" i="5"/>
  <c r="K14" i="5"/>
  <c r="S14" i="5"/>
  <c r="AA14" i="5"/>
  <c r="AI14" i="5"/>
  <c r="AQ14" i="5"/>
  <c r="AY14" i="5"/>
  <c r="BG14" i="5"/>
  <c r="BO14" i="5"/>
  <c r="BW14" i="5"/>
  <c r="CE14" i="5"/>
  <c r="CM14" i="5"/>
  <c r="L14" i="5"/>
  <c r="T14" i="5"/>
  <c r="AB14" i="5"/>
  <c r="AJ14" i="5"/>
  <c r="AR14" i="5"/>
  <c r="AZ14" i="5"/>
  <c r="BH14" i="5"/>
  <c r="BP14" i="5"/>
  <c r="BX14" i="5"/>
  <c r="CF14" i="5"/>
  <c r="CN14" i="5"/>
  <c r="M14" i="5"/>
  <c r="U14" i="5"/>
  <c r="AC14" i="5"/>
  <c r="AK14" i="5"/>
  <c r="AS14" i="5"/>
  <c r="BA14" i="5"/>
  <c r="BI14" i="5"/>
  <c r="BQ14" i="5"/>
  <c r="BY14" i="5"/>
  <c r="CG14" i="5"/>
  <c r="CO14" i="5"/>
  <c r="G22" i="5"/>
  <c r="O22" i="5"/>
  <c r="W22" i="5"/>
  <c r="AE22" i="5"/>
  <c r="AM22" i="5"/>
  <c r="AU22" i="5"/>
  <c r="BC22" i="5"/>
  <c r="BK22" i="5"/>
  <c r="BS22" i="5"/>
  <c r="CA22" i="5"/>
  <c r="CI22" i="5"/>
  <c r="CQ22" i="5"/>
  <c r="H22" i="5"/>
  <c r="P22" i="5"/>
  <c r="X22" i="5"/>
  <c r="AF22" i="5"/>
  <c r="AN22" i="5"/>
  <c r="AV22" i="5"/>
  <c r="BD22" i="5"/>
  <c r="BL22" i="5"/>
  <c r="BT22" i="5"/>
  <c r="CB22" i="5"/>
  <c r="CJ22" i="5"/>
  <c r="I22" i="5"/>
  <c r="Q22" i="5"/>
  <c r="Y22" i="5"/>
  <c r="AG22" i="5"/>
  <c r="AO22" i="5"/>
  <c r="AW22" i="5"/>
  <c r="BE22" i="5"/>
  <c r="BM22" i="5"/>
  <c r="BU22" i="5"/>
  <c r="CC22" i="5"/>
  <c r="CK22" i="5"/>
  <c r="J22" i="5"/>
  <c r="R22" i="5"/>
  <c r="Z22" i="5"/>
  <c r="AH22" i="5"/>
  <c r="AP22" i="5"/>
  <c r="AX22" i="5"/>
  <c r="BF22" i="5"/>
  <c r="BN22" i="5"/>
  <c r="BV22" i="5"/>
  <c r="CD22" i="5"/>
  <c r="CL22" i="5"/>
  <c r="K22" i="5"/>
  <c r="S22" i="5"/>
  <c r="AA22" i="5"/>
  <c r="AI22" i="5"/>
  <c r="AQ22" i="5"/>
  <c r="AY22" i="5"/>
  <c r="BG22" i="5"/>
  <c r="BO22" i="5"/>
  <c r="BW22" i="5"/>
  <c r="CE22" i="5"/>
  <c r="CM22" i="5"/>
  <c r="L22" i="5"/>
  <c r="T22" i="5"/>
  <c r="AB22" i="5"/>
  <c r="AJ22" i="5"/>
  <c r="AR22" i="5"/>
  <c r="AZ22" i="5"/>
  <c r="BH22" i="5"/>
  <c r="BP22" i="5"/>
  <c r="BX22" i="5"/>
  <c r="CF22" i="5"/>
  <c r="CN22" i="5"/>
  <c r="M22" i="5"/>
  <c r="U22" i="5"/>
  <c r="AC22" i="5"/>
  <c r="AK22" i="5"/>
  <c r="AS22" i="5"/>
  <c r="BA22" i="5"/>
  <c r="BI22" i="5"/>
  <c r="BQ22" i="5"/>
  <c r="BY22" i="5"/>
  <c r="CG22" i="5"/>
  <c r="CO22" i="5"/>
  <c r="AT22" i="5"/>
  <c r="BB22" i="5"/>
  <c r="BJ22" i="5"/>
  <c r="BR22" i="5"/>
  <c r="N22" i="5"/>
  <c r="BZ22" i="5"/>
  <c r="V22" i="5"/>
  <c r="CH22" i="5"/>
  <c r="AD22" i="5"/>
  <c r="CP22" i="5"/>
  <c r="AL22" i="5"/>
  <c r="G30" i="5"/>
  <c r="O30" i="5"/>
  <c r="W30" i="5"/>
  <c r="AE30" i="5"/>
  <c r="AM30" i="5"/>
  <c r="AU30" i="5"/>
  <c r="BC30" i="5"/>
  <c r="BK30" i="5"/>
  <c r="BS30" i="5"/>
  <c r="CA30" i="5"/>
  <c r="H30" i="5"/>
  <c r="P30" i="5"/>
  <c r="X30" i="5"/>
  <c r="AF30" i="5"/>
  <c r="AN30" i="5"/>
  <c r="AV30" i="5"/>
  <c r="BD30" i="5"/>
  <c r="BL30" i="5"/>
  <c r="BT30" i="5"/>
  <c r="CB30" i="5"/>
  <c r="CJ30" i="5"/>
  <c r="I30" i="5"/>
  <c r="Q30" i="5"/>
  <c r="Y30" i="5"/>
  <c r="AG30" i="5"/>
  <c r="AO30" i="5"/>
  <c r="AW30" i="5"/>
  <c r="BE30" i="5"/>
  <c r="BM30" i="5"/>
  <c r="BU30" i="5"/>
  <c r="L30" i="5"/>
  <c r="Z30" i="5"/>
  <c r="AK30" i="5"/>
  <c r="AY30" i="5"/>
  <c r="BJ30" i="5"/>
  <c r="BX30" i="5"/>
  <c r="CH30" i="5"/>
  <c r="CQ30" i="5"/>
  <c r="M30" i="5"/>
  <c r="AA30" i="5"/>
  <c r="AL30" i="5"/>
  <c r="AZ30" i="5"/>
  <c r="BN30" i="5"/>
  <c r="BY30" i="5"/>
  <c r="CI30" i="5"/>
  <c r="N30" i="5"/>
  <c r="AB30" i="5"/>
  <c r="AP30" i="5"/>
  <c r="BA30" i="5"/>
  <c r="BO30" i="5"/>
  <c r="BZ30" i="5"/>
  <c r="CK30" i="5"/>
  <c r="R30" i="5"/>
  <c r="AC30" i="5"/>
  <c r="AQ30" i="5"/>
  <c r="BB30" i="5"/>
  <c r="BP30" i="5"/>
  <c r="CC30" i="5"/>
  <c r="CL30" i="5"/>
  <c r="S30" i="5"/>
  <c r="AD30" i="5"/>
  <c r="AR30" i="5"/>
  <c r="BF30" i="5"/>
  <c r="BQ30" i="5"/>
  <c r="CD30" i="5"/>
  <c r="CM30" i="5"/>
  <c r="T30" i="5"/>
  <c r="AH30" i="5"/>
  <c r="AS30" i="5"/>
  <c r="BG30" i="5"/>
  <c r="BR30" i="5"/>
  <c r="CE30" i="5"/>
  <c r="CN30" i="5"/>
  <c r="J30" i="5"/>
  <c r="U30" i="5"/>
  <c r="AI30" i="5"/>
  <c r="AT30" i="5"/>
  <c r="BH30" i="5"/>
  <c r="BV30" i="5"/>
  <c r="CF30" i="5"/>
  <c r="CO30" i="5"/>
  <c r="K30" i="5"/>
  <c r="V30" i="5"/>
  <c r="AJ30" i="5"/>
  <c r="AX30" i="5"/>
  <c r="BI30" i="5"/>
  <c r="BW30" i="5"/>
  <c r="CG30" i="5"/>
  <c r="CP30" i="5"/>
  <c r="M46" i="5"/>
  <c r="U46" i="5"/>
  <c r="AC46" i="5"/>
  <c r="AK46" i="5"/>
  <c r="AS46" i="5"/>
  <c r="BA46" i="5"/>
  <c r="BI46" i="5"/>
  <c r="BQ46" i="5"/>
  <c r="BY46" i="5"/>
  <c r="CG46" i="5"/>
  <c r="CO46" i="5"/>
  <c r="G46" i="5"/>
  <c r="O46" i="5"/>
  <c r="W46" i="5"/>
  <c r="L46" i="5"/>
  <c r="X46" i="5"/>
  <c r="AG46" i="5"/>
  <c r="AP46" i="5"/>
  <c r="AY46" i="5"/>
  <c r="BH46" i="5"/>
  <c r="BR46" i="5"/>
  <c r="CA46" i="5"/>
  <c r="CJ46" i="5"/>
  <c r="N46" i="5"/>
  <c r="Y46" i="5"/>
  <c r="AH46" i="5"/>
  <c r="AQ46" i="5"/>
  <c r="AZ46" i="5"/>
  <c r="BJ46" i="5"/>
  <c r="BS46" i="5"/>
  <c r="CB46" i="5"/>
  <c r="CK46" i="5"/>
  <c r="P46" i="5"/>
  <c r="Z46" i="5"/>
  <c r="AI46" i="5"/>
  <c r="AR46" i="5"/>
  <c r="BB46" i="5"/>
  <c r="BK46" i="5"/>
  <c r="BT46" i="5"/>
  <c r="CC46" i="5"/>
  <c r="CL46" i="5"/>
  <c r="Q46" i="5"/>
  <c r="AA46" i="5"/>
  <c r="AJ46" i="5"/>
  <c r="AT46" i="5"/>
  <c r="BC46" i="5"/>
  <c r="BL46" i="5"/>
  <c r="BU46" i="5"/>
  <c r="CD46" i="5"/>
  <c r="CM46" i="5"/>
  <c r="H46" i="5"/>
  <c r="R46" i="5"/>
  <c r="AB46" i="5"/>
  <c r="AL46" i="5"/>
  <c r="AU46" i="5"/>
  <c r="BD46" i="5"/>
  <c r="BM46" i="5"/>
  <c r="BV46" i="5"/>
  <c r="CE46" i="5"/>
  <c r="CN46" i="5"/>
  <c r="I46" i="5"/>
  <c r="S46" i="5"/>
  <c r="AD46" i="5"/>
  <c r="AM46" i="5"/>
  <c r="AV46" i="5"/>
  <c r="BE46" i="5"/>
  <c r="BN46" i="5"/>
  <c r="BW46" i="5"/>
  <c r="CF46" i="5"/>
  <c r="CP46" i="5"/>
  <c r="J46" i="5"/>
  <c r="T46" i="5"/>
  <c r="AE46" i="5"/>
  <c r="AN46" i="5"/>
  <c r="AW46" i="5"/>
  <c r="BF46" i="5"/>
  <c r="BO46" i="5"/>
  <c r="BX46" i="5"/>
  <c r="CH46" i="5"/>
  <c r="CQ46" i="5"/>
  <c r="K46" i="5"/>
  <c r="V46" i="5"/>
  <c r="AF46" i="5"/>
  <c r="AO46" i="5"/>
  <c r="AX46" i="5"/>
  <c r="BG46" i="5"/>
  <c r="BP46" i="5"/>
  <c r="BZ46" i="5"/>
  <c r="CI46" i="5"/>
  <c r="L54" i="5"/>
  <c r="T54" i="5"/>
  <c r="AB54" i="5"/>
  <c r="AJ54" i="5"/>
  <c r="AR54" i="5"/>
  <c r="AZ54" i="5"/>
  <c r="BH54" i="5"/>
  <c r="BP54" i="5"/>
  <c r="BX54" i="5"/>
  <c r="CF54" i="5"/>
  <c r="CN54" i="5"/>
  <c r="M54" i="5"/>
  <c r="U54" i="5"/>
  <c r="AC54" i="5"/>
  <c r="AK54" i="5"/>
  <c r="AS54" i="5"/>
  <c r="BA54" i="5"/>
  <c r="BI54" i="5"/>
  <c r="BQ54" i="5"/>
  <c r="BY54" i="5"/>
  <c r="CG54" i="5"/>
  <c r="CO54" i="5"/>
  <c r="N54" i="5"/>
  <c r="V54" i="5"/>
  <c r="AD54" i="5"/>
  <c r="AL54" i="5"/>
  <c r="AT54" i="5"/>
  <c r="BB54" i="5"/>
  <c r="BJ54" i="5"/>
  <c r="BR54" i="5"/>
  <c r="BZ54" i="5"/>
  <c r="CH54" i="5"/>
  <c r="CP54" i="5"/>
  <c r="G54" i="5"/>
  <c r="O54" i="5"/>
  <c r="W54" i="5"/>
  <c r="AE54" i="5"/>
  <c r="AM54" i="5"/>
  <c r="AU54" i="5"/>
  <c r="BC54" i="5"/>
  <c r="BK54" i="5"/>
  <c r="BS54" i="5"/>
  <c r="CA54" i="5"/>
  <c r="CI54" i="5"/>
  <c r="CQ54" i="5"/>
  <c r="H54" i="5"/>
  <c r="P54" i="5"/>
  <c r="X54" i="5"/>
  <c r="AF54" i="5"/>
  <c r="AN54" i="5"/>
  <c r="AV54" i="5"/>
  <c r="BD54" i="5"/>
  <c r="BL54" i="5"/>
  <c r="BT54" i="5"/>
  <c r="CB54" i="5"/>
  <c r="CJ54" i="5"/>
  <c r="I54" i="5"/>
  <c r="Q54" i="5"/>
  <c r="Y54" i="5"/>
  <c r="AG54" i="5"/>
  <c r="AO54" i="5"/>
  <c r="AW54" i="5"/>
  <c r="BE54" i="5"/>
  <c r="BM54" i="5"/>
  <c r="BU54" i="5"/>
  <c r="CC54" i="5"/>
  <c r="CK54" i="5"/>
  <c r="J54" i="5"/>
  <c r="R54" i="5"/>
  <c r="Z54" i="5"/>
  <c r="AH54" i="5"/>
  <c r="AP54" i="5"/>
  <c r="AX54" i="5"/>
  <c r="BF54" i="5"/>
  <c r="BN54" i="5"/>
  <c r="BV54" i="5"/>
  <c r="CD54" i="5"/>
  <c r="CL54" i="5"/>
  <c r="AA54" i="5"/>
  <c r="CM54" i="5"/>
  <c r="AI54" i="5"/>
  <c r="AQ54" i="5"/>
  <c r="AY54" i="5"/>
  <c r="BG54" i="5"/>
  <c r="BO54" i="5"/>
  <c r="K54" i="5"/>
  <c r="BW54" i="5"/>
  <c r="S54" i="5"/>
  <c r="CE54" i="5"/>
  <c r="L62" i="5"/>
  <c r="T62" i="5"/>
  <c r="AB62" i="5"/>
  <c r="AJ62" i="5"/>
  <c r="AR62" i="5"/>
  <c r="AZ62" i="5"/>
  <c r="BH62" i="5"/>
  <c r="BP62" i="5"/>
  <c r="BX62" i="5"/>
  <c r="CF62" i="5"/>
  <c r="M62" i="5"/>
  <c r="U62" i="5"/>
  <c r="AC62" i="5"/>
  <c r="AK62" i="5"/>
  <c r="AS62" i="5"/>
  <c r="BA62" i="5"/>
  <c r="BI62" i="5"/>
  <c r="BQ62" i="5"/>
  <c r="BY62" i="5"/>
  <c r="CG62" i="5"/>
  <c r="CO62" i="5"/>
  <c r="N62" i="5"/>
  <c r="V62" i="5"/>
  <c r="AD62" i="5"/>
  <c r="AL62" i="5"/>
  <c r="AT62" i="5"/>
  <c r="BB62" i="5"/>
  <c r="BJ62" i="5"/>
  <c r="BR62" i="5"/>
  <c r="BZ62" i="5"/>
  <c r="CH62" i="5"/>
  <c r="CP62" i="5"/>
  <c r="G62" i="5"/>
  <c r="R62" i="5"/>
  <c r="AF62" i="5"/>
  <c r="AQ62" i="5"/>
  <c r="BE62" i="5"/>
  <c r="BS62" i="5"/>
  <c r="CD62" i="5"/>
  <c r="CQ62" i="5"/>
  <c r="H62" i="5"/>
  <c r="S62" i="5"/>
  <c r="AG62" i="5"/>
  <c r="AU62" i="5"/>
  <c r="BF62" i="5"/>
  <c r="BT62" i="5"/>
  <c r="CE62" i="5"/>
  <c r="I62" i="5"/>
  <c r="W62" i="5"/>
  <c r="AH62" i="5"/>
  <c r="AV62" i="5"/>
  <c r="BG62" i="5"/>
  <c r="BU62" i="5"/>
  <c r="CI62" i="5"/>
  <c r="J62" i="5"/>
  <c r="X62" i="5"/>
  <c r="AI62" i="5"/>
  <c r="AW62" i="5"/>
  <c r="BK62" i="5"/>
  <c r="BV62" i="5"/>
  <c r="CJ62" i="5"/>
  <c r="K62" i="5"/>
  <c r="Y62" i="5"/>
  <c r="AM62" i="5"/>
  <c r="AX62" i="5"/>
  <c r="BL62" i="5"/>
  <c r="BW62" i="5"/>
  <c r="CK62" i="5"/>
  <c r="O62" i="5"/>
  <c r="Z62" i="5"/>
  <c r="AN62" i="5"/>
  <c r="AY62" i="5"/>
  <c r="BM62" i="5"/>
  <c r="CA62" i="5"/>
  <c r="CL62" i="5"/>
  <c r="P62" i="5"/>
  <c r="AA62" i="5"/>
  <c r="AO62" i="5"/>
  <c r="BC62" i="5"/>
  <c r="BN62" i="5"/>
  <c r="CB62" i="5"/>
  <c r="CM62" i="5"/>
  <c r="Q62" i="5"/>
  <c r="AE62" i="5"/>
  <c r="AP62" i="5"/>
  <c r="BD62" i="5"/>
  <c r="BO62" i="5"/>
  <c r="CC62" i="5"/>
  <c r="CN62" i="5"/>
  <c r="L70" i="5"/>
  <c r="M70" i="5"/>
  <c r="U70" i="5"/>
  <c r="AC70" i="5"/>
  <c r="AK70" i="5"/>
  <c r="AS70" i="5"/>
  <c r="BA70" i="5"/>
  <c r="BI70" i="5"/>
  <c r="BQ70" i="5"/>
  <c r="BY70" i="5"/>
  <c r="CG70" i="5"/>
  <c r="CO70" i="5"/>
  <c r="N70" i="5"/>
  <c r="V70" i="5"/>
  <c r="AD70" i="5"/>
  <c r="AL70" i="5"/>
  <c r="AT70" i="5"/>
  <c r="BB70" i="5"/>
  <c r="BJ70" i="5"/>
  <c r="BR70" i="5"/>
  <c r="BZ70" i="5"/>
  <c r="CH70" i="5"/>
  <c r="CP70" i="5"/>
  <c r="G70" i="5"/>
  <c r="O70" i="5"/>
  <c r="W70" i="5"/>
  <c r="AE70" i="5"/>
  <c r="AM70" i="5"/>
  <c r="AU70" i="5"/>
  <c r="BC70" i="5"/>
  <c r="BK70" i="5"/>
  <c r="BS70" i="5"/>
  <c r="CA70" i="5"/>
  <c r="CI70" i="5"/>
  <c r="CQ70" i="5"/>
  <c r="H70" i="5"/>
  <c r="P70" i="5"/>
  <c r="X70" i="5"/>
  <c r="AF70" i="5"/>
  <c r="AN70" i="5"/>
  <c r="AV70" i="5"/>
  <c r="BD70" i="5"/>
  <c r="BL70" i="5"/>
  <c r="BT70" i="5"/>
  <c r="CB70" i="5"/>
  <c r="CJ70" i="5"/>
  <c r="I70" i="5"/>
  <c r="Q70" i="5"/>
  <c r="Y70" i="5"/>
  <c r="AG70" i="5"/>
  <c r="AO70" i="5"/>
  <c r="AW70" i="5"/>
  <c r="BE70" i="5"/>
  <c r="BM70" i="5"/>
  <c r="BU70" i="5"/>
  <c r="CC70" i="5"/>
  <c r="CK70" i="5"/>
  <c r="J70" i="5"/>
  <c r="R70" i="5"/>
  <c r="Z70" i="5"/>
  <c r="AH70" i="5"/>
  <c r="AP70" i="5"/>
  <c r="AX70" i="5"/>
  <c r="BF70" i="5"/>
  <c r="BN70" i="5"/>
  <c r="BV70" i="5"/>
  <c r="CD70" i="5"/>
  <c r="CL70" i="5"/>
  <c r="AB70" i="5"/>
  <c r="BH70" i="5"/>
  <c r="CN70" i="5"/>
  <c r="AI70" i="5"/>
  <c r="BO70" i="5"/>
  <c r="AJ70" i="5"/>
  <c r="BP70" i="5"/>
  <c r="AQ70" i="5"/>
  <c r="BW70" i="5"/>
  <c r="K70" i="5"/>
  <c r="AR70" i="5"/>
  <c r="BX70" i="5"/>
  <c r="S70" i="5"/>
  <c r="AY70" i="5"/>
  <c r="CE70" i="5"/>
  <c r="T70" i="5"/>
  <c r="AZ70" i="5"/>
  <c r="CF70" i="5"/>
  <c r="AA70" i="5"/>
  <c r="BG70" i="5"/>
  <c r="CM70" i="5"/>
  <c r="L78" i="5"/>
  <c r="T78" i="5"/>
  <c r="AB78" i="5"/>
  <c r="AJ78" i="5"/>
  <c r="AR78" i="5"/>
  <c r="AZ78" i="5"/>
  <c r="BH78" i="5"/>
  <c r="BP78" i="5"/>
  <c r="BX78" i="5"/>
  <c r="CF78" i="5"/>
  <c r="CN78" i="5"/>
  <c r="M78" i="5"/>
  <c r="U78" i="5"/>
  <c r="AC78" i="5"/>
  <c r="AK78" i="5"/>
  <c r="AS78" i="5"/>
  <c r="BA78" i="5"/>
  <c r="BI78" i="5"/>
  <c r="BQ78" i="5"/>
  <c r="BY78" i="5"/>
  <c r="CG78" i="5"/>
  <c r="CO78" i="5"/>
  <c r="N78" i="5"/>
  <c r="V78" i="5"/>
  <c r="AD78" i="5"/>
  <c r="AL78" i="5"/>
  <c r="AT78" i="5"/>
  <c r="BB78" i="5"/>
  <c r="BJ78" i="5"/>
  <c r="BR78" i="5"/>
  <c r="BZ78" i="5"/>
  <c r="CH78" i="5"/>
  <c r="CP78" i="5"/>
  <c r="G78" i="5"/>
  <c r="O78" i="5"/>
  <c r="W78" i="5"/>
  <c r="AE78" i="5"/>
  <c r="AM78" i="5"/>
  <c r="AU78" i="5"/>
  <c r="BC78" i="5"/>
  <c r="BK78" i="5"/>
  <c r="BS78" i="5"/>
  <c r="CA78" i="5"/>
  <c r="CI78" i="5"/>
  <c r="CQ78" i="5"/>
  <c r="H78" i="5"/>
  <c r="P78" i="5"/>
  <c r="X78" i="5"/>
  <c r="AF78" i="5"/>
  <c r="AN78" i="5"/>
  <c r="AV78" i="5"/>
  <c r="BD78" i="5"/>
  <c r="BL78" i="5"/>
  <c r="BT78" i="5"/>
  <c r="CB78" i="5"/>
  <c r="CJ78" i="5"/>
  <c r="I78" i="5"/>
  <c r="Q78" i="5"/>
  <c r="Y78" i="5"/>
  <c r="AG78" i="5"/>
  <c r="AO78" i="5"/>
  <c r="AW78" i="5"/>
  <c r="BE78" i="5"/>
  <c r="BM78" i="5"/>
  <c r="BU78" i="5"/>
  <c r="CC78" i="5"/>
  <c r="CK78" i="5"/>
  <c r="J78" i="5"/>
  <c r="R78" i="5"/>
  <c r="Z78" i="5"/>
  <c r="AH78" i="5"/>
  <c r="AP78" i="5"/>
  <c r="AX78" i="5"/>
  <c r="BF78" i="5"/>
  <c r="BN78" i="5"/>
  <c r="BV78" i="5"/>
  <c r="CD78" i="5"/>
  <c r="CL78" i="5"/>
  <c r="K78" i="5"/>
  <c r="S78" i="5"/>
  <c r="AA78" i="5"/>
  <c r="AI78" i="5"/>
  <c r="AQ78" i="5"/>
  <c r="AY78" i="5"/>
  <c r="BG78" i="5"/>
  <c r="BO78" i="5"/>
  <c r="BW78" i="5"/>
  <c r="CE78" i="5"/>
  <c r="CM78" i="5"/>
  <c r="G67" i="5"/>
  <c r="O67" i="5"/>
  <c r="W67" i="5"/>
  <c r="AE67" i="5"/>
  <c r="AM67" i="5"/>
  <c r="AU67" i="5"/>
  <c r="BC67" i="5"/>
  <c r="BK67" i="5"/>
  <c r="BS67" i="5"/>
  <c r="CA67" i="5"/>
  <c r="CI67" i="5"/>
  <c r="CQ67" i="5"/>
  <c r="H67" i="5"/>
  <c r="P67" i="5"/>
  <c r="X67" i="5"/>
  <c r="AF67" i="5"/>
  <c r="AN67" i="5"/>
  <c r="AV67" i="5"/>
  <c r="BD67" i="5"/>
  <c r="BL67" i="5"/>
  <c r="BT67" i="5"/>
  <c r="CB67" i="5"/>
  <c r="CJ67" i="5"/>
  <c r="I67" i="5"/>
  <c r="Q67" i="5"/>
  <c r="Y67" i="5"/>
  <c r="AG67" i="5"/>
  <c r="AO67" i="5"/>
  <c r="AW67" i="5"/>
  <c r="BE67" i="5"/>
  <c r="BM67" i="5"/>
  <c r="BU67" i="5"/>
  <c r="CC67" i="5"/>
  <c r="CK67" i="5"/>
  <c r="J67" i="5"/>
  <c r="R67" i="5"/>
  <c r="Z67" i="5"/>
  <c r="AH67" i="5"/>
  <c r="AP67" i="5"/>
  <c r="AX67" i="5"/>
  <c r="BF67" i="5"/>
  <c r="BN67" i="5"/>
  <c r="BV67" i="5"/>
  <c r="CD67" i="5"/>
  <c r="CL67" i="5"/>
  <c r="K67" i="5"/>
  <c r="S67" i="5"/>
  <c r="AA67" i="5"/>
  <c r="AI67" i="5"/>
  <c r="AQ67" i="5"/>
  <c r="AY67" i="5"/>
  <c r="BG67" i="5"/>
  <c r="BO67" i="5"/>
  <c r="BW67" i="5"/>
  <c r="CE67" i="5"/>
  <c r="CM67" i="5"/>
  <c r="L67" i="5"/>
  <c r="T67" i="5"/>
  <c r="AB67" i="5"/>
  <c r="AJ67" i="5"/>
  <c r="AR67" i="5"/>
  <c r="AZ67" i="5"/>
  <c r="BH67" i="5"/>
  <c r="BP67" i="5"/>
  <c r="BX67" i="5"/>
  <c r="CF67" i="5"/>
  <c r="CN67" i="5"/>
  <c r="M67" i="5"/>
  <c r="U67" i="5"/>
  <c r="AC67" i="5"/>
  <c r="AK67" i="5"/>
  <c r="AS67" i="5"/>
  <c r="BA67" i="5"/>
  <c r="BI67" i="5"/>
  <c r="BQ67" i="5"/>
  <c r="BY67" i="5"/>
  <c r="CG67" i="5"/>
  <c r="CO67" i="5"/>
  <c r="N67" i="5"/>
  <c r="V67" i="5"/>
  <c r="AD67" i="5"/>
  <c r="AL67" i="5"/>
  <c r="AT67" i="5"/>
  <c r="BB67" i="5"/>
  <c r="BJ67" i="5"/>
  <c r="BR67" i="5"/>
  <c r="BZ67" i="5"/>
  <c r="CH67" i="5"/>
  <c r="CP67" i="5"/>
  <c r="G75" i="5"/>
  <c r="O75" i="5"/>
  <c r="W75" i="5"/>
  <c r="AE75" i="5"/>
  <c r="AM75" i="5"/>
  <c r="AU75" i="5"/>
  <c r="BC75" i="5"/>
  <c r="BK75" i="5"/>
  <c r="BS75" i="5"/>
  <c r="CA75" i="5"/>
  <c r="CI75" i="5"/>
  <c r="CQ75" i="5"/>
  <c r="H75" i="5"/>
  <c r="P75" i="5"/>
  <c r="X75" i="5"/>
  <c r="AF75" i="5"/>
  <c r="AN75" i="5"/>
  <c r="AV75" i="5"/>
  <c r="BD75" i="5"/>
  <c r="BL75" i="5"/>
  <c r="BT75" i="5"/>
  <c r="CB75" i="5"/>
  <c r="CJ75" i="5"/>
  <c r="I75" i="5"/>
  <c r="Q75" i="5"/>
  <c r="Y75" i="5"/>
  <c r="AG75" i="5"/>
  <c r="AO75" i="5"/>
  <c r="AW75" i="5"/>
  <c r="BE75" i="5"/>
  <c r="BM75" i="5"/>
  <c r="BU75" i="5"/>
  <c r="CC75" i="5"/>
  <c r="CK75" i="5"/>
  <c r="J75" i="5"/>
  <c r="R75" i="5"/>
  <c r="Z75" i="5"/>
  <c r="AH75" i="5"/>
  <c r="AP75" i="5"/>
  <c r="AX75" i="5"/>
  <c r="BF75" i="5"/>
  <c r="BN75" i="5"/>
  <c r="BV75" i="5"/>
  <c r="CD75" i="5"/>
  <c r="CL75" i="5"/>
  <c r="K75" i="5"/>
  <c r="S75" i="5"/>
  <c r="AA75" i="5"/>
  <c r="AI75" i="5"/>
  <c r="AQ75" i="5"/>
  <c r="AY75" i="5"/>
  <c r="BG75" i="5"/>
  <c r="BO75" i="5"/>
  <c r="BW75" i="5"/>
  <c r="CE75" i="5"/>
  <c r="CM75" i="5"/>
  <c r="L75" i="5"/>
  <c r="T75" i="5"/>
  <c r="AB75" i="5"/>
  <c r="AJ75" i="5"/>
  <c r="AR75" i="5"/>
  <c r="AZ75" i="5"/>
  <c r="BH75" i="5"/>
  <c r="BP75" i="5"/>
  <c r="BX75" i="5"/>
  <c r="CF75" i="5"/>
  <c r="CN75" i="5"/>
  <c r="M75" i="5"/>
  <c r="U75" i="5"/>
  <c r="AC75" i="5"/>
  <c r="AK75" i="5"/>
  <c r="AS75" i="5"/>
  <c r="BA75" i="5"/>
  <c r="BI75" i="5"/>
  <c r="BQ75" i="5"/>
  <c r="BY75" i="5"/>
  <c r="CG75" i="5"/>
  <c r="CO75" i="5"/>
  <c r="N75" i="5"/>
  <c r="V75" i="5"/>
  <c r="AD75" i="5"/>
  <c r="AL75" i="5"/>
  <c r="AT75" i="5"/>
  <c r="BB75" i="5"/>
  <c r="BJ75" i="5"/>
  <c r="BR75" i="5"/>
  <c r="BZ75" i="5"/>
  <c r="CH75" i="5"/>
  <c r="CP75" i="5"/>
  <c r="CL85" i="5" l="1"/>
  <c r="CD85" i="5"/>
  <c r="BV85" i="5"/>
  <c r="BN85" i="5"/>
  <c r="BF85" i="5"/>
  <c r="AX85" i="5"/>
  <c r="AP85" i="5"/>
  <c r="AH85" i="5"/>
  <c r="Z85" i="5"/>
  <c r="R85" i="5"/>
  <c r="J85" i="5"/>
  <c r="CQ85" i="5"/>
  <c r="CI85" i="5"/>
  <c r="CA85" i="5"/>
  <c r="BS85" i="5"/>
  <c r="BK85" i="5"/>
  <c r="BC85" i="5"/>
  <c r="AU85" i="5"/>
  <c r="AM85" i="5"/>
  <c r="AE85" i="5"/>
  <c r="W85" i="5"/>
  <c r="O85" i="5"/>
  <c r="G85" i="5"/>
  <c r="CP85" i="5"/>
  <c r="CH85" i="5"/>
  <c r="BZ85" i="5"/>
  <c r="BR85" i="5"/>
  <c r="BJ85" i="5"/>
  <c r="BB85" i="5"/>
  <c r="CN85" i="5"/>
  <c r="CB85" i="5"/>
  <c r="BO85" i="5"/>
  <c r="BA85" i="5"/>
  <c r="AQ85" i="5"/>
  <c r="AF85" i="5"/>
  <c r="U85" i="5"/>
  <c r="K85" i="5"/>
  <c r="CM85" i="5"/>
  <c r="BY85" i="5"/>
  <c r="BM85" i="5"/>
  <c r="AZ85" i="5"/>
  <c r="AO85" i="5"/>
  <c r="AD85" i="5"/>
  <c r="T85" i="5"/>
  <c r="I85" i="5"/>
  <c r="CK85" i="5"/>
  <c r="BX85" i="5"/>
  <c r="BL85" i="5"/>
  <c r="AY85" i="5"/>
  <c r="AN85" i="5"/>
  <c r="AC85" i="5"/>
  <c r="S85" i="5"/>
  <c r="H85" i="5"/>
  <c r="CJ85" i="5"/>
  <c r="BW85" i="5"/>
  <c r="BI85" i="5"/>
  <c r="AW85" i="5"/>
  <c r="AL85" i="5"/>
  <c r="AB85" i="5"/>
  <c r="Q85" i="5"/>
  <c r="CG85" i="5"/>
  <c r="BU85" i="5"/>
  <c r="BH85" i="5"/>
  <c r="AV85" i="5"/>
  <c r="AK85" i="5"/>
  <c r="AA85" i="5"/>
  <c r="P85" i="5"/>
  <c r="CF85" i="5"/>
  <c r="BT85" i="5"/>
  <c r="BG85" i="5"/>
  <c r="AT85" i="5"/>
  <c r="BQ85" i="5"/>
  <c r="AG85" i="5"/>
  <c r="BP85" i="5"/>
  <c r="Y85" i="5"/>
  <c r="BE85" i="5"/>
  <c r="X85" i="5"/>
  <c r="BD85" i="5"/>
  <c r="V85" i="5"/>
  <c r="AS85" i="5"/>
  <c r="N85" i="5"/>
  <c r="CO85" i="5"/>
  <c r="AR85" i="5"/>
  <c r="M85" i="5"/>
  <c r="CE85" i="5"/>
  <c r="AJ85" i="5"/>
  <c r="L85" i="5"/>
  <c r="CC85" i="5"/>
  <c r="AI85" i="5"/>
  <c r="G86" i="5"/>
  <c r="O86" i="5"/>
  <c r="W86" i="5"/>
  <c r="AE86" i="5"/>
  <c r="AM86" i="5"/>
  <c r="AU86" i="5"/>
  <c r="BC86" i="5"/>
  <c r="BK86" i="5"/>
  <c r="BS86" i="5"/>
  <c r="CA86" i="5"/>
  <c r="CI86" i="5"/>
  <c r="CQ86" i="5"/>
  <c r="H86" i="5"/>
  <c r="P86" i="5"/>
  <c r="X86" i="5"/>
  <c r="AF86" i="5"/>
  <c r="AN86" i="5"/>
  <c r="AV86" i="5"/>
  <c r="BD86" i="5"/>
  <c r="BL86" i="5"/>
  <c r="BT86" i="5"/>
  <c r="CB86" i="5"/>
  <c r="CJ86" i="5"/>
  <c r="I86" i="5"/>
  <c r="Q86" i="5"/>
  <c r="Y86" i="5"/>
  <c r="AG86" i="5"/>
  <c r="AO86" i="5"/>
  <c r="AW86" i="5"/>
  <c r="BE86" i="5"/>
  <c r="BM86" i="5"/>
  <c r="BU86" i="5"/>
  <c r="CC86" i="5"/>
  <c r="CK86" i="5"/>
  <c r="J86" i="5"/>
  <c r="K86" i="5"/>
  <c r="S86" i="5"/>
  <c r="AA86" i="5"/>
  <c r="AI86" i="5"/>
  <c r="AQ86" i="5"/>
  <c r="AY86" i="5"/>
  <c r="BG86" i="5"/>
  <c r="BO86" i="5"/>
  <c r="BW86" i="5"/>
  <c r="CE86" i="5"/>
  <c r="CM86" i="5"/>
  <c r="L86" i="5"/>
  <c r="T86" i="5"/>
  <c r="AB86" i="5"/>
  <c r="AJ86" i="5"/>
  <c r="AR86" i="5"/>
  <c r="AZ86" i="5"/>
  <c r="BH86" i="5"/>
  <c r="BP86" i="5"/>
  <c r="BX86" i="5"/>
  <c r="CF86" i="5"/>
  <c r="CN86" i="5"/>
  <c r="M86" i="5"/>
  <c r="N86" i="5"/>
  <c r="V86" i="5"/>
  <c r="AD86" i="5"/>
  <c r="AL86" i="5"/>
  <c r="AT86" i="5"/>
  <c r="BB86" i="5"/>
  <c r="BJ86" i="5"/>
  <c r="BR86" i="5"/>
  <c r="BZ86" i="5"/>
  <c r="CH86" i="5"/>
  <c r="CP86" i="5"/>
  <c r="R86" i="5"/>
  <c r="AX86" i="5"/>
  <c r="CD86" i="5"/>
  <c r="U86" i="5"/>
  <c r="BA86" i="5"/>
  <c r="CG86" i="5"/>
  <c r="Z86" i="5"/>
  <c r="BF86" i="5"/>
  <c r="CL86" i="5"/>
  <c r="AC86" i="5"/>
  <c r="BI86" i="5"/>
  <c r="CO86" i="5"/>
  <c r="AH86" i="5"/>
  <c r="BN86" i="5"/>
  <c r="AK86" i="5"/>
  <c r="BQ86" i="5"/>
  <c r="AP86" i="5"/>
  <c r="BV86" i="5"/>
  <c r="AS86" i="5"/>
  <c r="BY86" i="5"/>
  <c r="M89" i="5"/>
  <c r="U89" i="5"/>
  <c r="AC89" i="5"/>
  <c r="AK89" i="5"/>
  <c r="AS89" i="5"/>
  <c r="BA89" i="5"/>
  <c r="BI89" i="5"/>
  <c r="BQ89" i="5"/>
  <c r="BY89" i="5"/>
  <c r="CG89" i="5"/>
  <c r="CO89" i="5"/>
  <c r="H89" i="5"/>
  <c r="P89" i="5"/>
  <c r="X89" i="5"/>
  <c r="AF89" i="5"/>
  <c r="AN89" i="5"/>
  <c r="AV89" i="5"/>
  <c r="BD89" i="5"/>
  <c r="BL89" i="5"/>
  <c r="BT89" i="5"/>
  <c r="CB89" i="5"/>
  <c r="CJ89" i="5"/>
  <c r="I89" i="5"/>
  <c r="Q89" i="5"/>
  <c r="Y89" i="5"/>
  <c r="AG89" i="5"/>
  <c r="AO89" i="5"/>
  <c r="AW89" i="5"/>
  <c r="BE89" i="5"/>
  <c r="BM89" i="5"/>
  <c r="BU89" i="5"/>
  <c r="CC89" i="5"/>
  <c r="CK89" i="5"/>
  <c r="J89" i="5"/>
  <c r="V89" i="5"/>
  <c r="AI89" i="5"/>
  <c r="AU89" i="5"/>
  <c r="BH89" i="5"/>
  <c r="BV89" i="5"/>
  <c r="CH89" i="5"/>
  <c r="K89" i="5"/>
  <c r="W89" i="5"/>
  <c r="AJ89" i="5"/>
  <c r="AX89" i="5"/>
  <c r="BJ89" i="5"/>
  <c r="BW89" i="5"/>
  <c r="CI89" i="5"/>
  <c r="L89" i="5"/>
  <c r="Z89" i="5"/>
  <c r="AL89" i="5"/>
  <c r="AY89" i="5"/>
  <c r="BK89" i="5"/>
  <c r="BX89" i="5"/>
  <c r="CL89" i="5"/>
  <c r="N89" i="5"/>
  <c r="AA89" i="5"/>
  <c r="AM89" i="5"/>
  <c r="AZ89" i="5"/>
  <c r="BN89" i="5"/>
  <c r="BZ89" i="5"/>
  <c r="CM89" i="5"/>
  <c r="O89" i="5"/>
  <c r="AB89" i="5"/>
  <c r="AP89" i="5"/>
  <c r="BB89" i="5"/>
  <c r="BO89" i="5"/>
  <c r="CA89" i="5"/>
  <c r="CN89" i="5"/>
  <c r="R89" i="5"/>
  <c r="AD89" i="5"/>
  <c r="AQ89" i="5"/>
  <c r="BC89" i="5"/>
  <c r="BP89" i="5"/>
  <c r="CD89" i="5"/>
  <c r="CP89" i="5"/>
  <c r="S89" i="5"/>
  <c r="G89" i="5"/>
  <c r="BR89" i="5"/>
  <c r="T89" i="5"/>
  <c r="BS89" i="5"/>
  <c r="AE89" i="5"/>
  <c r="CE89" i="5"/>
  <c r="AH89" i="5"/>
  <c r="CF89" i="5"/>
  <c r="AR89" i="5"/>
  <c r="CQ89" i="5"/>
  <c r="AT89" i="5"/>
  <c r="BF89" i="5"/>
  <c r="BG89" i="5"/>
  <c r="M88" i="5"/>
  <c r="U88" i="5"/>
  <c r="AC88" i="5"/>
  <c r="AK88" i="5"/>
  <c r="AS88" i="5"/>
  <c r="BA88" i="5"/>
  <c r="BI88" i="5"/>
  <c r="BQ88" i="5"/>
  <c r="BY88" i="5"/>
  <c r="CG88" i="5"/>
  <c r="CO88" i="5"/>
  <c r="N88" i="5"/>
  <c r="V88" i="5"/>
  <c r="AD88" i="5"/>
  <c r="AL88" i="5"/>
  <c r="AT88" i="5"/>
  <c r="BB88" i="5"/>
  <c r="BJ88" i="5"/>
  <c r="BR88" i="5"/>
  <c r="BZ88" i="5"/>
  <c r="CH88" i="5"/>
  <c r="CP88" i="5"/>
  <c r="G88" i="5"/>
  <c r="O88" i="5"/>
  <c r="W88" i="5"/>
  <c r="AE88" i="5"/>
  <c r="AM88" i="5"/>
  <c r="I88" i="5"/>
  <c r="Q88" i="5"/>
  <c r="Y88" i="5"/>
  <c r="AG88" i="5"/>
  <c r="AO88" i="5"/>
  <c r="AW88" i="5"/>
  <c r="BE88" i="5"/>
  <c r="BM88" i="5"/>
  <c r="BU88" i="5"/>
  <c r="CC88" i="5"/>
  <c r="CK88" i="5"/>
  <c r="J88" i="5"/>
  <c r="R88" i="5"/>
  <c r="Z88" i="5"/>
  <c r="AH88" i="5"/>
  <c r="AP88" i="5"/>
  <c r="AX88" i="5"/>
  <c r="BF88" i="5"/>
  <c r="BN88" i="5"/>
  <c r="BV88" i="5"/>
  <c r="CD88" i="5"/>
  <c r="CL88" i="5"/>
  <c r="L88" i="5"/>
  <c r="T88" i="5"/>
  <c r="AB88" i="5"/>
  <c r="AJ88" i="5"/>
  <c r="AR88" i="5"/>
  <c r="AZ88" i="5"/>
  <c r="BH88" i="5"/>
  <c r="BP88" i="5"/>
  <c r="BX88" i="5"/>
  <c r="CF88" i="5"/>
  <c r="CN88" i="5"/>
  <c r="AF88" i="5"/>
  <c r="BD88" i="5"/>
  <c r="CA88" i="5"/>
  <c r="AI88" i="5"/>
  <c r="BG88" i="5"/>
  <c r="CB88" i="5"/>
  <c r="H88" i="5"/>
  <c r="AN88" i="5"/>
  <c r="BK88" i="5"/>
  <c r="CE88" i="5"/>
  <c r="K88" i="5"/>
  <c r="AQ88" i="5"/>
  <c r="BL88" i="5"/>
  <c r="CI88" i="5"/>
  <c r="P88" i="5"/>
  <c r="AU88" i="5"/>
  <c r="BO88" i="5"/>
  <c r="CJ88" i="5"/>
  <c r="S88" i="5"/>
  <c r="AV88" i="5"/>
  <c r="BS88" i="5"/>
  <c r="CM88" i="5"/>
  <c r="X88" i="5"/>
  <c r="AY88" i="5"/>
  <c r="BT88" i="5"/>
  <c r="CQ88" i="5"/>
  <c r="AA88" i="5"/>
  <c r="BC88" i="5"/>
  <c r="BW88" i="5"/>
  <c r="N87" i="5"/>
  <c r="V87" i="5"/>
  <c r="AD87" i="5"/>
  <c r="AL87" i="5"/>
  <c r="AT87" i="5"/>
  <c r="BB87" i="5"/>
  <c r="BJ87" i="5"/>
  <c r="BR87" i="5"/>
  <c r="BZ87" i="5"/>
  <c r="CH87" i="5"/>
  <c r="CP87" i="5"/>
  <c r="G87" i="5"/>
  <c r="O87" i="5"/>
  <c r="W87" i="5"/>
  <c r="AE87" i="5"/>
  <c r="AM87" i="5"/>
  <c r="AU87" i="5"/>
  <c r="BC87" i="5"/>
  <c r="BK87" i="5"/>
  <c r="BS87" i="5"/>
  <c r="CA87" i="5"/>
  <c r="CI87" i="5"/>
  <c r="CQ87" i="5"/>
  <c r="H87" i="5"/>
  <c r="P87" i="5"/>
  <c r="X87" i="5"/>
  <c r="AF87" i="5"/>
  <c r="AN87" i="5"/>
  <c r="AV87" i="5"/>
  <c r="BD87" i="5"/>
  <c r="BL87" i="5"/>
  <c r="BT87" i="5"/>
  <c r="CB87" i="5"/>
  <c r="CJ87" i="5"/>
  <c r="J87" i="5"/>
  <c r="R87" i="5"/>
  <c r="Z87" i="5"/>
  <c r="AH87" i="5"/>
  <c r="AP87" i="5"/>
  <c r="AX87" i="5"/>
  <c r="BF87" i="5"/>
  <c r="BN87" i="5"/>
  <c r="BV87" i="5"/>
  <c r="CD87" i="5"/>
  <c r="CL87" i="5"/>
  <c r="K87" i="5"/>
  <c r="S87" i="5"/>
  <c r="AA87" i="5"/>
  <c r="AI87" i="5"/>
  <c r="AQ87" i="5"/>
  <c r="AY87" i="5"/>
  <c r="BG87" i="5"/>
  <c r="BO87" i="5"/>
  <c r="BW87" i="5"/>
  <c r="CE87" i="5"/>
  <c r="CM87" i="5"/>
  <c r="M87" i="5"/>
  <c r="U87" i="5"/>
  <c r="AC87" i="5"/>
  <c r="AK87" i="5"/>
  <c r="AS87" i="5"/>
  <c r="BA87" i="5"/>
  <c r="BI87" i="5"/>
  <c r="BQ87" i="5"/>
  <c r="BY87" i="5"/>
  <c r="CG87" i="5"/>
  <c r="CO87" i="5"/>
  <c r="Y87" i="5"/>
  <c r="BE87" i="5"/>
  <c r="CK87" i="5"/>
  <c r="AB87" i="5"/>
  <c r="BH87" i="5"/>
  <c r="CN87" i="5"/>
  <c r="AG87" i="5"/>
  <c r="BM87" i="5"/>
  <c r="AJ87" i="5"/>
  <c r="BP87" i="5"/>
  <c r="I87" i="5"/>
  <c r="AO87" i="5"/>
  <c r="BU87" i="5"/>
  <c r="L87" i="5"/>
  <c r="AR87" i="5"/>
  <c r="BX87" i="5"/>
  <c r="Q87" i="5"/>
  <c r="AW87" i="5"/>
  <c r="CC87" i="5"/>
  <c r="T87" i="5"/>
  <c r="AZ87" i="5"/>
  <c r="CF8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三浦尚志</author>
  </authors>
  <commentList>
    <comment ref="G1" authorId="0" shapeId="0" xr:uid="{FD9F1E9C-9AB2-7747-85E1-D838975ED813}">
      <text>
        <r>
          <rPr>
            <b/>
            <sz val="10"/>
            <color rgb="FF000000"/>
            <rFont val="Tahoma"/>
            <family val="2"/>
          </rPr>
          <t>三浦尚志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回帰式</t>
        </r>
        <r>
          <rPr>
            <sz val="10"/>
            <color rgb="FF000000"/>
            <rFont val="Tahoma"/>
            <family val="2"/>
          </rPr>
          <t>: Y = a·X^b·exp(c·(1-X^d))</t>
        </r>
      </text>
    </comment>
    <comment ref="K1" authorId="0" shapeId="0" xr:uid="{1A8379CC-4FD3-824D-9E11-3C4F4C80C8BC}">
      <text>
        <r>
          <rPr>
            <b/>
            <sz val="10"/>
            <color rgb="FF000000"/>
            <rFont val="Tahoma"/>
            <family val="2"/>
          </rPr>
          <t>三浦尚志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回帰式</t>
        </r>
        <r>
          <rPr>
            <sz val="10"/>
            <color rgb="FF000000"/>
            <rFont val="Tahoma"/>
            <family val="2"/>
          </rPr>
          <t>(</t>
        </r>
        <r>
          <rPr>
            <sz val="10"/>
            <color rgb="FF000000"/>
            <rFont val="Tahoma"/>
            <family val="2"/>
          </rPr>
          <t>通常域</t>
        </r>
        <r>
          <rPr>
            <sz val="10"/>
            <color rgb="FF000000"/>
            <rFont val="Tahoma"/>
            <family val="2"/>
          </rPr>
          <t xml:space="preserve">): Y = a·X^b·exp(c·(1-X^d))
</t>
        </r>
        <r>
          <rPr>
            <sz val="10"/>
            <color rgb="FF000000"/>
            <rFont val="Tahoma"/>
            <family val="2"/>
          </rPr>
          <t>回帰式</t>
        </r>
        <r>
          <rPr>
            <sz val="10"/>
            <color rgb="FF000000"/>
            <rFont val="Tahoma"/>
            <family val="2"/>
          </rPr>
          <t>(</t>
        </r>
        <r>
          <rPr>
            <sz val="10"/>
            <color rgb="FF000000"/>
            <rFont val="Tahoma"/>
            <family val="2"/>
          </rPr>
          <t>高湿域</t>
        </r>
        <r>
          <rPr>
            <sz val="10"/>
            <color rgb="FF000000"/>
            <rFont val="Tahoma"/>
            <family val="2"/>
          </rPr>
          <t>): Y = (f-g)·(X-0.98)/0.02 + g</t>
        </r>
      </text>
    </comment>
    <comment ref="R1" authorId="0" shapeId="0" xr:uid="{424A10C2-AFD0-C44F-A52C-A93176791597}">
      <text>
        <r>
          <rPr>
            <b/>
            <sz val="10"/>
            <color rgb="FF000000"/>
            <rFont val="Tahoma"/>
            <family val="2"/>
          </rPr>
          <t>三浦尚志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回帰式</t>
        </r>
        <r>
          <rPr>
            <sz val="10"/>
            <color rgb="FF000000"/>
            <rFont val="Tahoma"/>
            <family val="2"/>
          </rPr>
          <t>: Y = exp(a + b·X + c·X² + d·X³ + e·X⁴ + f·X⁵ + g·X⁶)</t>
        </r>
      </text>
    </comment>
    <comment ref="I31" authorId="0" shapeId="0" xr:uid="{120EE349-E4A2-0244-8F9C-350BD4F9EC72}">
      <text>
        <r>
          <rPr>
            <b/>
            <sz val="10"/>
            <color rgb="FF000000"/>
            <rFont val="Tahoma"/>
            <family val="2"/>
          </rPr>
          <t>三浦尚志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係数</t>
        </r>
        <r>
          <rPr>
            <sz val="10"/>
            <color rgb="FF000000"/>
            <rFont val="Tahoma"/>
            <family val="2"/>
          </rPr>
          <t>c</t>
        </r>
        <r>
          <rPr>
            <sz val="10"/>
            <color rgb="FF000000"/>
            <rFont val="Tahoma"/>
            <family val="2"/>
          </rPr>
          <t>と</t>
        </r>
        <r>
          <rPr>
            <sz val="10"/>
            <color rgb="FF000000"/>
            <rFont val="Tahoma"/>
            <family val="2"/>
          </rPr>
          <t>d</t>
        </r>
        <r>
          <rPr>
            <sz val="10"/>
            <color rgb="FF000000"/>
            <rFont val="Tahoma"/>
            <family val="2"/>
          </rPr>
          <t>が同じ値</t>
        </r>
        <r>
          <rPr>
            <sz val="10"/>
            <color rgb="FF000000"/>
            <rFont val="Tahoma"/>
            <family val="2"/>
          </rPr>
          <t>(-0.27904)</t>
        </r>
        <r>
          <rPr>
            <sz val="10"/>
            <color rgb="FF000000"/>
            <rFont val="Tahoma"/>
            <family val="2"/>
          </rPr>
          <t>なのは不自然です。専門家への確認が必要です。また</t>
        </r>
        <r>
          <rPr>
            <sz val="10"/>
            <color rgb="FF000000"/>
            <rFont val="Tahoma"/>
            <family val="2"/>
          </rPr>
          <t>d</t>
        </r>
        <r>
          <rPr>
            <sz val="10"/>
            <color rgb="FF000000"/>
            <rFont val="Tahoma"/>
            <family val="2"/>
          </rPr>
          <t>が負の値をとることにより、湿気伝導率シートで</t>
        </r>
        <r>
          <rPr>
            <sz val="10"/>
            <color rgb="FF000000"/>
            <rFont val="Tahoma"/>
            <family val="2"/>
          </rPr>
          <t>X=0</t>
        </r>
        <r>
          <rPr>
            <sz val="10"/>
            <color rgb="FF000000"/>
            <rFont val="Tahoma"/>
            <family val="2"/>
          </rPr>
          <t>のときにゼロ割エラー</t>
        </r>
        <r>
          <rPr>
            <sz val="10"/>
            <color rgb="FF000000"/>
            <rFont val="Tahoma"/>
            <family val="2"/>
          </rPr>
          <t>(#DIV/0!)</t>
        </r>
        <r>
          <rPr>
            <sz val="10"/>
            <color rgb="FF000000"/>
            <rFont val="Tahoma"/>
            <family val="2"/>
          </rPr>
          <t>が発生しています。</t>
        </r>
      </text>
    </comment>
    <comment ref="J31" authorId="0" shapeId="0" xr:uid="{5EF08033-B2FC-CB47-BEA7-4707644FF179}">
      <text>
        <r>
          <rPr>
            <b/>
            <sz val="10"/>
            <color rgb="FF000000"/>
            <rFont val="Tahoma"/>
            <family val="2"/>
          </rPr>
          <t>三浦尚志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係数</t>
        </r>
        <r>
          <rPr>
            <sz val="10"/>
            <color rgb="FF000000"/>
            <rFont val="Tahoma"/>
            <family val="2"/>
          </rPr>
          <t>c</t>
        </r>
        <r>
          <rPr>
            <sz val="10"/>
            <color rgb="FF000000"/>
            <rFont val="Tahoma"/>
            <family val="2"/>
          </rPr>
          <t>と</t>
        </r>
        <r>
          <rPr>
            <sz val="10"/>
            <color rgb="FF000000"/>
            <rFont val="Tahoma"/>
            <family val="2"/>
          </rPr>
          <t>d</t>
        </r>
        <r>
          <rPr>
            <sz val="10"/>
            <color rgb="FF000000"/>
            <rFont val="Tahoma"/>
            <family val="2"/>
          </rPr>
          <t>が同じ値</t>
        </r>
        <r>
          <rPr>
            <sz val="10"/>
            <color rgb="FF000000"/>
            <rFont val="Tahoma"/>
            <family val="2"/>
          </rPr>
          <t>(-0.27904)</t>
        </r>
        <r>
          <rPr>
            <sz val="10"/>
            <color rgb="FF000000"/>
            <rFont val="Tahoma"/>
            <family val="2"/>
          </rPr>
          <t>なのは不自然です。専門家への確認が必要です。また</t>
        </r>
        <r>
          <rPr>
            <sz val="10"/>
            <color rgb="FF000000"/>
            <rFont val="Tahoma"/>
            <family val="2"/>
          </rPr>
          <t>d</t>
        </r>
        <r>
          <rPr>
            <sz val="10"/>
            <color rgb="FF000000"/>
            <rFont val="Tahoma"/>
            <family val="2"/>
          </rPr>
          <t>が負の値をとることにより、湿気伝導率シートで</t>
        </r>
        <r>
          <rPr>
            <sz val="10"/>
            <color rgb="FF000000"/>
            <rFont val="Tahoma"/>
            <family val="2"/>
          </rPr>
          <t>X=0</t>
        </r>
        <r>
          <rPr>
            <sz val="10"/>
            <color rgb="FF000000"/>
            <rFont val="Tahoma"/>
            <family val="2"/>
          </rPr>
          <t>のときにゼロ割エラー</t>
        </r>
        <r>
          <rPr>
            <sz val="10"/>
            <color rgb="FF000000"/>
            <rFont val="Tahoma"/>
            <family val="2"/>
          </rPr>
          <t>(#DIV/0!)</t>
        </r>
        <r>
          <rPr>
            <sz val="10"/>
            <color rgb="FF000000"/>
            <rFont val="Tahoma"/>
            <family val="2"/>
          </rPr>
          <t>が発生しています。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三浦尚志</author>
  </authors>
  <commentList>
    <comment ref="AD2" authorId="0" shapeId="0" xr:uid="{296BDBFA-57AA-8E4B-A0E9-BB684921DDE0}">
      <text>
        <r>
          <rPr>
            <b/>
            <sz val="10"/>
            <color rgb="FF000000"/>
            <rFont val="Tahoma"/>
            <family val="2"/>
          </rPr>
          <t>三浦尚志:</t>
        </r>
        <r>
          <rPr>
            <sz val="10"/>
            <color rgb="FF000000"/>
            <rFont val="Tahoma"/>
            <family val="2"/>
          </rPr>
          <t xml:space="preserve">
範囲分け数=1かつ範囲(大)=0(未設定)の材料に対して、グラフX軸の上限として使用するデフォルト値(kg/kg)。必要に応じて変更可能。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<sst xmlns="http://schemas.openxmlformats.org/spreadsheetml/2006/main" count="196" uniqueCount="146">
  <si>
    <t>Air</t>
    <phoneticPr fontId="1"/>
  </si>
  <si>
    <t>平衡含水率</t>
    <rPh sb="0" eb="2">
      <t>ヘイコウ</t>
    </rPh>
    <rPh sb="2" eb="4">
      <t>ガンスイ</t>
    </rPh>
    <rPh sb="4" eb="5">
      <t>リツ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</si>
  <si>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</si>
  <si>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</si>
  <si>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</si>
  <si>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</si>
  <si>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</si>
  <si>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</si>
  <si>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</si>
  <si>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</si>
  <si>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Liquid Diffusivity</t>
    <phoneticPr fontId="1"/>
  </si>
  <si>
    <r>
      <t>Y=e^(a+bX+cX</t>
    </r>
    <r>
      <rPr>
        <vertAlign val="superscript"/>
        <sz val="11"/>
        <rFont val="ＭＳ Ｐゴシック"/>
        <family val="3"/>
        <charset val="128"/>
      </rPr>
      <t>2</t>
    </r>
    <r>
      <rPr>
        <sz val="11"/>
        <rFont val="ＭＳ Ｐゴシック"/>
        <family val="3"/>
        <charset val="128"/>
      </rPr>
      <t>+dX</t>
    </r>
    <r>
      <rPr>
        <vertAlign val="superscript"/>
        <sz val="11"/>
        <rFont val="ＭＳ Ｐゴシック"/>
        <family val="3"/>
        <charset val="128"/>
      </rPr>
      <t>3</t>
    </r>
    <r>
      <rPr>
        <sz val="11"/>
        <rFont val="ＭＳ Ｐゴシック"/>
        <family val="3"/>
        <charset val="128"/>
      </rPr>
      <t>+eX</t>
    </r>
    <r>
      <rPr>
        <vertAlign val="superscript"/>
        <sz val="11"/>
        <rFont val="ＭＳ Ｐゴシック"/>
        <family val="3"/>
        <charset val="128"/>
      </rPr>
      <t>4</t>
    </r>
    <r>
      <rPr>
        <sz val="11"/>
        <rFont val="ＭＳ Ｐゴシック"/>
        <family val="3"/>
        <charset val="128"/>
      </rPr>
      <t>+fX</t>
    </r>
    <r>
      <rPr>
        <vertAlign val="superscript"/>
        <sz val="11"/>
        <rFont val="ＭＳ Ｐゴシック"/>
        <family val="3"/>
        <charset val="128"/>
      </rPr>
      <t>5</t>
    </r>
    <r>
      <rPr>
        <sz val="11"/>
        <rFont val="ＭＳ Ｐゴシック"/>
        <family val="3"/>
        <charset val="128"/>
      </rPr>
      <t>+gX</t>
    </r>
    <r>
      <rPr>
        <vertAlign val="superscript"/>
        <sz val="11"/>
        <rFont val="ＭＳ Ｐゴシック"/>
        <family val="3"/>
        <charset val="128"/>
      </rPr>
      <t>6</t>
    </r>
    <r>
      <rPr>
        <sz val="11"/>
        <rFont val="ＭＳ Ｐゴシック"/>
        <family val="3"/>
        <charset val="128"/>
      </rPr>
      <t>)</t>
    </r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</si>
  <si>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</si>
  <si>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</si>
  <si>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</si>
  <si>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</si>
  <si>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</si>
  <si>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</si>
  <si>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</si>
  <si>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</si>
  <si>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</si>
  <si>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</si>
  <si>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</si>
  <si>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</si>
  <si>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</si>
  <si>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</si>
  <si>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範囲(大)</t>
    <rPh sb="0" eb="2">
      <t>ハンイ</t>
    </rPh>
    <rPh sb="3" eb="4">
      <t>ダイ</t>
    </rPh>
    <phoneticPr fontId="1"/>
  </si>
  <si>
    <t>範囲(小)</t>
    <rPh sb="0" eb="2">
      <t>ハンイ</t>
    </rPh>
    <rPh sb="3" eb="4">
      <t>ショウ</t>
    </rPh>
    <phoneticPr fontId="1"/>
  </si>
  <si>
    <t>f</t>
    <phoneticPr fontId="1"/>
  </si>
  <si>
    <t>g</t>
    <phoneticPr fontId="1"/>
  </si>
  <si>
    <t>範囲分け数</t>
    <rPh sb="0" eb="2">
      <t>ハンイ</t>
    </rPh>
    <rPh sb="2" eb="3">
      <t>ワ</t>
    </rPh>
    <rPh sb="4" eb="5">
      <t>スウ</t>
    </rPh>
    <phoneticPr fontId="1"/>
  </si>
  <si>
    <t>MEWS Aerated Concrete</t>
  </si>
  <si>
    <t>MEWS Oriented Strand Board</t>
  </si>
  <si>
    <t>MEWS Plywood</t>
  </si>
  <si>
    <t>MEWS Building Membrane IA</t>
  </si>
  <si>
    <t>MEWS Building Membrane II</t>
  </si>
  <si>
    <t>MEWS Building Membrane III</t>
  </si>
  <si>
    <t>MEWS Building Membrane IVA</t>
  </si>
  <si>
    <t>MEWS Building Membrane V A</t>
  </si>
  <si>
    <t>MEWS Building Membrane V C</t>
  </si>
  <si>
    <t>MEWS Building Membrane VI</t>
  </si>
  <si>
    <t>MEWS Building Membrane VII</t>
  </si>
  <si>
    <t>MEWS Building Membrane VIII</t>
  </si>
  <si>
    <t>MEWS Building Membrane IX</t>
  </si>
  <si>
    <t>MEWS Brick I - White Concrete Brick</t>
  </si>
  <si>
    <t>MEWS Brick II - Red Matt Clay Brick</t>
  </si>
  <si>
    <t>MEWS Brick III - Buff Matt Clay Brick</t>
  </si>
  <si>
    <t>MEWS Brick IV - Textured Coated Clay Brick</t>
  </si>
  <si>
    <t>MEWS Brick V - Concrete Brick</t>
  </si>
  <si>
    <t>MEWS Brick VI - Calcium Silicate Brick</t>
  </si>
  <si>
    <t>MEWS Mortar 1-S</t>
  </si>
  <si>
    <t>MEWS Mortar 1-N</t>
  </si>
  <si>
    <t>MEWS Mortar 2-S</t>
  </si>
  <si>
    <t>MEWS Mortar 2-N</t>
  </si>
  <si>
    <t>MEWS Regular Lime Stucco</t>
  </si>
  <si>
    <t>MEWS Regular Portland Stucco</t>
  </si>
  <si>
    <t>MEWS Acrylic Stucco</t>
  </si>
  <si>
    <t>MEWS Fibreboard I - Paper Facer</t>
  </si>
  <si>
    <t>MEWS Fibreboard II - Plain</t>
  </si>
  <si>
    <t>MEWS Fibreboard III - Foil Facer</t>
  </si>
  <si>
    <t>MEWS Fibreboard IV - Plain</t>
  </si>
  <si>
    <t>MEWS Fibreboard V - Black Coat</t>
  </si>
  <si>
    <t>MEWS Fibreboard VI - Black Coat</t>
  </si>
  <si>
    <t>MEWS Fibreboard VII - Black Coat</t>
  </si>
  <si>
    <t>MEWS Fibreboard VIII - Black Coat</t>
  </si>
  <si>
    <t>MEWS Siding I - OSB</t>
  </si>
  <si>
    <t>MEWS Siding II - Plywood</t>
  </si>
  <si>
    <t>MEWS Siding III - Fibreboard</t>
  </si>
  <si>
    <t>MEWS Siding IV - Fibreboard</t>
  </si>
  <si>
    <t>MEWS Siding V - Fibreboard</t>
  </si>
  <si>
    <t>MEWS EIFS Base Coat + Finish Coat</t>
  </si>
  <si>
    <t>MEWS Exterior Grade Gypsum Board</t>
  </si>
  <si>
    <t>MEWS Spray Polyurethane Foam</t>
  </si>
  <si>
    <t>ASHRAE OSB -1</t>
  </si>
  <si>
    <t>ASHRAE OSB -2</t>
  </si>
  <si>
    <t>ASHRAE OSB -3</t>
  </si>
  <si>
    <t>ASHRAE Plywood -1</t>
  </si>
  <si>
    <t>ASHRAE Plywood -2</t>
  </si>
  <si>
    <t>ASHRAE Plywood -3</t>
  </si>
  <si>
    <t>ASHRAE Fibreboard</t>
  </si>
  <si>
    <t>ASHRAE Eastern White Cedar</t>
  </si>
  <si>
    <t>ASHRAE Western Red Cedar</t>
  </si>
  <si>
    <t>ASHRAE Spruce</t>
  </si>
  <si>
    <t>ASHRAE Eastern White Pine</t>
  </si>
  <si>
    <t>ASHRAE Southern Yellow Pine</t>
  </si>
  <si>
    <t>ASHRAE Composite Wood Siding</t>
  </si>
  <si>
    <t>ASHRAE Clay Brick</t>
  </si>
  <si>
    <t>ASHRAE Mortar</t>
  </si>
  <si>
    <t>ASHRAE Stucco</t>
  </si>
  <si>
    <t>ASHRAE Fibre Cement Board</t>
  </si>
  <si>
    <t>ASHRAE Cement Board</t>
  </si>
  <si>
    <t>ASHRAE Lime Stone</t>
  </si>
  <si>
    <t>ASHRAE Low-density Glassfibre Batt Insulation</t>
  </si>
  <si>
    <t>ASHRAE Cellulose Insulation</t>
  </si>
  <si>
    <t>ASHRAE Expanded Polystyrene Insulation</t>
  </si>
  <si>
    <t>ASHRAE Extruded Polystyrene Insulation</t>
  </si>
  <si>
    <t>ASHRAE Spray Polyurethane Foam Insulation</t>
  </si>
  <si>
    <t>ASHRAE Polyisocyanurate Insulation</t>
  </si>
  <si>
    <t>ASHRAE Low-density Polyurethane Foam Insulation</t>
  </si>
  <si>
    <t>ASHRAE #15 Felt</t>
  </si>
  <si>
    <t>ASHRAE 10 min Paper</t>
  </si>
  <si>
    <t>ASHRAE 30 min Paper</t>
  </si>
  <si>
    <t>ASHRAE 60 min Paper</t>
  </si>
  <si>
    <t>ASHRAE Spun Bonded Polyolefin Membrane</t>
  </si>
  <si>
    <t>ASHRAE Bonded Polyolefin Membrane (Crinkled )</t>
  </si>
  <si>
    <t>ASHRAE Vinyl Wallpaper</t>
  </si>
  <si>
    <t>ASHRAE Gypsum</t>
  </si>
  <si>
    <t>ASHRAE Gypsum + Primer</t>
  </si>
  <si>
    <t>ASHRAE Gypsum + Primer + Latex</t>
  </si>
  <si>
    <t>ASHRAE EIFS Base Coat and Finish Coat</t>
  </si>
  <si>
    <t>Material</t>
    <phoneticPr fontId="1"/>
  </si>
  <si>
    <t>No</t>
    <phoneticPr fontId="1"/>
  </si>
  <si>
    <t>a</t>
  </si>
  <si>
    <t>b</t>
  </si>
  <si>
    <t>c</t>
  </si>
  <si>
    <t>d</t>
  </si>
  <si>
    <t>Parameter</t>
    <phoneticPr fontId="1"/>
  </si>
  <si>
    <t>f</t>
    <phoneticPr fontId="1"/>
  </si>
  <si>
    <t>g</t>
    <phoneticPr fontId="1"/>
  </si>
  <si>
    <t>Material Properties for hygrothermal analysis</t>
    <phoneticPr fontId="1"/>
  </si>
  <si>
    <t>材料名</t>
  </si>
  <si>
    <t>グラフ比較用選択(ドロップダウンで材料を選択)</t>
  </si>
  <si>
    <t>選択No</t>
  </si>
  <si>
    <t>材料名(表示)</t>
  </si>
  <si>
    <t>グラフ比較用選択(番号を選択)</t>
  </si>
  <si>
    <t>既定上限含水率(未設定時)</t>
  </si>
  <si>
    <t>最大境界値(kg/kg)</t>
  </si>
  <si>
    <t>整合性チェック</t>
  </si>
  <si>
    <t>Moisture conductivity (kg/msPa)</t>
  </si>
  <si>
    <t>Absorption (kg/kg)</t>
  </si>
  <si>
    <t>Liquid diffusivity</t>
  </si>
  <si>
    <r>
      <t>Dry Density (kg/m</t>
    </r>
    <r>
      <rPr>
        <vertAlign val="superscript"/>
        <sz val="11"/>
        <rFont val="ＭＳ Ｐゴシック"/>
        <family val="3"/>
        <charset val="128"/>
      </rPr>
      <t>3</t>
    </r>
    <r>
      <rPr>
        <sz val="11"/>
        <rFont val="ＭＳ Ｐゴシック"/>
        <family val="3"/>
        <charset val="128"/>
      </rPr>
      <t>)</t>
    </r>
  </si>
  <si>
    <t>Heat Capacity (J/(kg K))</t>
  </si>
  <si>
    <t>Thermal Conductivity (W/(m K))</t>
  </si>
  <si>
    <r>
      <t>Air Permeability (m</t>
    </r>
    <r>
      <rPr>
        <vertAlign val="superscript"/>
        <sz val="11"/>
        <rFont val="ＭＳ Ｐゴシック"/>
        <family val="3"/>
        <charset val="128"/>
      </rPr>
      <t>2</t>
    </r>
    <r>
      <rPr>
        <sz val="11"/>
        <rFont val="ＭＳ Ｐゴシック"/>
        <family val="3"/>
        <charset val="128"/>
      </rPr>
      <t>)</t>
    </r>
  </si>
  <si>
    <t>Parameter</t>
  </si>
  <si>
    <t>f</t>
  </si>
  <si>
    <t>g</t>
  </si>
  <si>
    <t>Y = a·X^b · exp(c·(1 − X^d))</t>
  </si>
  <si>
    <t>Y = (f − g)·(X − 0.98) / 0.02 + g</t>
  </si>
  <si>
    <t>湿気伝導率</t>
  </si>
  <si>
    <t>No</t>
  </si>
  <si>
    <t>境界値チェック (RH=0.98)</t>
  </si>
  <si>
    <t>Y@0.98 (a-d式)</t>
  </si>
  <si>
    <t>Y@0.98 (f-g式)</t>
  </si>
  <si>
    <t>Δ (J-K)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</si>
</sst>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"/>
  </numFmts>
  <fonts count="1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name val="ＭＳ Ｐゴシック"/>
      <family val="3"/>
      <charset val="128"/>
    </font>
    <font>
      <b/>
      <sz val="11"/>
      <color rgb="FF0000FF"/>
      <name val="ＭＳ Ｐゴシック"/>
      <family val="3"/>
      <charset val="128"/>
    </font>
    <font>
      <i/>
      <sz val="10"/>
      <color rgb="FF595959"/>
      <name val="ＭＳ Ｐゴシック"/>
      <family val="3"/>
      <charset val="128"/>
    </font>
    <font>
      <i/>
      <sz val="10"/>
      <color rgb="FF9C5700"/>
      <name val="ＭＳ Ｐゴシック"/>
      <family val="3"/>
      <charset val="128"/>
    </font>
    <font>
      <b/>
      <sz val="14"/>
      <name val="ＭＳ Ｐゴシック"/>
      <family val="3"/>
      <charset val="128"/>
    </font>
    <font>
      <i/>
      <sz val="10"/>
      <color rgb="FF7030A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/>
      <top/>
      <bottom style="thin">
        <color rgb="FFBFBFBF"/>
      </bottom>
      <diagonal/>
    </border>
    <border>
      <left style="thin">
        <color indexed="64"/>
      </left>
      <right style="thin">
        <color rgb="FFBFBFBF"/>
      </right>
      <top/>
      <bottom/>
      <diagonal/>
    </border>
    <border>
      <left style="thin">
        <color indexed="64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indexed="64"/>
      </right>
      <top/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0" borderId="2" xfId="0" applyBorder="1">
      <alignment vertical="center"/>
    </xf>
    <xf numFmtId="11" fontId="0" fillId="0" borderId="0" xfId="0" applyNumberFormat="1">
      <alignment vertical="center"/>
    </xf>
    <xf numFmtId="0" fontId="0" fillId="0" borderId="3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2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164" fontId="0" fillId="0" borderId="0" xfId="0" applyNumberFormat="1">
      <alignment vertical="center"/>
    </xf>
    <xf numFmtId="164" fontId="0" fillId="0" borderId="1" xfId="0" applyNumberFormat="1" applyBorder="1">
      <alignment vertical="center"/>
    </xf>
    <xf numFmtId="164" fontId="0" fillId="2" borderId="1" xfId="0" applyNumberFormat="1" applyFill="1" applyBorder="1">
      <alignment vertical="center"/>
    </xf>
    <xf numFmtId="164" fontId="0" fillId="0" borderId="2" xfId="0" applyNumberFormat="1" applyBorder="1">
      <alignment vertical="center"/>
    </xf>
    <xf numFmtId="164" fontId="0" fillId="0" borderId="3" xfId="0" applyNumberFormat="1" applyBorder="1">
      <alignment vertical="center"/>
    </xf>
    <xf numFmtId="0" fontId="3" fillId="0" borderId="0" xfId="0" applyFont="1">
      <alignment vertical="center"/>
    </xf>
    <xf numFmtId="11" fontId="3" fillId="0" borderId="3" xfId="0" applyNumberFormat="1" applyFont="1" applyBorder="1">
      <alignment vertical="center"/>
    </xf>
    <xf numFmtId="0" fontId="3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0" fillId="0" borderId="0" xfId="0" applyBorder="1">
      <alignment vertical="center"/>
    </xf>
    <xf numFmtId="0" fontId="3" fillId="3" borderId="0" xfId="0" applyFont="1" applyFill="1">
      <alignment vertical="center"/>
    </xf>
    <xf numFmtId="11" fontId="3" fillId="0" borderId="2" xfId="0" applyNumberFormat="1" applyFont="1" applyBorder="1">
      <alignment vertical="center"/>
    </xf>
    <xf numFmtId="0" fontId="6" fillId="0" borderId="0" xfId="0" applyFont="1" applyAlignment="1">
      <alignment horizontal="right" vertical="center"/>
    </xf>
    <xf numFmtId="165" fontId="7" fillId="0" borderId="0" xfId="0" applyNumberFormat="1" applyFont="1">
      <alignment vertical="center"/>
    </xf>
    <xf numFmtId="0" fontId="6" fillId="0" borderId="3" xfId="0" applyFont="1" applyFill="1" applyBorder="1">
      <alignment vertical="center"/>
    </xf>
    <xf numFmtId="0" fontId="6" fillId="0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3" fillId="0" borderId="0" xfId="0" applyFont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3" fillId="0" borderId="5" xfId="0" applyFont="1" applyBorder="1">
      <alignment vertical="center"/>
    </xf>
    <xf numFmtId="0" fontId="0" fillId="0" borderId="7" xfId="0" applyBorder="1">
      <alignment vertical="center"/>
    </xf>
    <xf numFmtId="0" fontId="10" fillId="0" borderId="0" xfId="0" applyFont="1">
      <alignment vertical="center"/>
    </xf>
    <xf numFmtId="0" fontId="0" fillId="0" borderId="8" xfId="0" applyFill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3" fillId="0" borderId="10" xfId="0" applyFont="1" applyBorder="1">
      <alignment vertical="center"/>
    </xf>
    <xf numFmtId="0" fontId="0" fillId="0" borderId="12" xfId="0" applyBorder="1">
      <alignment vertical="center"/>
    </xf>
    <xf numFmtId="0" fontId="3" fillId="0" borderId="4" xfId="0" applyFont="1" applyBorder="1">
      <alignment vertical="center"/>
    </xf>
    <xf numFmtId="11" fontId="3" fillId="0" borderId="8" xfId="0" applyNumberFormat="1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1" xfId="0" applyFont="1" applyBorder="1">
      <alignment vertical="center"/>
    </xf>
    <xf numFmtId="11" fontId="0" fillId="0" borderId="4" xfId="0" applyNumberFormat="1" applyBorder="1">
      <alignment vertical="center"/>
    </xf>
    <xf numFmtId="11" fontId="0" fillId="0" borderId="0" xfId="0" applyNumberFormat="1" applyBorder="1">
      <alignment vertical="center"/>
    </xf>
    <xf numFmtId="0" fontId="0" fillId="0" borderId="2" xfId="0" applyFill="1" applyBorder="1">
      <alignment vertical="center"/>
    </xf>
    <xf numFmtId="0" fontId="11" fillId="0" borderId="0" xfId="0" applyFont="1" applyBorder="1" applyAlignment="1">
      <alignment horizontal="left" vertical="center"/>
    </xf>
    <xf numFmtId="11" fontId="3" fillId="0" borderId="5" xfId="0" applyNumberFormat="1" applyFont="1" applyBorder="1" applyAlignment="1">
      <alignment horizontal="right" vertical="center"/>
    </xf>
  </cellXfs>
  <cellStyles count="1">
    <cellStyle name="Normal" xfId="0" builtinId="0"/>
  </cellStyles>
  <dxfs count="5"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8CBAD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 Vapour Permeability vs 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湿気伝導率!$B$85</c:f>
              <c:strCache>
                <c:ptCount val="1"/>
                <c:pt idx="0">
                  <c:v>MEWS Aerated Concrete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湿気伝導率!$G$2:$CQ$2</c:f>
              <c:numCache>
                <c:formatCode>General</c:formatCode>
                <c:ptCount val="8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0.96100000000000052</c:v>
                </c:pt>
                <c:pt idx="50">
                  <c:v>0.96200000000000052</c:v>
                </c:pt>
                <c:pt idx="51">
                  <c:v>0.96300000000000052</c:v>
                </c:pt>
                <c:pt idx="52">
                  <c:v>0.96400000000000052</c:v>
                </c:pt>
                <c:pt idx="53">
                  <c:v>0.96500000000000052</c:v>
                </c:pt>
                <c:pt idx="54">
                  <c:v>0.96600000000000052</c:v>
                </c:pt>
                <c:pt idx="55">
                  <c:v>0.96700000000000053</c:v>
                </c:pt>
                <c:pt idx="56">
                  <c:v>0.96800000000000053</c:v>
                </c:pt>
                <c:pt idx="57">
                  <c:v>0.96900000000000053</c:v>
                </c:pt>
                <c:pt idx="58">
                  <c:v>0.97000000000000053</c:v>
                </c:pt>
                <c:pt idx="59">
                  <c:v>0.97100000000000053</c:v>
                </c:pt>
                <c:pt idx="60">
                  <c:v>0.97200000000000053</c:v>
                </c:pt>
                <c:pt idx="61">
                  <c:v>0.97300000000000053</c:v>
                </c:pt>
                <c:pt idx="62">
                  <c:v>0.97400000000000053</c:v>
                </c:pt>
                <c:pt idx="63">
                  <c:v>0.97500000000000053</c:v>
                </c:pt>
                <c:pt idx="64">
                  <c:v>0.97600000000000053</c:v>
                </c:pt>
                <c:pt idx="65">
                  <c:v>0.97700000000000053</c:v>
                </c:pt>
                <c:pt idx="66">
                  <c:v>0.97800000000000054</c:v>
                </c:pt>
                <c:pt idx="67">
                  <c:v>0.97900000000000054</c:v>
                </c:pt>
                <c:pt idx="68">
                  <c:v>0.98000000000000054</c:v>
                </c:pt>
                <c:pt idx="69">
                  <c:v>0.98100000000000054</c:v>
                </c:pt>
                <c:pt idx="70">
                  <c:v>0.98200000000000054</c:v>
                </c:pt>
                <c:pt idx="71">
                  <c:v>0.98300000000000054</c:v>
                </c:pt>
                <c:pt idx="72">
                  <c:v>0.98400000000000054</c:v>
                </c:pt>
                <c:pt idx="73">
                  <c:v>0.98500000000000054</c:v>
                </c:pt>
                <c:pt idx="74">
                  <c:v>0.98600000000000054</c:v>
                </c:pt>
                <c:pt idx="75">
                  <c:v>0.98700000000000054</c:v>
                </c:pt>
                <c:pt idx="76">
                  <c:v>0.98800000000000054</c:v>
                </c:pt>
                <c:pt idx="77">
                  <c:v>0.98900000000000055</c:v>
                </c:pt>
                <c:pt idx="78">
                  <c:v>0.99000000000000055</c:v>
                </c:pt>
                <c:pt idx="79">
                  <c:v>0.99100000000000055</c:v>
                </c:pt>
                <c:pt idx="80">
                  <c:v>0.99200000000000055</c:v>
                </c:pt>
                <c:pt idx="81">
                  <c:v>0.99300000000000055</c:v>
                </c:pt>
                <c:pt idx="82">
                  <c:v>0.99400000000000055</c:v>
                </c:pt>
                <c:pt idx="83">
                  <c:v>0.99500000000000055</c:v>
                </c:pt>
                <c:pt idx="84">
                  <c:v>0.99600000000000055</c:v>
                </c:pt>
                <c:pt idx="85">
                  <c:v>0.99700000000000055</c:v>
                </c:pt>
                <c:pt idx="86">
                  <c:v>0.99800000000000055</c:v>
                </c:pt>
                <c:pt idx="87">
                  <c:v>0.99900000000000055</c:v>
                </c:pt>
                <c:pt idx="88">
                  <c:v>1.0000000000000004</c:v>
                </c:pt>
              </c:numCache>
            </c:numRef>
          </c:xVal>
          <c:yVal>
            <c:numRef>
              <c:f>湿気伝導率!$G$85:$CQ$85</c:f>
              <c:numCache>
                <c:formatCode>General</c:formatCode>
                <c:ptCount val="89"/>
                <c:pt idx="0">
                  <c:v>0</c:v>
                </c:pt>
                <c:pt idx="1">
                  <c:v>9.5164042572472122E-12</c:v>
                </c:pt>
                <c:pt idx="2">
                  <c:v>1.0018327225458146E-11</c:v>
                </c:pt>
                <c:pt idx="3">
                  <c:v>1.0433444240582026E-11</c:v>
                </c:pt>
                <c:pt idx="4">
                  <c:v>1.0825165580194442E-11</c:v>
                </c:pt>
                <c:pt idx="5">
                  <c:v>1.1212930845229764E-11</c:v>
                </c:pt>
                <c:pt idx="6">
                  <c:v>1.1605346040896646E-11</c:v>
                </c:pt>
                <c:pt idx="7">
                  <c:v>1.200709996426841E-11</c:v>
                </c:pt>
                <c:pt idx="8">
                  <c:v>1.2421155222653876E-11</c:v>
                </c:pt>
                <c:pt idx="9">
                  <c:v>1.2849617130041594E-11</c:v>
                </c:pt>
                <c:pt idx="10">
                  <c:v>1.329413229919333E-11</c:v>
                </c:pt>
                <c:pt idx="11">
                  <c:v>1.3756091557642101E-11</c:v>
                </c:pt>
                <c:pt idx="12">
                  <c:v>1.4236741823641588E-11</c:v>
                </c:pt>
                <c:pt idx="13">
                  <c:v>1.4737251908197701E-11</c:v>
                </c:pt>
                <c:pt idx="14">
                  <c:v>1.5258753420263187E-11</c:v>
                </c:pt>
                <c:pt idx="15">
                  <c:v>1.5802367497397912E-11</c:v>
                </c:pt>
                <c:pt idx="16">
                  <c:v>1.6369223120051725E-11</c:v>
                </c:pt>
                <c:pt idx="17">
                  <c:v>1.6960470257084903E-11</c:v>
                </c:pt>
                <c:pt idx="18">
                  <c:v>1.7577289752025284E-11</c:v>
                </c:pt>
                <c:pt idx="19">
                  <c:v>1.8220901113950452E-11</c:v>
                </c:pt>
                <c:pt idx="20">
                  <c:v>1.8892568945303547E-11</c:v>
                </c:pt>
                <c:pt idx="21">
                  <c:v>1.9593608480774483E-11</c:v>
                </c:pt>
                <c:pt idx="22">
                  <c:v>2.0325390552434935E-11</c:v>
                </c:pt>
                <c:pt idx="23">
                  <c:v>2.1089346195972715E-11</c:v>
                </c:pt>
                <c:pt idx="24">
                  <c:v>2.1886971048114512E-11</c:v>
                </c:pt>
                <c:pt idx="25">
                  <c:v>2.2719829642725325E-11</c:v>
                </c:pt>
                <c:pt idx="26">
                  <c:v>2.3589559684581305E-11</c:v>
                </c:pt>
                <c:pt idx="27">
                  <c:v>2.4497876360492414E-11</c:v>
                </c:pt>
                <c:pt idx="28">
                  <c:v>2.5446576734205907E-11</c:v>
                </c:pt>
                <c:pt idx="29">
                  <c:v>2.6437544262371307E-11</c:v>
                </c:pt>
                <c:pt idx="30">
                  <c:v>2.7472753462503301E-11</c:v>
                </c:pt>
                <c:pt idx="31">
                  <c:v>2.8554274759489427E-11</c:v>
                </c:pt>
                <c:pt idx="32">
                  <c:v>2.9684279534180363E-11</c:v>
                </c:pt>
                <c:pt idx="33">
                  <c:v>3.0865045395585048E-11</c:v>
                </c:pt>
                <c:pt idx="34">
                  <c:v>3.2098961696900092E-11</c:v>
                </c:pt>
                <c:pt idx="35">
                  <c:v>3.3388535314848201E-11</c:v>
                </c:pt>
                <c:pt idx="36">
                  <c:v>3.473639671145097E-11</c:v>
                </c:pt>
                <c:pt idx="37">
                  <c:v>3.6145306297326198E-11</c:v>
                </c:pt>
                <c:pt idx="38">
                  <c:v>3.7618161115809518E-11</c:v>
                </c:pt>
                <c:pt idx="39">
                  <c:v>3.9158001867611462E-11</c:v>
                </c:pt>
                <c:pt idx="40">
                  <c:v>4.0768020296295998E-11</c:v>
                </c:pt>
                <c:pt idx="41">
                  <c:v>4.245156695558356E-11</c:v>
                </c:pt>
                <c:pt idx="42">
                  <c:v>4.4212159380322518E-11</c:v>
                </c:pt>
                <c:pt idx="43">
                  <c:v>4.6053490683925581E-11</c:v>
                </c:pt>
                <c:pt idx="44">
                  <c:v>4.7979438606124514E-11</c:v>
                </c:pt>
                <c:pt idx="45">
                  <c:v>4.9994075036052409E-11</c:v>
                </c:pt>
                <c:pt idx="46">
                  <c:v>5.2101676036914064E-11</c:v>
                </c:pt>
                <c:pt idx="47">
                  <c:v>5.4306732399852037E-11</c:v>
                </c:pt>
                <c:pt idx="48">
                  <c:v>5.661396075605752E-11</c:v>
                </c:pt>
                <c:pt idx="49">
                  <c:v>5.6732092010712545E-11</c:v>
                </c:pt>
                <c:pt idx="50">
                  <c:v>5.6850491664149054E-11</c:v>
                </c:pt>
                <c:pt idx="51">
                  <c:v>5.6969160353206359E-11</c:v>
                </c:pt>
                <c:pt idx="52">
                  <c:v>5.7088098716292645E-11</c:v>
                </c:pt>
                <c:pt idx="53">
                  <c:v>5.7207307393388958E-11</c:v>
                </c:pt>
                <c:pt idx="54">
                  <c:v>5.7326787026053175E-11</c:v>
                </c:pt>
                <c:pt idx="55">
                  <c:v>5.7446538257424039E-11</c:v>
                </c:pt>
                <c:pt idx="56">
                  <c:v>5.7566561732225106E-11</c:v>
                </c:pt>
                <c:pt idx="57">
                  <c:v>5.7686858096768828E-11</c:v>
                </c:pt>
                <c:pt idx="58">
                  <c:v>5.7807427998960493E-11</c:v>
                </c:pt>
                <c:pt idx="59">
                  <c:v>5.7928272088302362E-11</c:v>
                </c:pt>
                <c:pt idx="60">
                  <c:v>5.8049391015897662E-11</c:v>
                </c:pt>
                <c:pt idx="61">
                  <c:v>5.8170785434454618E-11</c:v>
                </c:pt>
                <c:pt idx="62">
                  <c:v>5.8292455998290588E-11</c:v>
                </c:pt>
                <c:pt idx="63">
                  <c:v>5.8414403363336122E-11</c:v>
                </c:pt>
                <c:pt idx="64">
                  <c:v>5.8536628187138968E-11</c:v>
                </c:pt>
                <c:pt idx="65">
                  <c:v>5.8659131128868358E-11</c:v>
                </c:pt>
                <c:pt idx="66">
                  <c:v>5.8781912849318869E-11</c:v>
                </c:pt>
                <c:pt idx="67">
                  <c:v>5.8904974010914791E-11</c:v>
                </c:pt>
                <c:pt idx="68">
                  <c:v>5.9028315277714108E-11</c:v>
                </c:pt>
                <c:pt idx="69">
                  <c:v>5.9151937315412689E-11</c:v>
                </c:pt>
                <c:pt idx="70">
                  <c:v>5.9275840791348393E-11</c:v>
                </c:pt>
                <c:pt idx="71">
                  <c:v>5.9400026374505362E-11</c:v>
                </c:pt>
                <c:pt idx="72">
                  <c:v>5.9524494735518029E-11</c:v>
                </c:pt>
                <c:pt idx="73">
                  <c:v>5.9649246546675434E-11</c:v>
                </c:pt>
                <c:pt idx="74">
                  <c:v>5.9774282481925371E-11</c:v>
                </c:pt>
                <c:pt idx="75">
                  <c:v>5.9899603216878567E-11</c:v>
                </c:pt>
                <c:pt idx="76">
                  <c:v>6.0025209428812968E-11</c:v>
                </c:pt>
                <c:pt idx="77">
                  <c:v>6.0151101796677917E-11</c:v>
                </c:pt>
                <c:pt idx="78">
                  <c:v>6.0277281001098443E-11</c:v>
                </c:pt>
                <c:pt idx="79">
                  <c:v>6.0403747724379411E-11</c:v>
                </c:pt>
                <c:pt idx="80">
                  <c:v>6.0530502650509945E-11</c:v>
                </c:pt>
                <c:pt idx="81">
                  <c:v>6.0657546465167556E-11</c:v>
                </c:pt>
                <c:pt idx="82">
                  <c:v>6.0784879855722494E-11</c:v>
                </c:pt>
                <c:pt idx="83">
                  <c:v>6.0912503511242083E-11</c:v>
                </c:pt>
                <c:pt idx="84">
                  <c:v>6.1040418122494914E-11</c:v>
                </c:pt>
                <c:pt idx="85">
                  <c:v>6.1168624381955276E-11</c:v>
                </c:pt>
                <c:pt idx="86">
                  <c:v>6.1297122983807407E-11</c:v>
                </c:pt>
                <c:pt idx="87">
                  <c:v>6.1425914623949905E-11</c:v>
                </c:pt>
                <c:pt idx="88">
                  <c:v>6.155500000000004E-11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BD-C542-B58C-F5196F6BF226}"/>
            </c:ext>
          </c:extLst>
        </c:ser>
        <c:ser>
          <c:idx val="1"/>
          <c:order val="1"/>
          <c:tx>
            <c:strRef>
              <c:f>湿気伝導率!$B$86</c:f>
              <c:strCache>
                <c:ptCount val="1"/>
                <c:pt idx="0">
                  <c:v>ASHRAE Lime Stone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湿気伝導率!$G$2:$CQ$2</c:f>
              <c:numCache>
                <c:formatCode>General</c:formatCode>
                <c:ptCount val="8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0.96100000000000052</c:v>
                </c:pt>
                <c:pt idx="50">
                  <c:v>0.96200000000000052</c:v>
                </c:pt>
                <c:pt idx="51">
                  <c:v>0.96300000000000052</c:v>
                </c:pt>
                <c:pt idx="52">
                  <c:v>0.96400000000000052</c:v>
                </c:pt>
                <c:pt idx="53">
                  <c:v>0.96500000000000052</c:v>
                </c:pt>
                <c:pt idx="54">
                  <c:v>0.96600000000000052</c:v>
                </c:pt>
                <c:pt idx="55">
                  <c:v>0.96700000000000053</c:v>
                </c:pt>
                <c:pt idx="56">
                  <c:v>0.96800000000000053</c:v>
                </c:pt>
                <c:pt idx="57">
                  <c:v>0.96900000000000053</c:v>
                </c:pt>
                <c:pt idx="58">
                  <c:v>0.97000000000000053</c:v>
                </c:pt>
                <c:pt idx="59">
                  <c:v>0.97100000000000053</c:v>
                </c:pt>
                <c:pt idx="60">
                  <c:v>0.97200000000000053</c:v>
                </c:pt>
                <c:pt idx="61">
                  <c:v>0.97300000000000053</c:v>
                </c:pt>
                <c:pt idx="62">
                  <c:v>0.97400000000000053</c:v>
                </c:pt>
                <c:pt idx="63">
                  <c:v>0.97500000000000053</c:v>
                </c:pt>
                <c:pt idx="64">
                  <c:v>0.97600000000000053</c:v>
                </c:pt>
                <c:pt idx="65">
                  <c:v>0.97700000000000053</c:v>
                </c:pt>
                <c:pt idx="66">
                  <c:v>0.97800000000000054</c:v>
                </c:pt>
                <c:pt idx="67">
                  <c:v>0.97900000000000054</c:v>
                </c:pt>
                <c:pt idx="68">
                  <c:v>0.98000000000000054</c:v>
                </c:pt>
                <c:pt idx="69">
                  <c:v>0.98100000000000054</c:v>
                </c:pt>
                <c:pt idx="70">
                  <c:v>0.98200000000000054</c:v>
                </c:pt>
                <c:pt idx="71">
                  <c:v>0.98300000000000054</c:v>
                </c:pt>
                <c:pt idx="72">
                  <c:v>0.98400000000000054</c:v>
                </c:pt>
                <c:pt idx="73">
                  <c:v>0.98500000000000054</c:v>
                </c:pt>
                <c:pt idx="74">
                  <c:v>0.98600000000000054</c:v>
                </c:pt>
                <c:pt idx="75">
                  <c:v>0.98700000000000054</c:v>
                </c:pt>
                <c:pt idx="76">
                  <c:v>0.98800000000000054</c:v>
                </c:pt>
                <c:pt idx="77">
                  <c:v>0.98900000000000055</c:v>
                </c:pt>
                <c:pt idx="78">
                  <c:v>0.99000000000000055</c:v>
                </c:pt>
                <c:pt idx="79">
                  <c:v>0.99100000000000055</c:v>
                </c:pt>
                <c:pt idx="80">
                  <c:v>0.99200000000000055</c:v>
                </c:pt>
                <c:pt idx="81">
                  <c:v>0.99300000000000055</c:v>
                </c:pt>
                <c:pt idx="82">
                  <c:v>0.99400000000000055</c:v>
                </c:pt>
                <c:pt idx="83">
                  <c:v>0.99500000000000055</c:v>
                </c:pt>
                <c:pt idx="84">
                  <c:v>0.99600000000000055</c:v>
                </c:pt>
                <c:pt idx="85">
                  <c:v>0.99700000000000055</c:v>
                </c:pt>
                <c:pt idx="86">
                  <c:v>0.99800000000000055</c:v>
                </c:pt>
                <c:pt idx="87">
                  <c:v>0.99900000000000055</c:v>
                </c:pt>
                <c:pt idx="88">
                  <c:v>1.0000000000000004</c:v>
                </c:pt>
              </c:numCache>
            </c:numRef>
          </c:xVal>
          <c:yVal>
            <c:numRef>
              <c:f>湿気伝導率!$G$86:$CQ$86</c:f>
              <c:numCache>
                <c:formatCode>General</c:formatCode>
                <c:ptCount val="89"/>
                <c:pt idx="0">
                  <c:v>0</c:v>
                </c:pt>
                <c:pt idx="1">
                  <c:v>1.3009826554383975E-14</c:v>
                </c:pt>
                <c:pt idx="2">
                  <c:v>1.3189090754049347E-14</c:v>
                </c:pt>
                <c:pt idx="3">
                  <c:v>1.3428831876340957E-14</c:v>
                </c:pt>
                <c:pt idx="4">
                  <c:v>1.3734603395510794E-14</c:v>
                </c:pt>
                <c:pt idx="5">
                  <c:v>1.4109222734607268E-14</c:v>
                </c:pt>
                <c:pt idx="6">
                  <c:v>1.4555968008025227E-14</c:v>
                </c:pt>
                <c:pt idx="7">
                  <c:v>1.5079095044923741E-14</c:v>
                </c:pt>
                <c:pt idx="8">
                  <c:v>1.5683988000123921E-14</c:v>
                </c:pt>
                <c:pt idx="9">
                  <c:v>1.6377256135387666E-14</c:v>
                </c:pt>
                <c:pt idx="10">
                  <c:v>1.716684125074259E-14</c:v>
                </c:pt>
                <c:pt idx="11">
                  <c:v>1.8062153052689182E-14</c:v>
                </c:pt>
                <c:pt idx="12">
                  <c:v>1.9074239236451342E-14</c:v>
                </c:pt>
                <c:pt idx="13">
                  <c:v>2.0215995121874081E-14</c:v>
                </c:pt>
                <c:pt idx="14">
                  <c:v>2.1502418114577985E-14</c:v>
                </c:pt>
                <c:pt idx="15">
                  <c:v>2.2950913491520012E-14</c:v>
                </c:pt>
                <c:pt idx="16">
                  <c:v>2.4581659624973653E-14</c:v>
                </c:pt>
                <c:pt idx="17">
                  <c:v>2.6418042686774745E-14</c:v>
                </c:pt>
                <c:pt idx="18">
                  <c:v>2.8487173149851012E-14</c:v>
                </c:pt>
                <c:pt idx="19">
                  <c:v>3.0820499105131057E-14</c:v>
                </c:pt>
                <c:pt idx="20">
                  <c:v>3.3454534644397454E-14</c:v>
                </c:pt>
                <c:pt idx="21">
                  <c:v>3.6431725454025216E-14</c:v>
                </c:pt>
                <c:pt idx="22">
                  <c:v>3.9801478480288461E-14</c:v>
                </c:pt>
                <c:pt idx="23">
                  <c:v>4.3621388259323152E-14</c:v>
                </c:pt>
                <c:pt idx="24">
                  <c:v>4.795869949423064E-14</c:v>
                </c:pt>
                <c:pt idx="25">
                  <c:v>5.2892054005198819E-14</c:v>
                </c:pt>
                <c:pt idx="26">
                  <c:v>5.851358064420509E-14</c:v>
                </c:pt>
                <c:pt idx="27">
                  <c:v>6.4931399611784794E-14</c:v>
                </c:pt>
                <c:pt idx="28">
                  <c:v>7.2272628410205346E-14</c:v>
                </c:pt>
                <c:pt idx="29">
                  <c:v>8.068699612782839E-14</c:v>
                </c:pt>
                <c:pt idx="30">
                  <c:v>9.0351196765022059E-14</c:v>
                </c:pt>
                <c:pt idx="31">
                  <c:v>1.0147414199999792E-13</c:v>
                </c:pt>
                <c:pt idx="32">
                  <c:v>1.1430331055600598E-13</c:v>
                </c:pt>
                <c:pt idx="33">
                  <c:v>1.2913243693310827E-13</c:v>
                </c:pt>
                <c:pt idx="34">
                  <c:v>1.4631083892968305E-13</c:v>
                </c:pt>
                <c:pt idx="35">
                  <c:v>1.6625475390342519E-13</c:v>
                </c:pt>
                <c:pt idx="36">
                  <c:v>1.8946114165041889E-13</c:v>
                </c:pt>
                <c:pt idx="37">
                  <c:v>2.1652452159659403E-13</c:v>
                </c:pt>
                <c:pt idx="38">
                  <c:v>2.4815754938199947E-13</c:v>
                </c:pt>
                <c:pt idx="39">
                  <c:v>2.8521621009261034E-13</c:v>
                </c:pt>
                <c:pt idx="40">
                  <c:v>3.2873072153829803E-13</c:v>
                </c:pt>
                <c:pt idx="41">
                  <c:v>3.7994351278809084E-13</c:v>
                </c:pt>
                <c:pt idx="42">
                  <c:v>4.4035598558644787E-13</c:v>
                </c:pt>
                <c:pt idx="43">
                  <c:v>5.1178619837628021E-13</c:v>
                </c:pt>
                <c:pt idx="44">
                  <c:v>5.9644015889165018E-13</c:v>
                </c:pt>
                <c:pt idx="45">
                  <c:v>6.9700010301364527E-13</c:v>
                </c:pt>
                <c:pt idx="46">
                  <c:v>8.1673401509980533E-13</c:v>
                </c:pt>
                <c:pt idx="47">
                  <c:v>9.5963176016212771E-13</c:v>
                </c:pt>
                <c:pt idx="48">
                  <c:v>1.1305746179456815E-12</c:v>
                </c:pt>
                <c:pt idx="49">
                  <c:v>1.1399599520732392E-12</c:v>
                </c:pt>
                <c:pt idx="50">
                  <c:v>1.149430905788306E-12</c:v>
                </c:pt>
                <c:pt idx="51">
                  <c:v>1.1589883162193596E-12</c:v>
                </c:pt>
                <c:pt idx="52">
                  <c:v>1.1686330291574348E-12</c:v>
                </c:pt>
                <c:pt idx="53">
                  <c:v>1.1783658991501988E-12</c:v>
                </c:pt>
                <c:pt idx="54">
                  <c:v>1.188187789597091E-12</c:v>
                </c:pt>
                <c:pt idx="55">
                  <c:v>1.1980995728455391E-12</c:v>
                </c:pt>
                <c:pt idx="56">
                  <c:v>1.2081021302882714E-12</c:v>
                </c:pt>
                <c:pt idx="57">
                  <c:v>1.2181963524617282E-12</c:v>
                </c:pt>
                <c:pt idx="58">
                  <c:v>1.2283831391455897E-12</c:v>
                </c:pt>
                <c:pt idx="59">
                  <c:v>1.2386633994634387E-12</c:v>
                </c:pt>
                <c:pt idx="60">
                  <c:v>1.2490380519845606E-12</c:v>
                </c:pt>
                <c:pt idx="61">
                  <c:v>1.259508024826904E-12</c:v>
                </c:pt>
                <c:pt idx="62">
                  <c:v>1.2700742557612125E-12</c:v>
                </c:pt>
                <c:pt idx="63">
                  <c:v>1.280737692316336E-12</c:v>
                </c:pt>
                <c:pt idx="64">
                  <c:v>1.2914992918857448E-12</c:v>
                </c:pt>
                <c:pt idx="65">
                  <c:v>1.3023600218352538E-12</c:v>
                </c:pt>
                <c:pt idx="66">
                  <c:v>1.313320859611975E-12</c:v>
                </c:pt>
                <c:pt idx="67">
                  <c:v>1.3243827928545082E-12</c:v>
                </c:pt>
                <c:pt idx="68">
                  <c:v>1.335546819504391E-12</c:v>
                </c:pt>
                <c:pt idx="69">
                  <c:v>1.3468139479188159E-12</c:v>
                </c:pt>
                <c:pt idx="70">
                  <c:v>1.3581851969846394E-12</c:v>
                </c:pt>
                <c:pt idx="71">
                  <c:v>1.3696615962336816E-12</c:v>
                </c:pt>
                <c:pt idx="72">
                  <c:v>1.3812441859593556E-12</c:v>
                </c:pt>
                <c:pt idx="73">
                  <c:v>1.3929340173346151E-12</c:v>
                </c:pt>
                <c:pt idx="74">
                  <c:v>1.4047321525312608E-12</c:v>
                </c:pt>
                <c:pt idx="75">
                  <c:v>1.416639664840603E-12</c:v>
                </c:pt>
                <c:pt idx="76">
                  <c:v>1.4286576387955094E-12</c:v>
                </c:pt>
                <c:pt idx="77">
                  <c:v>1.4407871702938465E-12</c:v>
                </c:pt>
                <c:pt idx="78">
                  <c:v>1.4530293667233329E-12</c:v>
                </c:pt>
                <c:pt idx="79">
                  <c:v>1.4653853470878269E-12</c:v>
                </c:pt>
                <c:pt idx="80">
                  <c:v>1.4778562421350532E-12</c:v>
                </c:pt>
                <c:pt idx="81">
                  <c:v>1.4904431944858001E-12</c:v>
                </c:pt>
                <c:pt idx="82">
                  <c:v>1.5031473587645982E-12</c:v>
                </c:pt>
                <c:pt idx="83">
                  <c:v>1.5159699017318888E-12</c:v>
                </c:pt>
                <c:pt idx="84">
                  <c:v>1.5289120024177224E-12</c:v>
                </c:pt>
                <c:pt idx="85">
                  <c:v>1.5419748522569814E-12</c:v>
                </c:pt>
                <c:pt idx="86">
                  <c:v>1.5551596552261594E-12</c:v>
                </c:pt>
                <c:pt idx="87">
                  <c:v>1.5684676279817144E-12</c:v>
                </c:pt>
                <c:pt idx="88">
                  <c:v>1.5819000000000066E-12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BD-C542-B58C-F5196F6BF226}"/>
            </c:ext>
          </c:extLst>
        </c:ser>
        <c:ser>
          <c:idx val="2"/>
          <c:order val="2"/>
          <c:tx>
            <c:strRef>
              <c:f>湿気伝導率!$B$87</c:f>
              <c:strCache>
                <c:ptCount val="1"/>
                <c:pt idx="0">
                  <c:v>ASHRAE OSB -1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湿気伝導率!$G$2:$CQ$2</c:f>
              <c:numCache>
                <c:formatCode>General</c:formatCode>
                <c:ptCount val="8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0.96100000000000052</c:v>
                </c:pt>
                <c:pt idx="50">
                  <c:v>0.96200000000000052</c:v>
                </c:pt>
                <c:pt idx="51">
                  <c:v>0.96300000000000052</c:v>
                </c:pt>
                <c:pt idx="52">
                  <c:v>0.96400000000000052</c:v>
                </c:pt>
                <c:pt idx="53">
                  <c:v>0.96500000000000052</c:v>
                </c:pt>
                <c:pt idx="54">
                  <c:v>0.96600000000000052</c:v>
                </c:pt>
                <c:pt idx="55">
                  <c:v>0.96700000000000053</c:v>
                </c:pt>
                <c:pt idx="56">
                  <c:v>0.96800000000000053</c:v>
                </c:pt>
                <c:pt idx="57">
                  <c:v>0.96900000000000053</c:v>
                </c:pt>
                <c:pt idx="58">
                  <c:v>0.97000000000000053</c:v>
                </c:pt>
                <c:pt idx="59">
                  <c:v>0.97100000000000053</c:v>
                </c:pt>
                <c:pt idx="60">
                  <c:v>0.97200000000000053</c:v>
                </c:pt>
                <c:pt idx="61">
                  <c:v>0.97300000000000053</c:v>
                </c:pt>
                <c:pt idx="62">
                  <c:v>0.97400000000000053</c:v>
                </c:pt>
                <c:pt idx="63">
                  <c:v>0.97500000000000053</c:v>
                </c:pt>
                <c:pt idx="64">
                  <c:v>0.97600000000000053</c:v>
                </c:pt>
                <c:pt idx="65">
                  <c:v>0.97700000000000053</c:v>
                </c:pt>
                <c:pt idx="66">
                  <c:v>0.97800000000000054</c:v>
                </c:pt>
                <c:pt idx="67">
                  <c:v>0.97900000000000054</c:v>
                </c:pt>
                <c:pt idx="68">
                  <c:v>0.98000000000000054</c:v>
                </c:pt>
                <c:pt idx="69">
                  <c:v>0.98100000000000054</c:v>
                </c:pt>
                <c:pt idx="70">
                  <c:v>0.98200000000000054</c:v>
                </c:pt>
                <c:pt idx="71">
                  <c:v>0.98300000000000054</c:v>
                </c:pt>
                <c:pt idx="72">
                  <c:v>0.98400000000000054</c:v>
                </c:pt>
                <c:pt idx="73">
                  <c:v>0.98500000000000054</c:v>
                </c:pt>
                <c:pt idx="74">
                  <c:v>0.98600000000000054</c:v>
                </c:pt>
                <c:pt idx="75">
                  <c:v>0.98700000000000054</c:v>
                </c:pt>
                <c:pt idx="76">
                  <c:v>0.98800000000000054</c:v>
                </c:pt>
                <c:pt idx="77">
                  <c:v>0.98900000000000055</c:v>
                </c:pt>
                <c:pt idx="78">
                  <c:v>0.99000000000000055</c:v>
                </c:pt>
                <c:pt idx="79">
                  <c:v>0.99100000000000055</c:v>
                </c:pt>
                <c:pt idx="80">
                  <c:v>0.99200000000000055</c:v>
                </c:pt>
                <c:pt idx="81">
                  <c:v>0.99300000000000055</c:v>
                </c:pt>
                <c:pt idx="82">
                  <c:v>0.99400000000000055</c:v>
                </c:pt>
                <c:pt idx="83">
                  <c:v>0.99500000000000055</c:v>
                </c:pt>
                <c:pt idx="84">
                  <c:v>0.99600000000000055</c:v>
                </c:pt>
                <c:pt idx="85">
                  <c:v>0.99700000000000055</c:v>
                </c:pt>
                <c:pt idx="86">
                  <c:v>0.99800000000000055</c:v>
                </c:pt>
                <c:pt idx="87">
                  <c:v>0.99900000000000055</c:v>
                </c:pt>
                <c:pt idx="88">
                  <c:v>1.0000000000000004</c:v>
                </c:pt>
              </c:numCache>
            </c:numRef>
          </c:xVal>
          <c:yVal>
            <c:numRef>
              <c:f>湿気伝導率!$G$87:$CQ$87</c:f>
              <c:numCache>
                <c:formatCode>General</c:formatCode>
                <c:ptCount val="89"/>
                <c:pt idx="0">
                  <c:v>0</c:v>
                </c:pt>
                <c:pt idx="1">
                  <c:v>2.2381708943335522E-15</c:v>
                </c:pt>
                <c:pt idx="2">
                  <c:v>8.0995720071415606E-15</c:v>
                </c:pt>
                <c:pt idx="3">
                  <c:v>1.71932997564595E-14</c:v>
                </c:pt>
                <c:pt idx="4">
                  <c:v>2.9337143129010762E-14</c:v>
                </c:pt>
                <c:pt idx="5">
                  <c:v>4.4413758759442347E-14</c:v>
                </c:pt>
                <c:pt idx="6">
                  <c:v>6.2338603248567201E-14</c:v>
                </c:pt>
                <c:pt idx="7">
                  <c:v>8.3046947442312149E-14</c:v>
                </c:pt>
                <c:pt idx="8">
                  <c:v>1.0648731007964484E-13</c:v>
                </c:pt>
                <c:pt idx="9">
                  <c:v>1.3261767931897831E-13</c:v>
                </c:pt>
                <c:pt idx="10">
                  <c:v>1.6140314233118496E-13</c:v>
                </c:pt>
                <c:pt idx="11">
                  <c:v>1.9281430259197077E-13</c:v>
                </c:pt>
                <c:pt idx="12">
                  <c:v>2.2682617192950359E-13</c:v>
                </c:pt>
                <c:pt idx="13">
                  <c:v>2.6341736551541321E-13</c:v>
                </c:pt>
                <c:pt idx="14">
                  <c:v>3.0256949910818707E-13</c:v>
                </c:pt>
                <c:pt idx="15">
                  <c:v>3.442667263856043E-13</c:v>
                </c:pt>
                <c:pt idx="16">
                  <c:v>3.8849537631950218E-13</c:v>
                </c:pt>
                <c:pt idx="17">
                  <c:v>4.3524366386137406E-13</c:v>
                </c:pt>
                <c:pt idx="18">
                  <c:v>4.8450145554985294E-13</c:v>
                </c:pt>
                <c:pt idx="19">
                  <c:v>5.3626007705854005E-13</c:v>
                </c:pt>
                <c:pt idx="20">
                  <c:v>5.9051215331161345E-13</c:v>
                </c:pt>
                <c:pt idx="21">
                  <c:v>6.4725147426550637E-13</c:v>
                </c:pt>
                <c:pt idx="22">
                  <c:v>7.0647288118496249E-13</c:v>
                </c:pt>
                <c:pt idx="23">
                  <c:v>7.6817216947739285E-13</c:v>
                </c:pt>
                <c:pt idx="24">
                  <c:v>8.3234600504779749E-13</c:v>
                </c:pt>
                <c:pt idx="25">
                  <c:v>8.9899185180011177E-13</c:v>
                </c:pt>
                <c:pt idx="26">
                  <c:v>9.6810790840820146E-13</c:v>
                </c:pt>
                <c:pt idx="27">
                  <c:v>1.0396930528573603E-12</c:v>
                </c:pt>
                <c:pt idx="28">
                  <c:v>1.1137467935474007E-12</c:v>
                </c:pt>
                <c:pt idx="29">
                  <c:v>1.1902692259738786E-12</c:v>
                </c:pt>
                <c:pt idx="30">
                  <c:v>1.2692609941809671E-12</c:v>
                </c:pt>
                <c:pt idx="31">
                  <c:v>1.350723256319653E-12</c:v>
                </c:pt>
                <c:pt idx="32">
                  <c:v>1.4346576537569145E-12</c:v>
                </c:pt>
                <c:pt idx="33">
                  <c:v>1.5210662832717564E-12</c:v>
                </c:pt>
                <c:pt idx="34">
                  <c:v>1.6099516719471391E-12</c:v>
                </c:pt>
                <c:pt idx="35">
                  <c:v>1.7013167544266532E-12</c:v>
                </c:pt>
                <c:pt idx="36">
                  <c:v>1.7951648522539547E-12</c:v>
                </c:pt>
                <c:pt idx="37">
                  <c:v>1.8914996550536753E-12</c:v>
                </c:pt>
                <c:pt idx="38">
                  <c:v>1.9903252033463649E-12</c:v>
                </c:pt>
                <c:pt idx="39">
                  <c:v>2.09164587281837E-12</c:v>
                </c:pt>
                <c:pt idx="40">
                  <c:v>2.1954663598913539E-12</c:v>
                </c:pt>
                <c:pt idx="41">
                  <c:v>2.3017916684563064E-12</c:v>
                </c:pt>
                <c:pt idx="42">
                  <c:v>2.4106270976539709E-12</c:v>
                </c:pt>
                <c:pt idx="43">
                  <c:v>2.5219782305981689E-12</c:v>
                </c:pt>
                <c:pt idx="44">
                  <c:v>2.635850923950988E-12</c:v>
                </c:pt>
                <c:pt idx="45">
                  <c:v>2.752251298269495E-12</c:v>
                </c:pt>
                <c:pt idx="46">
                  <c:v>2.8711857290528719E-12</c:v>
                </c:pt>
                <c:pt idx="47">
                  <c:v>2.9926608384268833E-12</c:v>
                </c:pt>
                <c:pt idx="48">
                  <c:v>3.116683487409513E-12</c:v>
                </c:pt>
                <c:pt idx="49">
                  <c:v>3.1229516190296158E-12</c:v>
                </c:pt>
                <c:pt idx="50">
                  <c:v>3.1292261380853213E-12</c:v>
                </c:pt>
                <c:pt idx="51">
                  <c:v>3.1355070454795878E-12</c:v>
                </c:pt>
                <c:pt idx="52">
                  <c:v>3.1417943421167743E-12</c:v>
                </c:pt>
                <c:pt idx="53">
                  <c:v>3.1480880289026392E-12</c:v>
                </c:pt>
                <c:pt idx="54">
                  <c:v>3.1543881067443403E-12</c:v>
                </c:pt>
                <c:pt idx="55">
                  <c:v>3.1606945765504282E-12</c:v>
                </c:pt>
                <c:pt idx="56">
                  <c:v>3.1670074392308484E-12</c:v>
                </c:pt>
                <c:pt idx="57">
                  <c:v>3.1733266956969389E-12</c:v>
                </c:pt>
                <c:pt idx="58">
                  <c:v>3.179652346861425E-12</c:v>
                </c:pt>
                <c:pt idx="59">
                  <c:v>3.1859843936384227E-12</c:v>
                </c:pt>
                <c:pt idx="60">
                  <c:v>3.1923228369434309E-12</c:v>
                </c:pt>
                <c:pt idx="61">
                  <c:v>3.1986676776933348E-12</c:v>
                </c:pt>
                <c:pt idx="62">
                  <c:v>3.205018916806399E-12</c:v>
                </c:pt>
                <c:pt idx="63">
                  <c:v>3.2113765552022689E-12</c:v>
                </c:pt>
                <c:pt idx="64">
                  <c:v>3.2177405938019683E-12</c:v>
                </c:pt>
                <c:pt idx="65">
                  <c:v>3.2241110335278963E-12</c:v>
                </c:pt>
                <c:pt idx="66">
                  <c:v>3.2304878753038268E-12</c:v>
                </c:pt>
                <c:pt idx="67">
                  <c:v>3.2368711200549054E-12</c:v>
                </c:pt>
                <c:pt idx="68">
                  <c:v>3.2432607687076477E-12</c:v>
                </c:pt>
                <c:pt idx="69">
                  <c:v>3.2496568221899385E-12</c:v>
                </c:pt>
                <c:pt idx="70">
                  <c:v>3.2560592814310277E-12</c:v>
                </c:pt>
                <c:pt idx="71">
                  <c:v>3.2624681473615306E-12</c:v>
                </c:pt>
                <c:pt idx="72">
                  <c:v>3.2688834209134265E-12</c:v>
                </c:pt>
                <c:pt idx="73">
                  <c:v>3.2753051030200527E-12</c:v>
                </c:pt>
                <c:pt idx="74">
                  <c:v>3.2817331946161074E-12</c:v>
                </c:pt>
                <c:pt idx="75">
                  <c:v>3.2881676966376457E-12</c:v>
                </c:pt>
                <c:pt idx="76">
                  <c:v>3.2946086100220773E-12</c:v>
                </c:pt>
                <c:pt idx="77">
                  <c:v>3.3010559357081654E-12</c:v>
                </c:pt>
                <c:pt idx="78">
                  <c:v>3.3075096746360249E-12</c:v>
                </c:pt>
                <c:pt idx="79">
                  <c:v>3.3139698277471211E-12</c:v>
                </c:pt>
                <c:pt idx="80">
                  <c:v>3.3204363959842654E-12</c:v>
                </c:pt>
                <c:pt idx="81">
                  <c:v>3.3269093802916166E-12</c:v>
                </c:pt>
                <c:pt idx="82">
                  <c:v>3.3333887816146773E-12</c:v>
                </c:pt>
                <c:pt idx="83">
                  <c:v>3.3398746009002926E-12</c:v>
                </c:pt>
                <c:pt idx="84">
                  <c:v>3.3463668390966482E-12</c:v>
                </c:pt>
                <c:pt idx="85">
                  <c:v>3.3528654971532687E-12</c:v>
                </c:pt>
                <c:pt idx="86">
                  <c:v>3.3593705760210143E-12</c:v>
                </c:pt>
                <c:pt idx="87">
                  <c:v>3.3658820766520826E-12</c:v>
                </c:pt>
                <c:pt idx="88">
                  <c:v>3.3724000000000029E-12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BD-C542-B58C-F5196F6BF226}"/>
            </c:ext>
          </c:extLst>
        </c:ser>
        <c:ser>
          <c:idx val="3"/>
          <c:order val="3"/>
          <c:tx>
            <c:strRef>
              <c:f>湿気伝導率!$B$88</c:f>
              <c:strCache>
                <c:ptCount val="1"/>
                <c:pt idx="0">
                  <c:v>ASHRAE Lime Stone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湿気伝導率!$G$2:$CQ$2</c:f>
              <c:numCache>
                <c:formatCode>General</c:formatCode>
                <c:ptCount val="8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0.96100000000000052</c:v>
                </c:pt>
                <c:pt idx="50">
                  <c:v>0.96200000000000052</c:v>
                </c:pt>
                <c:pt idx="51">
                  <c:v>0.96300000000000052</c:v>
                </c:pt>
                <c:pt idx="52">
                  <c:v>0.96400000000000052</c:v>
                </c:pt>
                <c:pt idx="53">
                  <c:v>0.96500000000000052</c:v>
                </c:pt>
                <c:pt idx="54">
                  <c:v>0.96600000000000052</c:v>
                </c:pt>
                <c:pt idx="55">
                  <c:v>0.96700000000000053</c:v>
                </c:pt>
                <c:pt idx="56">
                  <c:v>0.96800000000000053</c:v>
                </c:pt>
                <c:pt idx="57">
                  <c:v>0.96900000000000053</c:v>
                </c:pt>
                <c:pt idx="58">
                  <c:v>0.97000000000000053</c:v>
                </c:pt>
                <c:pt idx="59">
                  <c:v>0.97100000000000053</c:v>
                </c:pt>
                <c:pt idx="60">
                  <c:v>0.97200000000000053</c:v>
                </c:pt>
                <c:pt idx="61">
                  <c:v>0.97300000000000053</c:v>
                </c:pt>
                <c:pt idx="62">
                  <c:v>0.97400000000000053</c:v>
                </c:pt>
                <c:pt idx="63">
                  <c:v>0.97500000000000053</c:v>
                </c:pt>
                <c:pt idx="64">
                  <c:v>0.97600000000000053</c:v>
                </c:pt>
                <c:pt idx="65">
                  <c:v>0.97700000000000053</c:v>
                </c:pt>
                <c:pt idx="66">
                  <c:v>0.97800000000000054</c:v>
                </c:pt>
                <c:pt idx="67">
                  <c:v>0.97900000000000054</c:v>
                </c:pt>
                <c:pt idx="68">
                  <c:v>0.98000000000000054</c:v>
                </c:pt>
                <c:pt idx="69">
                  <c:v>0.98100000000000054</c:v>
                </c:pt>
                <c:pt idx="70">
                  <c:v>0.98200000000000054</c:v>
                </c:pt>
                <c:pt idx="71">
                  <c:v>0.98300000000000054</c:v>
                </c:pt>
                <c:pt idx="72">
                  <c:v>0.98400000000000054</c:v>
                </c:pt>
                <c:pt idx="73">
                  <c:v>0.98500000000000054</c:v>
                </c:pt>
                <c:pt idx="74">
                  <c:v>0.98600000000000054</c:v>
                </c:pt>
                <c:pt idx="75">
                  <c:v>0.98700000000000054</c:v>
                </c:pt>
                <c:pt idx="76">
                  <c:v>0.98800000000000054</c:v>
                </c:pt>
                <c:pt idx="77">
                  <c:v>0.98900000000000055</c:v>
                </c:pt>
                <c:pt idx="78">
                  <c:v>0.99000000000000055</c:v>
                </c:pt>
                <c:pt idx="79">
                  <c:v>0.99100000000000055</c:v>
                </c:pt>
                <c:pt idx="80">
                  <c:v>0.99200000000000055</c:v>
                </c:pt>
                <c:pt idx="81">
                  <c:v>0.99300000000000055</c:v>
                </c:pt>
                <c:pt idx="82">
                  <c:v>0.99400000000000055</c:v>
                </c:pt>
                <c:pt idx="83">
                  <c:v>0.99500000000000055</c:v>
                </c:pt>
                <c:pt idx="84">
                  <c:v>0.99600000000000055</c:v>
                </c:pt>
                <c:pt idx="85">
                  <c:v>0.99700000000000055</c:v>
                </c:pt>
                <c:pt idx="86">
                  <c:v>0.99800000000000055</c:v>
                </c:pt>
                <c:pt idx="87">
                  <c:v>0.99900000000000055</c:v>
                </c:pt>
                <c:pt idx="88">
                  <c:v>1.0000000000000004</c:v>
                </c:pt>
              </c:numCache>
            </c:numRef>
          </c:xVal>
          <c:yVal>
            <c:numRef>
              <c:f>湿気伝導率!$G$88:$CQ$88</c:f>
              <c:numCache>
                <c:formatCode>General</c:formatCode>
                <c:ptCount val="89"/>
                <c:pt idx="0">
                  <c:v>0</c:v>
                </c:pt>
                <c:pt idx="1">
                  <c:v>1.3009826554383975E-14</c:v>
                </c:pt>
                <c:pt idx="2">
                  <c:v>1.3189090754049347E-14</c:v>
                </c:pt>
                <c:pt idx="3">
                  <c:v>1.3428831876340957E-14</c:v>
                </c:pt>
                <c:pt idx="4">
                  <c:v>1.3734603395510794E-14</c:v>
                </c:pt>
                <c:pt idx="5">
                  <c:v>1.4109222734607268E-14</c:v>
                </c:pt>
                <c:pt idx="6">
                  <c:v>1.4555968008025227E-14</c:v>
                </c:pt>
                <c:pt idx="7">
                  <c:v>1.5079095044923741E-14</c:v>
                </c:pt>
                <c:pt idx="8">
                  <c:v>1.5683988000123921E-14</c:v>
                </c:pt>
                <c:pt idx="9">
                  <c:v>1.6377256135387666E-14</c:v>
                </c:pt>
                <c:pt idx="10">
                  <c:v>1.716684125074259E-14</c:v>
                </c:pt>
                <c:pt idx="11">
                  <c:v>1.8062153052689182E-14</c:v>
                </c:pt>
                <c:pt idx="12">
                  <c:v>1.9074239236451342E-14</c:v>
                </c:pt>
                <c:pt idx="13">
                  <c:v>2.0215995121874081E-14</c:v>
                </c:pt>
                <c:pt idx="14">
                  <c:v>2.1502418114577985E-14</c:v>
                </c:pt>
                <c:pt idx="15">
                  <c:v>2.2950913491520012E-14</c:v>
                </c:pt>
                <c:pt idx="16">
                  <c:v>2.4581659624973653E-14</c:v>
                </c:pt>
                <c:pt idx="17">
                  <c:v>2.6418042686774745E-14</c:v>
                </c:pt>
                <c:pt idx="18">
                  <c:v>2.8487173149851012E-14</c:v>
                </c:pt>
                <c:pt idx="19">
                  <c:v>3.0820499105131057E-14</c:v>
                </c:pt>
                <c:pt idx="20">
                  <c:v>3.3454534644397454E-14</c:v>
                </c:pt>
                <c:pt idx="21">
                  <c:v>3.6431725454025216E-14</c:v>
                </c:pt>
                <c:pt idx="22">
                  <c:v>3.9801478480288461E-14</c:v>
                </c:pt>
                <c:pt idx="23">
                  <c:v>4.3621388259323152E-14</c:v>
                </c:pt>
                <c:pt idx="24">
                  <c:v>4.795869949423064E-14</c:v>
                </c:pt>
                <c:pt idx="25">
                  <c:v>5.2892054005198819E-14</c:v>
                </c:pt>
                <c:pt idx="26">
                  <c:v>5.851358064420509E-14</c:v>
                </c:pt>
                <c:pt idx="27">
                  <c:v>6.4931399611784794E-14</c:v>
                </c:pt>
                <c:pt idx="28">
                  <c:v>7.2272628410205346E-14</c:v>
                </c:pt>
                <c:pt idx="29">
                  <c:v>8.068699612782839E-14</c:v>
                </c:pt>
                <c:pt idx="30">
                  <c:v>9.0351196765022059E-14</c:v>
                </c:pt>
                <c:pt idx="31">
                  <c:v>1.0147414199999792E-13</c:v>
                </c:pt>
                <c:pt idx="32">
                  <c:v>1.1430331055600598E-13</c:v>
                </c:pt>
                <c:pt idx="33">
                  <c:v>1.2913243693310827E-13</c:v>
                </c:pt>
                <c:pt idx="34">
                  <c:v>1.4631083892968305E-13</c:v>
                </c:pt>
                <c:pt idx="35">
                  <c:v>1.6625475390342519E-13</c:v>
                </c:pt>
                <c:pt idx="36">
                  <c:v>1.8946114165041889E-13</c:v>
                </c:pt>
                <c:pt idx="37">
                  <c:v>2.1652452159659403E-13</c:v>
                </c:pt>
                <c:pt idx="38">
                  <c:v>2.4815754938199947E-13</c:v>
                </c:pt>
                <c:pt idx="39">
                  <c:v>2.8521621009261034E-13</c:v>
                </c:pt>
                <c:pt idx="40">
                  <c:v>3.2873072153829803E-13</c:v>
                </c:pt>
                <c:pt idx="41">
                  <c:v>3.7994351278809084E-13</c:v>
                </c:pt>
                <c:pt idx="42">
                  <c:v>4.4035598558644787E-13</c:v>
                </c:pt>
                <c:pt idx="43">
                  <c:v>5.1178619837628021E-13</c:v>
                </c:pt>
                <c:pt idx="44">
                  <c:v>5.9644015889165018E-13</c:v>
                </c:pt>
                <c:pt idx="45">
                  <c:v>6.9700010301364527E-13</c:v>
                </c:pt>
                <c:pt idx="46">
                  <c:v>8.1673401509980533E-13</c:v>
                </c:pt>
                <c:pt idx="47">
                  <c:v>9.5963176016212771E-13</c:v>
                </c:pt>
                <c:pt idx="48">
                  <c:v>1.1305746179456815E-12</c:v>
                </c:pt>
                <c:pt idx="49">
                  <c:v>1.1399599520732392E-12</c:v>
                </c:pt>
                <c:pt idx="50">
                  <c:v>1.149430905788306E-12</c:v>
                </c:pt>
                <c:pt idx="51">
                  <c:v>1.1589883162193596E-12</c:v>
                </c:pt>
                <c:pt idx="52">
                  <c:v>1.1686330291574348E-12</c:v>
                </c:pt>
                <c:pt idx="53">
                  <c:v>1.1783658991501988E-12</c:v>
                </c:pt>
                <c:pt idx="54">
                  <c:v>1.188187789597091E-12</c:v>
                </c:pt>
                <c:pt idx="55">
                  <c:v>1.1980995728455391E-12</c:v>
                </c:pt>
                <c:pt idx="56">
                  <c:v>1.2081021302882714E-12</c:v>
                </c:pt>
                <c:pt idx="57">
                  <c:v>1.2181963524617282E-12</c:v>
                </c:pt>
                <c:pt idx="58">
                  <c:v>1.2283831391455897E-12</c:v>
                </c:pt>
                <c:pt idx="59">
                  <c:v>1.2386633994634387E-12</c:v>
                </c:pt>
                <c:pt idx="60">
                  <c:v>1.2490380519845606E-12</c:v>
                </c:pt>
                <c:pt idx="61">
                  <c:v>1.259508024826904E-12</c:v>
                </c:pt>
                <c:pt idx="62">
                  <c:v>1.2700742557612125E-12</c:v>
                </c:pt>
                <c:pt idx="63">
                  <c:v>1.280737692316336E-12</c:v>
                </c:pt>
                <c:pt idx="64">
                  <c:v>1.2914992918857448E-12</c:v>
                </c:pt>
                <c:pt idx="65">
                  <c:v>1.3023600218352538E-12</c:v>
                </c:pt>
                <c:pt idx="66">
                  <c:v>1.313320859611975E-12</c:v>
                </c:pt>
                <c:pt idx="67">
                  <c:v>1.3243827928545082E-12</c:v>
                </c:pt>
                <c:pt idx="68">
                  <c:v>1.335546819504391E-12</c:v>
                </c:pt>
                <c:pt idx="69">
                  <c:v>1.3468139479188159E-12</c:v>
                </c:pt>
                <c:pt idx="70">
                  <c:v>1.3581851969846394E-12</c:v>
                </c:pt>
                <c:pt idx="71">
                  <c:v>1.3696615962336816E-12</c:v>
                </c:pt>
                <c:pt idx="72">
                  <c:v>1.3812441859593556E-12</c:v>
                </c:pt>
                <c:pt idx="73">
                  <c:v>1.3929340173346151E-12</c:v>
                </c:pt>
                <c:pt idx="74">
                  <c:v>1.4047321525312608E-12</c:v>
                </c:pt>
                <c:pt idx="75">
                  <c:v>1.416639664840603E-12</c:v>
                </c:pt>
                <c:pt idx="76">
                  <c:v>1.4286576387955094E-12</c:v>
                </c:pt>
                <c:pt idx="77">
                  <c:v>1.4407871702938465E-12</c:v>
                </c:pt>
                <c:pt idx="78">
                  <c:v>1.4530293667233329E-12</c:v>
                </c:pt>
                <c:pt idx="79">
                  <c:v>1.4653853470878269E-12</c:v>
                </c:pt>
                <c:pt idx="80">
                  <c:v>1.4778562421350532E-12</c:v>
                </c:pt>
                <c:pt idx="81">
                  <c:v>1.4904431944858001E-12</c:v>
                </c:pt>
                <c:pt idx="82">
                  <c:v>1.5031473587645982E-12</c:v>
                </c:pt>
                <c:pt idx="83">
                  <c:v>1.5159699017318888E-12</c:v>
                </c:pt>
                <c:pt idx="84">
                  <c:v>1.5289120024177224E-12</c:v>
                </c:pt>
                <c:pt idx="85">
                  <c:v>1.5419748522569814E-12</c:v>
                </c:pt>
                <c:pt idx="86">
                  <c:v>1.5551596552261594E-12</c:v>
                </c:pt>
                <c:pt idx="87">
                  <c:v>1.5684676279817144E-12</c:v>
                </c:pt>
                <c:pt idx="88">
                  <c:v>1.5819000000000066E-12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BD-C542-B58C-F5196F6BF226}"/>
            </c:ext>
          </c:extLst>
        </c:ser>
        <c:ser>
          <c:idx val="4"/>
          <c:order val="4"/>
          <c:tx>
            <c:strRef>
              <c:f>湿気伝導率!$B$89</c:f>
              <c:strCache>
                <c:ptCount val="1"/>
                <c:pt idx="0">
                  <c:v>ASHRAE Vinyl Wallpaper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湿気伝導率!$G$2:$CQ$2</c:f>
              <c:numCache>
                <c:formatCode>General</c:formatCode>
                <c:ptCount val="8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0.96100000000000052</c:v>
                </c:pt>
                <c:pt idx="50">
                  <c:v>0.96200000000000052</c:v>
                </c:pt>
                <c:pt idx="51">
                  <c:v>0.96300000000000052</c:v>
                </c:pt>
                <c:pt idx="52">
                  <c:v>0.96400000000000052</c:v>
                </c:pt>
                <c:pt idx="53">
                  <c:v>0.96500000000000052</c:v>
                </c:pt>
                <c:pt idx="54">
                  <c:v>0.96600000000000052</c:v>
                </c:pt>
                <c:pt idx="55">
                  <c:v>0.96700000000000053</c:v>
                </c:pt>
                <c:pt idx="56">
                  <c:v>0.96800000000000053</c:v>
                </c:pt>
                <c:pt idx="57">
                  <c:v>0.96900000000000053</c:v>
                </c:pt>
                <c:pt idx="58">
                  <c:v>0.97000000000000053</c:v>
                </c:pt>
                <c:pt idx="59">
                  <c:v>0.97100000000000053</c:v>
                </c:pt>
                <c:pt idx="60">
                  <c:v>0.97200000000000053</c:v>
                </c:pt>
                <c:pt idx="61">
                  <c:v>0.97300000000000053</c:v>
                </c:pt>
                <c:pt idx="62">
                  <c:v>0.97400000000000053</c:v>
                </c:pt>
                <c:pt idx="63">
                  <c:v>0.97500000000000053</c:v>
                </c:pt>
                <c:pt idx="64">
                  <c:v>0.97600000000000053</c:v>
                </c:pt>
                <c:pt idx="65">
                  <c:v>0.97700000000000053</c:v>
                </c:pt>
                <c:pt idx="66">
                  <c:v>0.97800000000000054</c:v>
                </c:pt>
                <c:pt idx="67">
                  <c:v>0.97900000000000054</c:v>
                </c:pt>
                <c:pt idx="68">
                  <c:v>0.98000000000000054</c:v>
                </c:pt>
                <c:pt idx="69">
                  <c:v>0.98100000000000054</c:v>
                </c:pt>
                <c:pt idx="70">
                  <c:v>0.98200000000000054</c:v>
                </c:pt>
                <c:pt idx="71">
                  <c:v>0.98300000000000054</c:v>
                </c:pt>
                <c:pt idx="72">
                  <c:v>0.98400000000000054</c:v>
                </c:pt>
                <c:pt idx="73">
                  <c:v>0.98500000000000054</c:v>
                </c:pt>
                <c:pt idx="74">
                  <c:v>0.98600000000000054</c:v>
                </c:pt>
                <c:pt idx="75">
                  <c:v>0.98700000000000054</c:v>
                </c:pt>
                <c:pt idx="76">
                  <c:v>0.98800000000000054</c:v>
                </c:pt>
                <c:pt idx="77">
                  <c:v>0.98900000000000055</c:v>
                </c:pt>
                <c:pt idx="78">
                  <c:v>0.99000000000000055</c:v>
                </c:pt>
                <c:pt idx="79">
                  <c:v>0.99100000000000055</c:v>
                </c:pt>
                <c:pt idx="80">
                  <c:v>0.99200000000000055</c:v>
                </c:pt>
                <c:pt idx="81">
                  <c:v>0.99300000000000055</c:v>
                </c:pt>
                <c:pt idx="82">
                  <c:v>0.99400000000000055</c:v>
                </c:pt>
                <c:pt idx="83">
                  <c:v>0.99500000000000055</c:v>
                </c:pt>
                <c:pt idx="84">
                  <c:v>0.99600000000000055</c:v>
                </c:pt>
                <c:pt idx="85">
                  <c:v>0.99700000000000055</c:v>
                </c:pt>
                <c:pt idx="86">
                  <c:v>0.99800000000000055</c:v>
                </c:pt>
                <c:pt idx="87">
                  <c:v>0.99900000000000055</c:v>
                </c:pt>
                <c:pt idx="88">
                  <c:v>1.0000000000000004</c:v>
                </c:pt>
              </c:numCache>
            </c:numRef>
          </c:xVal>
          <c:yVal>
            <c:numRef>
              <c:f>湿気伝導率!$G$89:$CQ$89</c:f>
              <c:numCache>
                <c:formatCode>General</c:formatCode>
                <c:ptCount val="89"/>
                <c:pt idx="0">
                  <c:v>0</c:v>
                </c:pt>
                <c:pt idx="1">
                  <c:v>1.3947607714737409E-14</c:v>
                </c:pt>
                <c:pt idx="2">
                  <c:v>1.4893412586213931E-14</c:v>
                </c:pt>
                <c:pt idx="3">
                  <c:v>1.5796947608692723E-14</c:v>
                </c:pt>
                <c:pt idx="4">
                  <c:v>1.6696021411570243E-14</c:v>
                </c:pt>
                <c:pt idx="5">
                  <c:v>1.760497987560314E-14</c:v>
                </c:pt>
                <c:pt idx="6">
                  <c:v>1.8531464196373161E-14</c:v>
                </c:pt>
                <c:pt idx="7">
                  <c:v>1.9480383706589929E-14</c:v>
                </c:pt>
                <c:pt idx="8">
                  <c:v>2.0455312363753656E-14</c:v>
                </c:pt>
                <c:pt idx="9">
                  <c:v>2.1459095741844975E-14</c:v>
                </c:pt>
                <c:pt idx="10">
                  <c:v>2.2494153726749305E-14</c:v>
                </c:pt>
                <c:pt idx="11">
                  <c:v>2.3562646986224339E-14</c:v>
                </c:pt>
                <c:pt idx="12">
                  <c:v>2.4666575582933548E-14</c:v>
                </c:pt>
                <c:pt idx="13">
                  <c:v>2.5807840954688445E-14</c:v>
                </c:pt>
                <c:pt idx="14">
                  <c:v>2.6988286834136081E-14</c:v>
                </c:pt>
                <c:pt idx="15">
                  <c:v>2.8209727433057016E-14</c:v>
                </c:pt>
                <c:pt idx="16">
                  <c:v>2.9473967600400809E-14</c:v>
                </c:pt>
                <c:pt idx="17">
                  <c:v>3.0782817745481349E-14</c:v>
                </c:pt>
                <c:pt idx="18">
                  <c:v>3.2138105247775439E-14</c:v>
                </c:pt>
                <c:pt idx="19">
                  <c:v>3.3541683451561717E-14</c:v>
                </c:pt>
                <c:pt idx="20">
                  <c:v>3.499543896701528E-14</c:v>
                </c:pt>
                <c:pt idx="21">
                  <c:v>3.6501297764364416E-14</c:v>
                </c:pt>
                <c:pt idx="22">
                  <c:v>3.8061230396899509E-14</c:v>
                </c:pt>
                <c:pt idx="23">
                  <c:v>3.9677256589407267E-14</c:v>
                </c:pt>
                <c:pt idx="24">
                  <c:v>4.1351449361877072E-14</c:v>
                </c:pt>
                <c:pt idx="25">
                  <c:v>4.3085938812554855E-14</c:v>
                </c:pt>
                <c:pt idx="26">
                  <c:v>4.4882915652460701E-14</c:v>
                </c:pt>
                <c:pt idx="27">
                  <c:v>4.6744634560810782E-14</c:v>
                </c:pt>
                <c:pt idx="28">
                  <c:v>4.8673417414460268E-14</c:v>
                </c:pt>
                <c:pt idx="29">
                  <c:v>5.0671656432576432E-14</c:v>
                </c:pt>
                <c:pt idx="30">
                  <c:v>5.2741817268962762E-14</c:v>
                </c:pt>
                <c:pt idx="31">
                  <c:v>5.4886442077895411E-14</c:v>
                </c:pt>
                <c:pt idx="32">
                  <c:v>5.7108152574392989E-14</c:v>
                </c:pt>
                <c:pt idx="33">
                  <c:v>5.9409653106084262E-14</c:v>
                </c:pt>
                <c:pt idx="34">
                  <c:v>6.1793733750962422E-14</c:v>
                </c:pt>
                <c:pt idx="35">
                  <c:v>6.4263273453096113E-14</c:v>
                </c:pt>
                <c:pt idx="36">
                  <c:v>6.6821243206648611E-14</c:v>
                </c:pt>
                <c:pt idx="37">
                  <c:v>6.9470709297216471E-14</c:v>
                </c:pt>
                <c:pt idx="38">
                  <c:v>7.2214836608453329E-14</c:v>
                </c:pt>
                <c:pt idx="39">
                  <c:v>7.5056892001125031E-14</c:v>
                </c:pt>
                <c:pt idx="40">
                  <c:v>7.8000247771102316E-14</c:v>
                </c:pt>
                <c:pt idx="41">
                  <c:v>8.1048385192296255E-14</c:v>
                </c:pt>
                <c:pt idx="42">
                  <c:v>8.4204898150153462E-14</c:v>
                </c:pt>
                <c:pt idx="43">
                  <c:v>8.7473496871029156E-14</c:v>
                </c:pt>
                <c:pt idx="44">
                  <c:v>9.0858011752529104E-14</c:v>
                </c:pt>
                <c:pt idx="45">
                  <c:v>9.436239729974361E-14</c:v>
                </c:pt>
                <c:pt idx="46">
                  <c:v>9.799073617217663E-14</c:v>
                </c:pt>
                <c:pt idx="47">
                  <c:v>1.0174724334609306E-13</c:v>
                </c:pt>
                <c:pt idx="48">
                  <c:v>1.0563627039696048E-13</c:v>
                </c:pt>
                <c:pt idx="49">
                  <c:v>1.0583428036957405E-13</c:v>
                </c:pt>
                <c:pt idx="50">
                  <c:v>1.0603263341407314E-13</c:v>
                </c:pt>
                <c:pt idx="51">
                  <c:v>1.0623133010234917E-13</c:v>
                </c:pt>
                <c:pt idx="52">
                  <c:v>1.0643037100720593E-13</c:v>
                </c:pt>
                <c:pt idx="53">
                  <c:v>1.06629756702361E-13</c:v>
                </c:pt>
                <c:pt idx="54">
                  <c:v>1.0682948776244731E-13</c:v>
                </c:pt>
                <c:pt idx="55">
                  <c:v>1.070295647630144E-13</c:v>
                </c:pt>
                <c:pt idx="56">
                  <c:v>1.0722998828053014E-13</c:v>
                </c:pt>
                <c:pt idx="57">
                  <c:v>1.0743075889238184E-13</c:v>
                </c:pt>
                <c:pt idx="58">
                  <c:v>1.0763187717687801E-13</c:v>
                </c:pt>
                <c:pt idx="59">
                  <c:v>1.0783334371324966E-13</c:v>
                </c:pt>
                <c:pt idx="60">
                  <c:v>1.0803515908165181E-13</c:v>
                </c:pt>
                <c:pt idx="61">
                  <c:v>1.0823732386316487E-13</c:v>
                </c:pt>
                <c:pt idx="62">
                  <c:v>1.0843983863979622E-13</c:v>
                </c:pt>
                <c:pt idx="63">
                  <c:v>1.0864270399448161E-13</c:v>
                </c:pt>
                <c:pt idx="64">
                  <c:v>1.0884592051108664E-13</c:v>
                </c:pt>
                <c:pt idx="65">
                  <c:v>1.0904948877440817E-13</c:v>
                </c:pt>
                <c:pt idx="66">
                  <c:v>1.0925340937017595E-13</c:v>
                </c:pt>
                <c:pt idx="67">
                  <c:v>1.0945768288505392E-13</c:v>
                </c:pt>
                <c:pt idx="68">
                  <c:v>1.0966230990664172E-13</c:v>
                </c:pt>
                <c:pt idx="69">
                  <c:v>1.0986729102347624E-13</c:v>
                </c:pt>
                <c:pt idx="70">
                  <c:v>1.1007262682503314E-13</c:v>
                </c:pt>
                <c:pt idx="71">
                  <c:v>1.1027831790172815E-13</c:v>
                </c:pt>
                <c:pt idx="72">
                  <c:v>1.1048436484491867E-13</c:v>
                </c:pt>
                <c:pt idx="73">
                  <c:v>1.1069076824690524E-13</c:v>
                </c:pt>
                <c:pt idx="74">
                  <c:v>1.108975287009331E-13</c:v>
                </c:pt>
                <c:pt idx="75">
                  <c:v>1.1110464680119356E-13</c:v>
                </c:pt>
                <c:pt idx="76">
                  <c:v>1.1131212314282547E-13</c:v>
                </c:pt>
                <c:pt idx="77">
                  <c:v>1.1151995832191699E-13</c:v>
                </c:pt>
                <c:pt idx="78">
                  <c:v>1.1172815293550668E-13</c:v>
                </c:pt>
                <c:pt idx="79">
                  <c:v>1.1193670758158536E-13</c:v>
                </c:pt>
                <c:pt idx="80">
                  <c:v>1.1214562285909731E-13</c:v>
                </c:pt>
                <c:pt idx="81">
                  <c:v>1.1235489936794208E-13</c:v>
                </c:pt>
                <c:pt idx="82">
                  <c:v>1.1256453770897579E-13</c:v>
                </c:pt>
                <c:pt idx="83">
                  <c:v>1.1277453848401254E-13</c:v>
                </c:pt>
                <c:pt idx="84">
                  <c:v>1.129849022958263E-13</c:v>
                </c:pt>
                <c:pt idx="85">
                  <c:v>1.1319562974815202E-13</c:v>
                </c:pt>
                <c:pt idx="86">
                  <c:v>1.1340672144568739E-13</c:v>
                </c:pt>
                <c:pt idx="87">
                  <c:v>1.1361817799409423E-13</c:v>
                </c:pt>
                <c:pt idx="88">
                  <c:v>1.1383000000000011E-13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BD-C542-B58C-F5196F6BF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016639"/>
        <c:axId val="929001584"/>
      </c:scatterChart>
      <c:valAx>
        <c:axId val="714016639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29001584"/>
        <c:crosses val="autoZero"/>
        <c:crossBetween val="midCat"/>
      </c:valAx>
      <c:valAx>
        <c:axId val="929001584"/>
        <c:scaling>
          <c:orientation val="minMax"/>
          <c:max val="1.8E-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Vapour Permeability (kg/msPa)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14016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Equilibrium Moisture Content vs 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>
        <c:manualLayout>
          <c:layoutTarget val="inner"/>
          <c:xMode val="edge"/>
          <c:yMode val="edge"/>
          <c:x val="6.1815329724409451E-2"/>
          <c:y val="9.1354679802955668E-2"/>
          <c:w val="0.89853479740813647"/>
          <c:h val="0.79947461308715717"/>
        </c:manualLayout>
      </c:layout>
      <c:scatterChart>
        <c:scatterStyle val="lineMarker"/>
        <c:varyColors val="0"/>
        <c:ser>
          <c:idx val="0"/>
          <c:order val="0"/>
          <c:tx>
            <c:strRef>
              <c:f>平衡含水率!$B$85</c:f>
              <c:strCache>
                <c:ptCount val="1"/>
                <c:pt idx="0">
                  <c:v>MEWS Building Membrane 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平衡含水率!$M$2:$CW$2</c:f>
              <c:numCache>
                <c:formatCode>General</c:formatCode>
                <c:ptCount val="8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0.96100000000000052</c:v>
                </c:pt>
                <c:pt idx="50">
                  <c:v>0.96200000000000052</c:v>
                </c:pt>
                <c:pt idx="51">
                  <c:v>0.96300000000000052</c:v>
                </c:pt>
                <c:pt idx="52">
                  <c:v>0.96400000000000052</c:v>
                </c:pt>
                <c:pt idx="53">
                  <c:v>0.96500000000000052</c:v>
                </c:pt>
                <c:pt idx="54">
                  <c:v>0.96600000000000052</c:v>
                </c:pt>
                <c:pt idx="55">
                  <c:v>0.96700000000000053</c:v>
                </c:pt>
                <c:pt idx="56">
                  <c:v>0.96800000000000053</c:v>
                </c:pt>
                <c:pt idx="57">
                  <c:v>0.96900000000000053</c:v>
                </c:pt>
                <c:pt idx="58">
                  <c:v>0.97000000000000053</c:v>
                </c:pt>
                <c:pt idx="59">
                  <c:v>0.97100000000000053</c:v>
                </c:pt>
                <c:pt idx="60">
                  <c:v>0.97200000000000053</c:v>
                </c:pt>
                <c:pt idx="61">
                  <c:v>0.97300000000000053</c:v>
                </c:pt>
                <c:pt idx="62">
                  <c:v>0.97400000000000053</c:v>
                </c:pt>
                <c:pt idx="63">
                  <c:v>0.97500000000000053</c:v>
                </c:pt>
                <c:pt idx="64">
                  <c:v>0.97600000000000053</c:v>
                </c:pt>
                <c:pt idx="65">
                  <c:v>0.97700000000000053</c:v>
                </c:pt>
                <c:pt idx="66">
                  <c:v>0.97800000000000054</c:v>
                </c:pt>
                <c:pt idx="67">
                  <c:v>0.97900000000000054</c:v>
                </c:pt>
                <c:pt idx="68">
                  <c:v>0.98000000000000054</c:v>
                </c:pt>
                <c:pt idx="69">
                  <c:v>0.98100000000000054</c:v>
                </c:pt>
                <c:pt idx="70">
                  <c:v>0.98200000000000054</c:v>
                </c:pt>
                <c:pt idx="71">
                  <c:v>0.98300000000000054</c:v>
                </c:pt>
                <c:pt idx="72">
                  <c:v>0.98400000000000054</c:v>
                </c:pt>
                <c:pt idx="73">
                  <c:v>0.98500000000000054</c:v>
                </c:pt>
                <c:pt idx="74">
                  <c:v>0.98600000000000054</c:v>
                </c:pt>
                <c:pt idx="75">
                  <c:v>0.98700000000000054</c:v>
                </c:pt>
                <c:pt idx="76">
                  <c:v>0.98800000000000054</c:v>
                </c:pt>
                <c:pt idx="77">
                  <c:v>0.98900000000000055</c:v>
                </c:pt>
                <c:pt idx="78">
                  <c:v>0.99000000000000055</c:v>
                </c:pt>
                <c:pt idx="79">
                  <c:v>0.99100000000000055</c:v>
                </c:pt>
                <c:pt idx="80">
                  <c:v>0.99200000000000055</c:v>
                </c:pt>
                <c:pt idx="81">
                  <c:v>0.99300000000000055</c:v>
                </c:pt>
                <c:pt idx="82">
                  <c:v>0.99400000000000055</c:v>
                </c:pt>
                <c:pt idx="83">
                  <c:v>0.99500000000000055</c:v>
                </c:pt>
                <c:pt idx="84">
                  <c:v>0.99600000000000055</c:v>
                </c:pt>
                <c:pt idx="85">
                  <c:v>0.99700000000000055</c:v>
                </c:pt>
                <c:pt idx="86">
                  <c:v>0.99800000000000055</c:v>
                </c:pt>
                <c:pt idx="87">
                  <c:v>0.99900000000000055</c:v>
                </c:pt>
                <c:pt idx="88">
                  <c:v>1.0000000000000004</c:v>
                </c:pt>
              </c:numCache>
            </c:numRef>
          </c:xVal>
          <c:yVal>
            <c:numRef>
              <c:f>平衡含水率!$M$85:$CW$85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52-FE4A-B780-216A99B3D168}"/>
            </c:ext>
          </c:extLst>
        </c:ser>
        <c:ser>
          <c:idx val="1"/>
          <c:order val="1"/>
          <c:tx>
            <c:strRef>
              <c:f>平衡含水率!$B$86</c:f>
              <c:strCache>
                <c:ptCount val="1"/>
                <c:pt idx="0">
                  <c:v>MEWS Brick II - Red Matt Clay Brick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平衡含水率!$M$2:$CW$2</c:f>
              <c:numCache>
                <c:formatCode>General</c:formatCode>
                <c:ptCount val="8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0.96100000000000052</c:v>
                </c:pt>
                <c:pt idx="50">
                  <c:v>0.96200000000000052</c:v>
                </c:pt>
                <c:pt idx="51">
                  <c:v>0.96300000000000052</c:v>
                </c:pt>
                <c:pt idx="52">
                  <c:v>0.96400000000000052</c:v>
                </c:pt>
                <c:pt idx="53">
                  <c:v>0.96500000000000052</c:v>
                </c:pt>
                <c:pt idx="54">
                  <c:v>0.96600000000000052</c:v>
                </c:pt>
                <c:pt idx="55">
                  <c:v>0.96700000000000053</c:v>
                </c:pt>
                <c:pt idx="56">
                  <c:v>0.96800000000000053</c:v>
                </c:pt>
                <c:pt idx="57">
                  <c:v>0.96900000000000053</c:v>
                </c:pt>
                <c:pt idx="58">
                  <c:v>0.97000000000000053</c:v>
                </c:pt>
                <c:pt idx="59">
                  <c:v>0.97100000000000053</c:v>
                </c:pt>
                <c:pt idx="60">
                  <c:v>0.97200000000000053</c:v>
                </c:pt>
                <c:pt idx="61">
                  <c:v>0.97300000000000053</c:v>
                </c:pt>
                <c:pt idx="62">
                  <c:v>0.97400000000000053</c:v>
                </c:pt>
                <c:pt idx="63">
                  <c:v>0.97500000000000053</c:v>
                </c:pt>
                <c:pt idx="64">
                  <c:v>0.97600000000000053</c:v>
                </c:pt>
                <c:pt idx="65">
                  <c:v>0.97700000000000053</c:v>
                </c:pt>
                <c:pt idx="66">
                  <c:v>0.97800000000000054</c:v>
                </c:pt>
                <c:pt idx="67">
                  <c:v>0.97900000000000054</c:v>
                </c:pt>
                <c:pt idx="68">
                  <c:v>0.98000000000000054</c:v>
                </c:pt>
                <c:pt idx="69">
                  <c:v>0.98100000000000054</c:v>
                </c:pt>
                <c:pt idx="70">
                  <c:v>0.98200000000000054</c:v>
                </c:pt>
                <c:pt idx="71">
                  <c:v>0.98300000000000054</c:v>
                </c:pt>
                <c:pt idx="72">
                  <c:v>0.98400000000000054</c:v>
                </c:pt>
                <c:pt idx="73">
                  <c:v>0.98500000000000054</c:v>
                </c:pt>
                <c:pt idx="74">
                  <c:v>0.98600000000000054</c:v>
                </c:pt>
                <c:pt idx="75">
                  <c:v>0.98700000000000054</c:v>
                </c:pt>
                <c:pt idx="76">
                  <c:v>0.98800000000000054</c:v>
                </c:pt>
                <c:pt idx="77">
                  <c:v>0.98900000000000055</c:v>
                </c:pt>
                <c:pt idx="78">
                  <c:v>0.99000000000000055</c:v>
                </c:pt>
                <c:pt idx="79">
                  <c:v>0.99100000000000055</c:v>
                </c:pt>
                <c:pt idx="80">
                  <c:v>0.99200000000000055</c:v>
                </c:pt>
                <c:pt idx="81">
                  <c:v>0.99300000000000055</c:v>
                </c:pt>
                <c:pt idx="82">
                  <c:v>0.99400000000000055</c:v>
                </c:pt>
                <c:pt idx="83">
                  <c:v>0.99500000000000055</c:v>
                </c:pt>
                <c:pt idx="84">
                  <c:v>0.99600000000000055</c:v>
                </c:pt>
                <c:pt idx="85">
                  <c:v>0.99700000000000055</c:v>
                </c:pt>
                <c:pt idx="86">
                  <c:v>0.99800000000000055</c:v>
                </c:pt>
                <c:pt idx="87">
                  <c:v>0.99900000000000055</c:v>
                </c:pt>
                <c:pt idx="88">
                  <c:v>1.0000000000000004</c:v>
                </c:pt>
              </c:numCache>
            </c:numRef>
          </c:xVal>
          <c:yVal>
            <c:numRef>
              <c:f>平衡含水率!$M$86:$CW$86</c:f>
              <c:numCache>
                <c:formatCode>General</c:formatCode>
                <c:ptCount val="89"/>
                <c:pt idx="0">
                  <c:v>0</c:v>
                </c:pt>
                <c:pt idx="1">
                  <c:v>3.4837902882227147E-10</c:v>
                </c:pt>
                <c:pt idx="2">
                  <c:v>7.0251531976551316E-9</c:v>
                </c:pt>
                <c:pt idx="3">
                  <c:v>4.0719280718268539E-8</c:v>
                </c:pt>
                <c:pt idx="4">
                  <c:v>1.4166403074652856E-7</c:v>
                </c:pt>
                <c:pt idx="5">
                  <c:v>3.7260459720671187E-7</c:v>
                </c:pt>
                <c:pt idx="6">
                  <c:v>8.2111482459555855E-7</c:v>
                </c:pt>
                <c:pt idx="7">
                  <c:v>1.601540368388233E-6</c:v>
                </c:pt>
                <c:pt idx="8">
                  <c:v>2.8566918105219352E-6</c:v>
                </c:pt>
                <c:pt idx="9">
                  <c:v>4.7593560032670622E-6</c:v>
                </c:pt>
                <c:pt idx="10">
                  <c:v>7.5136680487527674E-6</c:v>
                </c:pt>
                <c:pt idx="11">
                  <c:v>1.1356372339059984E-5</c:v>
                </c:pt>
                <c:pt idx="12">
                  <c:v>1.6557992775039942E-5</c:v>
                </c:pt>
                <c:pt idx="13">
                  <c:v>2.3423927005906898E-5</c:v>
                </c:pt>
                <c:pt idx="14">
                  <c:v>3.2295476021030334E-5</c:v>
                </c:pt>
                <c:pt idx="15">
                  <c:v>4.3550818039446276E-5</c:v>
                </c:pt>
                <c:pt idx="16">
                  <c:v>5.76059340793746E-5</c:v>
                </c:pt>
                <c:pt idx="17">
                  <c:v>7.4915491795137109E-5</c:v>
                </c:pt>
                <c:pt idx="18">
                  <c:v>9.5973694357871382E-5</c:v>
                </c:pt>
                <c:pt idx="19">
                  <c:v>1.213151029393273E-4</c:v>
                </c:pt>
                <c:pt idx="20">
                  <c:v>1.5151544599256768E-4</c:v>
                </c:pt>
                <c:pt idx="21">
                  <c:v>1.8719243835299291E-4</c:v>
                </c:pt>
                <c:pt idx="22">
                  <c:v>2.2900665234757572E-4</c:v>
                </c:pt>
                <c:pt idx="23">
                  <c:v>2.7766251864763745E-4</c:v>
                </c:pt>
                <c:pt idx="24">
                  <c:v>3.3390959818159856E-4</c:v>
                </c:pt>
                <c:pt idx="25">
                  <c:v>3.9854437682153131E-4</c:v>
                </c:pt>
                <c:pt idx="26">
                  <c:v>4.724130214046841E-4</c:v>
                </c:pt>
                <c:pt idx="27">
                  <c:v>5.5641584485257461E-4</c:v>
                </c:pt>
                <c:pt idx="28">
                  <c:v>6.5151472977324851E-4</c:v>
                </c:pt>
                <c:pt idx="29">
                  <c:v>7.5874555983220556E-4</c:v>
                </c:pt>
                <c:pt idx="30">
                  <c:v>8.7923896557413439E-4</c:v>
                </c:pt>
                <c:pt idx="31">
                  <c:v>1.0142546465899056E-3</c:v>
                </c:pt>
                <c:pt idx="32">
                  <c:v>1.1652375526400506E-3</c:v>
                </c:pt>
                <c:pt idx="33">
                  <c:v>1.3339088696058461E-3</c:v>
                </c:pt>
                <c:pt idx="34">
                  <c:v>1.5224120017444944E-3</c:v>
                </c:pt>
                <c:pt idx="35">
                  <c:v>1.7335451720527921E-3</c:v>
                </c:pt>
                <c:pt idx="36">
                  <c:v>1.9711307475536871E-3</c:v>
                </c:pt>
                <c:pt idx="37">
                  <c:v>2.240602325406303E-3</c:v>
                </c:pt>
                <c:pt idx="38">
                  <c:v>2.5499445496571294E-3</c:v>
                </c:pt>
                <c:pt idx="39">
                  <c:v>2.9112190703276071E-3</c:v>
                </c:pt>
                <c:pt idx="40">
                  <c:v>3.3430984401217594E-3</c:v>
                </c:pt>
                <c:pt idx="41">
                  <c:v>3.8752079171670071E-3</c:v>
                </c:pt>
                <c:pt idx="42">
                  <c:v>4.5558726033401364E-3</c:v>
                </c:pt>
                <c:pt idx="43">
                  <c:v>5.4666400382813035E-3</c:v>
                </c:pt>
                <c:pt idx="44">
                  <c:v>6.75112824621249E-3</c:v>
                </c:pt>
                <c:pt idx="45">
                  <c:v>8.6762961504696905E-3</c:v>
                </c:pt>
                <c:pt idx="46">
                  <c:v>1.1773031245943562E-2</c:v>
                </c:pt>
                <c:pt idx="47">
                  <c:v>1.7189200483133285E-2</c:v>
                </c:pt>
                <c:pt idx="48">
                  <c:v>2.7676400310840177E-2</c:v>
                </c:pt>
                <c:pt idx="49">
                  <c:v>2.8431493847522492E-2</c:v>
                </c:pt>
                <c:pt idx="50">
                  <c:v>2.9216728746166928E-2</c:v>
                </c:pt>
                <c:pt idx="51">
                  <c:v>3.0033594354580716E-2</c:v>
                </c:pt>
                <c:pt idx="52">
                  <c:v>3.0883666158515826E-2</c:v>
                </c:pt>
                <c:pt idx="53">
                  <c:v>3.1768611444204495E-2</c:v>
                </c:pt>
                <c:pt idx="54">
                  <c:v>3.2690195375637714E-2</c:v>
                </c:pt>
                <c:pt idx="55">
                  <c:v>3.365028751995594E-2</c:v>
                </c:pt>
                <c:pt idx="56">
                  <c:v>3.4650868857239343E-2</c:v>
                </c:pt>
                <c:pt idx="57">
                  <c:v>3.5694039314178277E-2</c:v>
                </c:pt>
                <c:pt idx="58">
                  <c:v>3.6782025864600873E-2</c:v>
                </c:pt>
                <c:pt idx="59">
                  <c:v>3.7917191243664286E-2</c:v>
                </c:pt>
                <c:pt idx="60">
                  <c:v>3.9102043326713867E-2</c:v>
                </c:pt>
                <c:pt idx="61">
                  <c:v>4.0339245228417114E-2</c:v>
                </c:pt>
                <c:pt idx="62">
                  <c:v>4.1631626182830166E-2</c:v>
                </c:pt>
                <c:pt idx="63">
                  <c:v>4.2982193270598663E-2</c:v>
                </c:pt>
                <c:pt idx="64">
                  <c:v>4.4394144065584694E-2</c:v>
                </c:pt>
                <c:pt idx="65">
                  <c:v>4.587088027990522E-2</c:v>
                </c:pt>
                <c:pt idx="66">
                  <c:v>4.7416022493726756E-2</c:v>
                </c:pt>
                <c:pt idx="67">
                  <c:v>4.9033426064259908E-2</c:v>
                </c:pt>
                <c:pt idx="68">
                  <c:v>5.072719831731215E-2</c:v>
                </c:pt>
                <c:pt idx="69">
                  <c:v>5.2501717134578484E-2</c:v>
                </c:pt>
                <c:pt idx="70">
                  <c:v>5.4361651060673595E-2</c:v>
                </c:pt>
                <c:pt idx="71">
                  <c:v>5.6311981065846915E-2</c:v>
                </c:pt>
                <c:pt idx="72">
                  <c:v>5.8358024113495402E-2</c:v>
                </c:pt>
                <c:pt idx="73">
                  <c:v>6.0505458696134225E-2</c:v>
                </c:pt>
                <c:pt idx="74">
                  <c:v>6.2760352519556237E-2</c:v>
                </c:pt>
                <c:pt idx="75">
                  <c:v>6.5129192532677779E-2</c:v>
                </c:pt>
                <c:pt idx="76">
                  <c:v>6.7618917520220825E-2</c:v>
                </c:pt>
                <c:pt idx="77">
                  <c:v>7.0236953497137281E-2</c:v>
                </c:pt>
                <c:pt idx="78">
                  <c:v>7.2991252167774287E-2</c:v>
                </c:pt>
                <c:pt idx="79">
                  <c:v>7.5890332739485353E-2</c:v>
                </c:pt>
                <c:pt idx="80">
                  <c:v>7.8943327410007702E-2</c:v>
                </c:pt>
                <c:pt idx="81">
                  <c:v>8.2160030880790699E-2</c:v>
                </c:pt>
                <c:pt idx="82">
                  <c:v>8.5550954284958236E-2</c:v>
                </c:pt>
                <c:pt idx="83">
                  <c:v>8.9127383959140577E-2</c:v>
                </c:pt>
                <c:pt idx="84">
                  <c:v>9.2901445533506391E-2</c:v>
                </c:pt>
                <c:pt idx="85">
                  <c:v>9.6886173864501088E-2</c:v>
                </c:pt>
                <c:pt idx="86">
                  <c:v>0.10109558939066532</c:v>
                </c:pt>
                <c:pt idx="87">
                  <c:v>0.10554478155415641</c:v>
                </c:pt>
                <c:pt idx="88">
                  <c:v>0.11025000000000215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52-FE4A-B780-216A99B3D168}"/>
            </c:ext>
          </c:extLst>
        </c:ser>
        <c:ser>
          <c:idx val="2"/>
          <c:order val="2"/>
          <c:tx>
            <c:strRef>
              <c:f>平衡含水率!$B$87</c:f>
              <c:strCache>
                <c:ptCount val="1"/>
                <c:pt idx="0">
                  <c:v>ASHRAE OSB -1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平衡含水率!$M$2:$CW$2</c:f>
              <c:numCache>
                <c:formatCode>General</c:formatCode>
                <c:ptCount val="8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0.96100000000000052</c:v>
                </c:pt>
                <c:pt idx="50">
                  <c:v>0.96200000000000052</c:v>
                </c:pt>
                <c:pt idx="51">
                  <c:v>0.96300000000000052</c:v>
                </c:pt>
                <c:pt idx="52">
                  <c:v>0.96400000000000052</c:v>
                </c:pt>
                <c:pt idx="53">
                  <c:v>0.96500000000000052</c:v>
                </c:pt>
                <c:pt idx="54">
                  <c:v>0.96600000000000052</c:v>
                </c:pt>
                <c:pt idx="55">
                  <c:v>0.96700000000000053</c:v>
                </c:pt>
                <c:pt idx="56">
                  <c:v>0.96800000000000053</c:v>
                </c:pt>
                <c:pt idx="57">
                  <c:v>0.96900000000000053</c:v>
                </c:pt>
                <c:pt idx="58">
                  <c:v>0.97000000000000053</c:v>
                </c:pt>
                <c:pt idx="59">
                  <c:v>0.97100000000000053</c:v>
                </c:pt>
                <c:pt idx="60">
                  <c:v>0.97200000000000053</c:v>
                </c:pt>
                <c:pt idx="61">
                  <c:v>0.97300000000000053</c:v>
                </c:pt>
                <c:pt idx="62">
                  <c:v>0.97400000000000053</c:v>
                </c:pt>
                <c:pt idx="63">
                  <c:v>0.97500000000000053</c:v>
                </c:pt>
                <c:pt idx="64">
                  <c:v>0.97600000000000053</c:v>
                </c:pt>
                <c:pt idx="65">
                  <c:v>0.97700000000000053</c:v>
                </c:pt>
                <c:pt idx="66">
                  <c:v>0.97800000000000054</c:v>
                </c:pt>
                <c:pt idx="67">
                  <c:v>0.97900000000000054</c:v>
                </c:pt>
                <c:pt idx="68">
                  <c:v>0.98000000000000054</c:v>
                </c:pt>
                <c:pt idx="69">
                  <c:v>0.98100000000000054</c:v>
                </c:pt>
                <c:pt idx="70">
                  <c:v>0.98200000000000054</c:v>
                </c:pt>
                <c:pt idx="71">
                  <c:v>0.98300000000000054</c:v>
                </c:pt>
                <c:pt idx="72">
                  <c:v>0.98400000000000054</c:v>
                </c:pt>
                <c:pt idx="73">
                  <c:v>0.98500000000000054</c:v>
                </c:pt>
                <c:pt idx="74">
                  <c:v>0.98600000000000054</c:v>
                </c:pt>
                <c:pt idx="75">
                  <c:v>0.98700000000000054</c:v>
                </c:pt>
                <c:pt idx="76">
                  <c:v>0.98800000000000054</c:v>
                </c:pt>
                <c:pt idx="77">
                  <c:v>0.98900000000000055</c:v>
                </c:pt>
                <c:pt idx="78">
                  <c:v>0.99000000000000055</c:v>
                </c:pt>
                <c:pt idx="79">
                  <c:v>0.99100000000000055</c:v>
                </c:pt>
                <c:pt idx="80">
                  <c:v>0.99200000000000055</c:v>
                </c:pt>
                <c:pt idx="81">
                  <c:v>0.99300000000000055</c:v>
                </c:pt>
                <c:pt idx="82">
                  <c:v>0.99400000000000055</c:v>
                </c:pt>
                <c:pt idx="83">
                  <c:v>0.99500000000000055</c:v>
                </c:pt>
                <c:pt idx="84">
                  <c:v>0.99600000000000055</c:v>
                </c:pt>
                <c:pt idx="85">
                  <c:v>0.99700000000000055</c:v>
                </c:pt>
                <c:pt idx="86">
                  <c:v>0.99800000000000055</c:v>
                </c:pt>
                <c:pt idx="87">
                  <c:v>0.99900000000000055</c:v>
                </c:pt>
                <c:pt idx="88">
                  <c:v>1.0000000000000004</c:v>
                </c:pt>
              </c:numCache>
            </c:numRef>
          </c:xVal>
          <c:yVal>
            <c:numRef>
              <c:f>平衡含水率!$M$87:$CW$87</c:f>
              <c:numCache>
                <c:formatCode>General</c:formatCode>
                <c:ptCount val="89"/>
                <c:pt idx="0">
                  <c:v>0</c:v>
                </c:pt>
                <c:pt idx="1">
                  <c:v>9.6274342419091183E-6</c:v>
                </c:pt>
                <c:pt idx="2">
                  <c:v>5.807524233758138E-5</c:v>
                </c:pt>
                <c:pt idx="3">
                  <c:v>1.6616625732294378E-4</c:v>
                </c:pt>
                <c:pt idx="4">
                  <c:v>3.5032529829048028E-4</c:v>
                </c:pt>
                <c:pt idx="5">
                  <c:v>6.247842761628237E-4</c:v>
                </c:pt>
                <c:pt idx="6">
                  <c:v>1.0023590314801503E-3</c:v>
                </c:pt>
                <c:pt idx="7">
                  <c:v>1.4948452965533111E-3</c:v>
                </c:pt>
                <c:pt idx="8">
                  <c:v>2.113255316420697E-3</c:v>
                </c:pt>
                <c:pt idx="9">
                  <c:v>2.867973374725379E-3</c:v>
                </c:pt>
                <c:pt idx="10">
                  <c:v>3.7688648226665068E-3</c:v>
                </c:pt>
                <c:pt idx="11">
                  <c:v>4.8253561775627772E-3</c:v>
                </c:pt>
                <c:pt idx="12">
                  <c:v>6.046496106830797E-3</c:v>
                </c:pt>
                <c:pt idx="13">
                  <c:v>7.4410031858016595E-3</c:v>
                </c:pt>
                <c:pt idx="14">
                  <c:v>9.0173041615407585E-3</c:v>
                </c:pt>
                <c:pt idx="15">
                  <c:v>1.0783565194584352E-2</c:v>
                </c:pt>
                <c:pt idx="16">
                  <c:v>1.2747717775943719E-2</c:v>
                </c:pt>
                <c:pt idx="17">
                  <c:v>1.4917480520540729E-2</c:v>
                </c:pt>
                <c:pt idx="18">
                  <c:v>1.7300377709137053E-2</c:v>
                </c:pt>
                <c:pt idx="19">
                  <c:v>1.990375522597785E-2</c:v>
                </c:pt>
                <c:pt idx="20">
                  <c:v>2.2734794381783233E-2</c:v>
                </c:pt>
                <c:pt idx="21">
                  <c:v>2.5800523998781782E-2</c:v>
                </c:pt>
                <c:pt idx="22">
                  <c:v>2.9107831051934929E-2</c:v>
                </c:pt>
                <c:pt idx="23">
                  <c:v>3.2663470099111837E-2</c:v>
                </c:pt>
                <c:pt idx="24">
                  <c:v>3.6474071686602098E-2</c:v>
                </c:pt>
                <c:pt idx="25">
                  <c:v>4.0546149880832175E-2</c:v>
                </c:pt>
                <c:pt idx="26">
                  <c:v>4.4886109049595911E-2</c:v>
                </c:pt>
                <c:pt idx="27">
                  <c:v>4.9500249994485247E-2</c:v>
                </c:pt>
                <c:pt idx="28">
                  <c:v>5.4394775519060273E-2</c:v>
                </c:pt>
                <c:pt idx="29">
                  <c:v>5.9575795503568105E-2</c:v>
                </c:pt>
                <c:pt idx="30">
                  <c:v>6.5049331545930913E-2</c:v>
                </c:pt>
                <c:pt idx="31">
                  <c:v>7.0821321219691313E-2</c:v>
                </c:pt>
                <c:pt idx="32">
                  <c:v>7.6897621992193313E-2</c:v>
                </c:pt>
                <c:pt idx="33">
                  <c:v>8.3284014840153103E-2</c:v>
                </c:pt>
                <c:pt idx="34">
                  <c:v>8.9986207594682552E-2</c:v>
                </c:pt>
                <c:pt idx="35">
                  <c:v>9.7009838043585747E-2</c:v>
                </c:pt>
                <c:pt idx="36">
                  <c:v>0.10436047681535471</c:v>
                </c:pt>
                <c:pt idx="37">
                  <c:v>0.11204363006802427</c:v>
                </c:pt>
                <c:pt idx="38">
                  <c:v>0.12006474201869398</c:v>
                </c:pt>
                <c:pt idx="39">
                  <c:v>0.1284291974710334</c:v>
                </c:pt>
                <c:pt idx="40">
                  <c:v>0.13714232544707045</c:v>
                </c:pt>
                <c:pt idx="41">
                  <c:v>0.14620941196274823</c:v>
                </c:pt>
                <c:pt idx="42">
                  <c:v>0.15563577809876603</c:v>
                </c:pt>
                <c:pt idx="43">
                  <c:v>0.16542729783478843</c:v>
                </c:pt>
                <c:pt idx="44">
                  <c:v>0.17559374293029364</c:v>
                </c:pt>
                <c:pt idx="45">
                  <c:v>0.18616953509620893</c:v>
                </c:pt>
                <c:pt idx="46">
                  <c:v>0.19733748941305987</c:v>
                </c:pt>
                <c:pt idx="47">
                  <c:v>0.21014283205472614</c:v>
                </c:pt>
                <c:pt idx="48">
                  <c:v>0.23060268874353734</c:v>
                </c:pt>
                <c:pt idx="49">
                  <c:v>0.23217593304899889</c:v>
                </c:pt>
                <c:pt idx="50">
                  <c:v>0.23384178822978532</c:v>
                </c:pt>
                <c:pt idx="51">
                  <c:v>0.23560915482697756</c:v>
                </c:pt>
                <c:pt idx="52">
                  <c:v>0.23748786679135575</c:v>
                </c:pt>
                <c:pt idx="53">
                  <c:v>0.23948880264964745</c:v>
                </c:pt>
                <c:pt idx="54">
                  <c:v>0.24162401227935953</c:v>
                </c:pt>
                <c:pt idx="55">
                  <c:v>0.24390686188031566</c:v>
                </c:pt>
                <c:pt idx="56">
                  <c:v>0.2463522002254005</c:v>
                </c:pt>
                <c:pt idx="57">
                  <c:v>0.24897654987348333</c:v>
                </c:pt>
                <c:pt idx="58">
                  <c:v>0.25179832775930289</c:v>
                </c:pt>
                <c:pt idx="59">
                  <c:v>0.25483810047006228</c:v>
                </c:pt>
                <c:pt idx="60">
                  <c:v>0.25811888061694349</c:v>
                </c:pt>
                <c:pt idx="61">
                  <c:v>0.26166647206300786</c:v>
                </c:pt>
                <c:pt idx="62">
                  <c:v>0.26550987344256849</c:v>
                </c:pt>
                <c:pt idx="63">
                  <c:v>0.26968175148524315</c:v>
                </c:pt>
                <c:pt idx="64">
                  <c:v>0.27421899824904933</c:v>
                </c:pt>
                <c:pt idx="65">
                  <c:v>0.27916338961168619</c:v>
                </c:pt>
                <c:pt idx="66">
                  <c:v>0.28456236645067096</c:v>
                </c:pt>
                <c:pt idx="67">
                  <c:v>0.29046996510091977</c:v>
                </c:pt>
                <c:pt idx="68">
                  <c:v>0.29694793022806165</c:v>
                </c:pt>
                <c:pt idx="69">
                  <c:v>0.30406705161452291</c:v>
                </c:pt>
                <c:pt idx="70">
                  <c:v>0.31190877707848835</c:v>
                </c:pt>
                <c:pt idx="71">
                  <c:v>0.32056716757647535</c:v>
                </c:pt>
                <c:pt idx="72">
                  <c:v>0.33015127847943287</c:v>
                </c:pt>
                <c:pt idx="73">
                  <c:v>0.34078807441658721</c:v>
                </c:pt>
                <c:pt idx="74">
                  <c:v>0.35262601580145198</c:v>
                </c:pt>
                <c:pt idx="75">
                  <c:v>0.36583949573257335</c:v>
                </c:pt>
                <c:pt idx="76">
                  <c:v>0.38063435991421518</c:v>
                </c:pt>
                <c:pt idx="77">
                  <c:v>0.39725481446968386</c:v>
                </c:pt>
                <c:pt idx="78">
                  <c:v>0.4159921239035923</c:v>
                </c:pt>
                <c:pt idx="79">
                  <c:v>0.43719563374913262</c:v>
                </c:pt>
                <c:pt idx="80">
                  <c:v>0.46128683351353361</c:v>
                </c:pt>
                <c:pt idx="81">
                  <c:v>0.48877742542118885</c:v>
                </c:pt>
                <c:pt idx="82">
                  <c:v>0.52029271221828943</c:v>
                </c:pt>
                <c:pt idx="83">
                  <c:v>0.55660210556760392</c:v>
                </c:pt>
                <c:pt idx="84">
                  <c:v>0.59865924843701901</c:v>
                </c:pt>
                <c:pt idx="85">
                  <c:v>0.64765523477417286</c:v>
                </c:pt>
                <c:pt idx="86">
                  <c:v>0.70508984039140166</c:v>
                </c:pt>
                <c:pt idx="87">
                  <c:v>0.77286776857371764</c:v>
                </c:pt>
                <c:pt idx="88">
                  <c:v>0.8534300000000391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52-FE4A-B780-216A99B3D168}"/>
            </c:ext>
          </c:extLst>
        </c:ser>
        <c:ser>
          <c:idx val="3"/>
          <c:order val="3"/>
          <c:tx>
            <c:strRef>
              <c:f>平衡含水率!$B$88</c:f>
              <c:strCache>
                <c:ptCount val="1"/>
                <c:pt idx="0">
                  <c:v>ASHRAE Spray Polyurethane Foam Insulation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平衡含水率!$M$2:$CW$2</c:f>
              <c:numCache>
                <c:formatCode>General</c:formatCode>
                <c:ptCount val="8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0.96100000000000052</c:v>
                </c:pt>
                <c:pt idx="50">
                  <c:v>0.96200000000000052</c:v>
                </c:pt>
                <c:pt idx="51">
                  <c:v>0.96300000000000052</c:v>
                </c:pt>
                <c:pt idx="52">
                  <c:v>0.96400000000000052</c:v>
                </c:pt>
                <c:pt idx="53">
                  <c:v>0.96500000000000052</c:v>
                </c:pt>
                <c:pt idx="54">
                  <c:v>0.96600000000000052</c:v>
                </c:pt>
                <c:pt idx="55">
                  <c:v>0.96700000000000053</c:v>
                </c:pt>
                <c:pt idx="56">
                  <c:v>0.96800000000000053</c:v>
                </c:pt>
                <c:pt idx="57">
                  <c:v>0.96900000000000053</c:v>
                </c:pt>
                <c:pt idx="58">
                  <c:v>0.97000000000000053</c:v>
                </c:pt>
                <c:pt idx="59">
                  <c:v>0.97100000000000053</c:v>
                </c:pt>
                <c:pt idx="60">
                  <c:v>0.97200000000000053</c:v>
                </c:pt>
                <c:pt idx="61">
                  <c:v>0.97300000000000053</c:v>
                </c:pt>
                <c:pt idx="62">
                  <c:v>0.97400000000000053</c:v>
                </c:pt>
                <c:pt idx="63">
                  <c:v>0.97500000000000053</c:v>
                </c:pt>
                <c:pt idx="64">
                  <c:v>0.97600000000000053</c:v>
                </c:pt>
                <c:pt idx="65">
                  <c:v>0.97700000000000053</c:v>
                </c:pt>
                <c:pt idx="66">
                  <c:v>0.97800000000000054</c:v>
                </c:pt>
                <c:pt idx="67">
                  <c:v>0.97900000000000054</c:v>
                </c:pt>
                <c:pt idx="68">
                  <c:v>0.98000000000000054</c:v>
                </c:pt>
                <c:pt idx="69">
                  <c:v>0.98100000000000054</c:v>
                </c:pt>
                <c:pt idx="70">
                  <c:v>0.98200000000000054</c:v>
                </c:pt>
                <c:pt idx="71">
                  <c:v>0.98300000000000054</c:v>
                </c:pt>
                <c:pt idx="72">
                  <c:v>0.98400000000000054</c:v>
                </c:pt>
                <c:pt idx="73">
                  <c:v>0.98500000000000054</c:v>
                </c:pt>
                <c:pt idx="74">
                  <c:v>0.98600000000000054</c:v>
                </c:pt>
                <c:pt idx="75">
                  <c:v>0.98700000000000054</c:v>
                </c:pt>
                <c:pt idx="76">
                  <c:v>0.98800000000000054</c:v>
                </c:pt>
                <c:pt idx="77">
                  <c:v>0.98900000000000055</c:v>
                </c:pt>
                <c:pt idx="78">
                  <c:v>0.99000000000000055</c:v>
                </c:pt>
                <c:pt idx="79">
                  <c:v>0.99100000000000055</c:v>
                </c:pt>
                <c:pt idx="80">
                  <c:v>0.99200000000000055</c:v>
                </c:pt>
                <c:pt idx="81">
                  <c:v>0.99300000000000055</c:v>
                </c:pt>
                <c:pt idx="82">
                  <c:v>0.99400000000000055</c:v>
                </c:pt>
                <c:pt idx="83">
                  <c:v>0.99500000000000055</c:v>
                </c:pt>
                <c:pt idx="84">
                  <c:v>0.99600000000000055</c:v>
                </c:pt>
                <c:pt idx="85">
                  <c:v>0.99700000000000055</c:v>
                </c:pt>
                <c:pt idx="86">
                  <c:v>0.99800000000000055</c:v>
                </c:pt>
                <c:pt idx="87">
                  <c:v>0.99900000000000055</c:v>
                </c:pt>
                <c:pt idx="88">
                  <c:v>1.0000000000000004</c:v>
                </c:pt>
              </c:numCache>
            </c:numRef>
          </c:xVal>
          <c:yVal>
            <c:numRef>
              <c:f>平衡含水率!$M$88:$CW$88</c:f>
              <c:numCache>
                <c:formatCode>General</c:formatCode>
                <c:ptCount val="89"/>
                <c:pt idx="0">
                  <c:v>0</c:v>
                </c:pt>
                <c:pt idx="1">
                  <c:v>6.4622972670252792E-3</c:v>
                </c:pt>
                <c:pt idx="2">
                  <c:v>6.4976593784073639E-3</c:v>
                </c:pt>
                <c:pt idx="3">
                  <c:v>6.5184345226312222E-3</c:v>
                </c:pt>
                <c:pt idx="4">
                  <c:v>6.5332149935652308E-3</c:v>
                </c:pt>
                <c:pt idx="5">
                  <c:v>6.5447026935313117E-3</c:v>
                </c:pt>
                <c:pt idx="6">
                  <c:v>6.5541038207308777E-3</c:v>
                </c:pt>
                <c:pt idx="7">
                  <c:v>6.5620628953259857E-3</c:v>
                </c:pt>
                <c:pt idx="8">
                  <c:v>6.5689651713641394E-3</c:v>
                </c:pt>
                <c:pt idx="9">
                  <c:v>6.5750594363155161E-3</c:v>
                </c:pt>
                <c:pt idx="10">
                  <c:v>6.5805157327723579E-3</c:v>
                </c:pt>
                <c:pt idx="11">
                  <c:v>6.585455453821297E-3</c:v>
                </c:pt>
                <c:pt idx="12">
                  <c:v>6.5899683035520332E-3</c:v>
                </c:pt>
                <c:pt idx="13">
                  <c:v>6.5941224537688021E-3</c:v>
                </c:pt>
                <c:pt idx="14">
                  <c:v>6.5979709307215136E-3</c:v>
                </c:pt>
                <c:pt idx="15">
                  <c:v>6.6015557958864742E-3</c:v>
                </c:pt>
                <c:pt idx="16">
                  <c:v>6.6049109764635301E-3</c:v>
                </c:pt>
                <c:pt idx="17">
                  <c:v>6.6080642373970936E-3</c:v>
                </c:pt>
                <c:pt idx="18">
                  <c:v>6.6110385896294959E-3</c:v>
                </c:pt>
                <c:pt idx="19">
                  <c:v>6.6138533176096203E-3</c:v>
                </c:pt>
                <c:pt idx="20">
                  <c:v>6.616524743295789E-3</c:v>
                </c:pt>
                <c:pt idx="21">
                  <c:v>6.6190668038179209E-3</c:v>
                </c:pt>
                <c:pt idx="22">
                  <c:v>6.6214914948199161E-3</c:v>
                </c:pt>
                <c:pt idx="23">
                  <c:v>6.6238092153085345E-3</c:v>
                </c:pt>
                <c:pt idx="24">
                  <c:v>6.6260290391581935E-3</c:v>
                </c:pt>
                <c:pt idx="25">
                  <c:v>6.6281589312329687E-3</c:v>
                </c:pt>
                <c:pt idx="26">
                  <c:v>6.6302059211554099E-3</c:v>
                </c:pt>
                <c:pt idx="27">
                  <c:v>6.6321762443094989E-3</c:v>
                </c:pt>
                <c:pt idx="28">
                  <c:v>6.634075457224573E-3</c:v>
                </c:pt>
                <c:pt idx="29">
                  <c:v>6.6359085327317626E-3</c:v>
                </c:pt>
                <c:pt idx="30">
                  <c:v>6.6376799390054381E-3</c:v>
                </c:pt>
                <c:pt idx="31">
                  <c:v>6.6393937056592406E-3</c:v>
                </c:pt>
                <c:pt idx="32">
                  <c:v>6.6410534793687149E-3</c:v>
                </c:pt>
                <c:pt idx="33">
                  <c:v>6.6426625710013414E-3</c:v>
                </c:pt>
                <c:pt idx="34">
                  <c:v>6.6442239960760345E-3</c:v>
                </c:pt>
                <c:pt idx="35">
                  <c:v>6.6457405114863505E-3</c:v>
                </c:pt>
                <c:pt idx="36">
                  <c:v>6.6472146590254438E-3</c:v>
                </c:pt>
                <c:pt idx="37">
                  <c:v>6.6486488672225568E-3</c:v>
                </c:pt>
                <c:pt idx="38">
                  <c:v>6.6500458689664615E-3</c:v>
                </c:pt>
                <c:pt idx="39">
                  <c:v>6.6514106797761607E-3</c:v>
                </c:pt>
                <c:pt idx="40">
                  <c:v>6.6527599185117348E-3</c:v>
                </c:pt>
                <c:pt idx="41">
                  <c:v>6.6541642852755659E-3</c:v>
                </c:pt>
                <c:pt idx="42">
                  <c:v>6.6559351994379288E-3</c:v>
                </c:pt>
                <c:pt idx="43">
                  <c:v>6.6594163200068271E-3</c:v>
                </c:pt>
                <c:pt idx="44">
                  <c:v>6.6702325905731302E-3</c:v>
                </c:pt>
                <c:pt idx="45">
                  <c:v>6.7112872487411924E-3</c:v>
                </c:pt>
                <c:pt idx="46">
                  <c:v>6.8745828200973249E-3</c:v>
                </c:pt>
                <c:pt idx="47">
                  <c:v>7.5440866107704969E-3</c:v>
                </c:pt>
                <c:pt idx="48">
                  <c:v>1.0710782286528135E-2</c:v>
                </c:pt>
                <c:pt idx="49">
                  <c:v>1.1064673300568996E-2</c:v>
                </c:pt>
                <c:pt idx="50">
                  <c:v>1.145528378270488E-2</c:v>
                </c:pt>
                <c:pt idx="51">
                  <c:v>1.1887370526247032E-2</c:v>
                </c:pt>
                <c:pt idx="52">
                  <c:v>1.236645891119393E-2</c:v>
                </c:pt>
                <c:pt idx="53">
                  <c:v>1.2898992709870974E-2</c:v>
                </c:pt>
                <c:pt idx="54">
                  <c:v>1.3492517994239355E-2</c:v>
                </c:pt>
                <c:pt idx="55">
                  <c:v>1.4155910017794359E-2</c:v>
                </c:pt>
                <c:pt idx="56">
                  <c:v>1.4899654545405169E-2</c:v>
                </c:pt>
                <c:pt idx="57">
                  <c:v>1.5736198553849393E-2</c:v>
                </c:pt>
                <c:pt idx="58">
                  <c:v>1.6680389830205092E-2</c:v>
                </c:pt>
                <c:pt idx="59">
                  <c:v>1.7750031181663382E-2</c:v>
                </c:pt>
                <c:pt idx="60">
                  <c:v>1.8966583338753458E-2</c:v>
                </c:pt>
                <c:pt idx="61">
                  <c:v>2.0356062033955083E-2</c:v>
                </c:pt>
                <c:pt idx="62">
                  <c:v>2.1950190381306918E-2</c:v>
                </c:pt>
                <c:pt idx="63">
                  <c:v>2.378788931323635E-2</c:v>
                </c:pt>
                <c:pt idx="64">
                  <c:v>2.5917218976807939E-2</c:v>
                </c:pt>
                <c:pt idx="65">
                  <c:v>2.8397926351667289E-2</c:v>
                </c:pt>
                <c:pt idx="66">
                  <c:v>3.1304814385891458E-2</c:v>
                </c:pt>
                <c:pt idx="67">
                  <c:v>3.4732233788479096E-2</c:v>
                </c:pt>
                <c:pt idx="68">
                  <c:v>3.8800122506899362E-2</c:v>
                </c:pt>
                <c:pt idx="69">
                  <c:v>4.3662198454601314E-2</c:v>
                </c:pt>
                <c:pt idx="70">
                  <c:v>4.9517176802233193E-2</c:v>
                </c:pt>
                <c:pt idx="71">
                  <c:v>5.6624278461765459E-2</c:v>
                </c:pt>
                <c:pt idx="72">
                  <c:v>6.5324890934096574E-2</c:v>
                </c:pt>
                <c:pt idx="73">
                  <c:v>7.6073147167728769E-2</c:v>
                </c:pt>
                <c:pt idx="74">
                  <c:v>8.9479580634153788E-2</c:v>
                </c:pt>
                <c:pt idx="75">
                  <c:v>0.10637418585363273</c:v>
                </c:pt>
                <c:pt idx="76">
                  <c:v>0.12789864288985242</c:v>
                </c:pt>
                <c:pt idx="77">
                  <c:v>0.155642955843345</c:v>
                </c:pt>
                <c:pt idx="78">
                  <c:v>0.19185067630496053</c:v>
                </c:pt>
                <c:pt idx="79">
                  <c:v>0.23973159415912562</c:v>
                </c:pt>
                <c:pt idx="80">
                  <c:v>0.30394542375579636</c:v>
                </c:pt>
                <c:pt idx="81">
                  <c:v>0.39136198921686077</c:v>
                </c:pt>
                <c:pt idx="82">
                  <c:v>0.51227615438425855</c:v>
                </c:pt>
                <c:pt idx="83">
                  <c:v>0.68238411501347451</c:v>
                </c:pt>
                <c:pt idx="84">
                  <c:v>0.92605858858110446</c:v>
                </c:pt>
                <c:pt idx="85">
                  <c:v>1.2818842426887016</c:v>
                </c:pt>
                <c:pt idx="86">
                  <c:v>1.8122091192699425</c:v>
                </c:pt>
                <c:pt idx="87">
                  <c:v>2.6199903890412335</c:v>
                </c:pt>
                <c:pt idx="88">
                  <c:v>3.8792000000006968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52-FE4A-B780-216A99B3D168}"/>
            </c:ext>
          </c:extLst>
        </c:ser>
        <c:ser>
          <c:idx val="4"/>
          <c:order val="4"/>
          <c:tx>
            <c:strRef>
              <c:f>平衡含水率!$B$89</c:f>
              <c:strCache>
                <c:ptCount val="1"/>
                <c:pt idx="0">
                  <c:v>ASHRAE Low-density Polyurethane Foam Insulation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平衡含水率!$M$2:$CW$2</c:f>
              <c:numCache>
                <c:formatCode>General</c:formatCode>
                <c:ptCount val="8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0.96100000000000052</c:v>
                </c:pt>
                <c:pt idx="50">
                  <c:v>0.96200000000000052</c:v>
                </c:pt>
                <c:pt idx="51">
                  <c:v>0.96300000000000052</c:v>
                </c:pt>
                <c:pt idx="52">
                  <c:v>0.96400000000000052</c:v>
                </c:pt>
                <c:pt idx="53">
                  <c:v>0.96500000000000052</c:v>
                </c:pt>
                <c:pt idx="54">
                  <c:v>0.96600000000000052</c:v>
                </c:pt>
                <c:pt idx="55">
                  <c:v>0.96700000000000053</c:v>
                </c:pt>
                <c:pt idx="56">
                  <c:v>0.96800000000000053</c:v>
                </c:pt>
                <c:pt idx="57">
                  <c:v>0.96900000000000053</c:v>
                </c:pt>
                <c:pt idx="58">
                  <c:v>0.97000000000000053</c:v>
                </c:pt>
                <c:pt idx="59">
                  <c:v>0.97100000000000053</c:v>
                </c:pt>
                <c:pt idx="60">
                  <c:v>0.97200000000000053</c:v>
                </c:pt>
                <c:pt idx="61">
                  <c:v>0.97300000000000053</c:v>
                </c:pt>
                <c:pt idx="62">
                  <c:v>0.97400000000000053</c:v>
                </c:pt>
                <c:pt idx="63">
                  <c:v>0.97500000000000053</c:v>
                </c:pt>
                <c:pt idx="64">
                  <c:v>0.97600000000000053</c:v>
                </c:pt>
                <c:pt idx="65">
                  <c:v>0.97700000000000053</c:v>
                </c:pt>
                <c:pt idx="66">
                  <c:v>0.97800000000000054</c:v>
                </c:pt>
                <c:pt idx="67">
                  <c:v>0.97900000000000054</c:v>
                </c:pt>
                <c:pt idx="68">
                  <c:v>0.98000000000000054</c:v>
                </c:pt>
                <c:pt idx="69">
                  <c:v>0.98100000000000054</c:v>
                </c:pt>
                <c:pt idx="70">
                  <c:v>0.98200000000000054</c:v>
                </c:pt>
                <c:pt idx="71">
                  <c:v>0.98300000000000054</c:v>
                </c:pt>
                <c:pt idx="72">
                  <c:v>0.98400000000000054</c:v>
                </c:pt>
                <c:pt idx="73">
                  <c:v>0.98500000000000054</c:v>
                </c:pt>
                <c:pt idx="74">
                  <c:v>0.98600000000000054</c:v>
                </c:pt>
                <c:pt idx="75">
                  <c:v>0.98700000000000054</c:v>
                </c:pt>
                <c:pt idx="76">
                  <c:v>0.98800000000000054</c:v>
                </c:pt>
                <c:pt idx="77">
                  <c:v>0.98900000000000055</c:v>
                </c:pt>
                <c:pt idx="78">
                  <c:v>0.99000000000000055</c:v>
                </c:pt>
                <c:pt idx="79">
                  <c:v>0.99100000000000055</c:v>
                </c:pt>
                <c:pt idx="80">
                  <c:v>0.99200000000000055</c:v>
                </c:pt>
                <c:pt idx="81">
                  <c:v>0.99300000000000055</c:v>
                </c:pt>
                <c:pt idx="82">
                  <c:v>0.99400000000000055</c:v>
                </c:pt>
                <c:pt idx="83">
                  <c:v>0.99500000000000055</c:v>
                </c:pt>
                <c:pt idx="84">
                  <c:v>0.99600000000000055</c:v>
                </c:pt>
                <c:pt idx="85">
                  <c:v>0.99700000000000055</c:v>
                </c:pt>
                <c:pt idx="86">
                  <c:v>0.99800000000000055</c:v>
                </c:pt>
                <c:pt idx="87">
                  <c:v>0.99900000000000055</c:v>
                </c:pt>
                <c:pt idx="88">
                  <c:v>1.0000000000000004</c:v>
                </c:pt>
              </c:numCache>
            </c:numRef>
          </c:xVal>
          <c:yVal>
            <c:numRef>
              <c:f>平衡含水率!$M$89:$CW$89</c:f>
              <c:numCache>
                <c:formatCode>General</c:formatCode>
                <c:ptCount val="89"/>
                <c:pt idx="0">
                  <c:v>0</c:v>
                </c:pt>
                <c:pt idx="1">
                  <c:v>4.2101831599799949E-8</c:v>
                </c:pt>
                <c:pt idx="2">
                  <c:v>4.4736577911845428E-7</c:v>
                </c:pt>
                <c:pt idx="3">
                  <c:v>1.78256718654485E-6</c:v>
                </c:pt>
                <c:pt idx="4">
                  <c:v>4.7536207504856521E-6</c:v>
                </c:pt>
                <c:pt idx="5">
                  <c:v>1.017276986213842E-5</c:v>
                </c:pt>
                <c:pt idx="6">
                  <c:v>1.8941208207279458E-5</c:v>
                </c:pt>
                <c:pt idx="7">
                  <c:v>3.2037805261393568E-5</c:v>
                </c:pt>
                <c:pt idx="8">
                  <c:v>5.0511038828172263E-5</c:v>
                </c:pt>
                <c:pt idx="9">
                  <c:v>7.5472863146446229E-5</c:v>
                </c:pt>
                <c:pt idx="10">
                  <c:v>1.0809385108057639E-4</c:v>
                </c:pt>
                <c:pt idx="11">
                  <c:v>1.4959922713234287E-4</c:v>
                </c:pt>
                <c:pt idx="12">
                  <c:v>2.0126555176128467E-4</c:v>
                </c:pt>
                <c:pt idx="13">
                  <c:v>2.6441789862995189E-4</c:v>
                </c:pt>
                <c:pt idx="14">
                  <c:v>3.4042741532595817E-4</c:v>
                </c:pt>
                <c:pt idx="15">
                  <c:v>4.3070918920796959E-4</c:v>
                </c:pt>
                <c:pt idx="16">
                  <c:v>5.36720360630466E-4</c:v>
                </c:pt>
                <c:pt idx="17">
                  <c:v>6.5995843994203971E-4</c:v>
                </c:pt>
                <c:pt idx="18">
                  <c:v>8.0195979464159058E-4</c:v>
                </c:pt>
                <c:pt idx="19">
                  <c:v>9.6429828031228189E-4</c:v>
                </c:pt>
                <c:pt idx="20">
                  <c:v>1.1485839943078872E-3</c:v>
                </c:pt>
                <c:pt idx="21">
                  <c:v>1.3564621352042453E-3</c:v>
                </c:pt>
                <c:pt idx="22">
                  <c:v>1.5896119541245158E-3</c:v>
                </c:pt>
                <c:pt idx="23">
                  <c:v>1.8497457864557778E-3</c:v>
                </c:pt>
                <c:pt idx="24">
                  <c:v>2.1386081543735189E-3</c:v>
                </c:pt>
                <c:pt idx="25">
                  <c:v>2.4579749321054097E-3</c:v>
                </c:pt>
                <c:pt idx="26">
                  <c:v>2.809652567087251E-3</c:v>
                </c:pt>
                <c:pt idx="27">
                  <c:v>3.1954773511583883E-3</c:v>
                </c:pt>
                <c:pt idx="28">
                  <c:v>3.6173147367608281E-3</c:v>
                </c:pt>
                <c:pt idx="29">
                  <c:v>4.0770586937827384E-3</c:v>
                </c:pt>
                <c:pt idx="30">
                  <c:v>4.5766311032515014E-3</c:v>
                </c:pt>
                <c:pt idx="31">
                  <c:v>5.1179811845556717E-3</c:v>
                </c:pt>
                <c:pt idx="32">
                  <c:v>5.7030849532761756E-3</c:v>
                </c:pt>
                <c:pt idx="33">
                  <c:v>6.3339447070481399E-3</c:v>
                </c:pt>
                <c:pt idx="34">
                  <c:v>7.0125885371664747E-3</c:v>
                </c:pt>
                <c:pt idx="35">
                  <c:v>7.7410698638990571E-3</c:v>
                </c:pt>
                <c:pt idx="36">
                  <c:v>8.5214669936881249E-3</c:v>
                </c:pt>
                <c:pt idx="37">
                  <c:v>9.3558826966084144E-3</c:v>
                </c:pt>
                <c:pt idx="38">
                  <c:v>1.024644380261451E-2</c:v>
                </c:pt>
                <c:pt idx="39">
                  <c:v>1.1195300815253263E-2</c:v>
                </c:pt>
                <c:pt idx="40">
                  <c:v>1.2204627541643016E-2</c:v>
                </c:pt>
                <c:pt idx="41">
                  <c:v>1.3276620737632541E-2</c:v>
                </c:pt>
                <c:pt idx="42">
                  <c:v>1.4413499767150586E-2</c:v>
                </c:pt>
                <c:pt idx="43">
                  <c:v>1.5617506274844312E-2</c:v>
                </c:pt>
                <c:pt idx="44">
                  <c:v>1.6890903871182219E-2</c:v>
                </c:pt>
                <c:pt idx="45">
                  <c:v>1.8235977829266555E-2</c:v>
                </c:pt>
                <c:pt idx="46">
                  <c:v>1.9655034792663156E-2</c:v>
                </c:pt>
                <c:pt idx="47">
                  <c:v>2.1150402497814684E-2</c:v>
                </c:pt>
                <c:pt idx="48">
                  <c:v>2.272444323306114E-2</c:v>
                </c:pt>
                <c:pt idx="49">
                  <c:v>2.2805258563748269E-2</c:v>
                </c:pt>
                <c:pt idx="50">
                  <c:v>2.2886280074956581E-2</c:v>
                </c:pt>
                <c:pt idx="51">
                  <c:v>2.2967509683473147E-2</c:v>
                </c:pt>
                <c:pt idx="52">
                  <c:v>2.3048950093749847E-2</c:v>
                </c:pt>
                <c:pt idx="53">
                  <c:v>2.3130605179478243E-2</c:v>
                </c:pt>
                <c:pt idx="54">
                  <c:v>2.3212480549337111E-2</c:v>
                </c:pt>
                <c:pt idx="55">
                  <c:v>2.3294584385469195E-2</c:v>
                </c:pt>
                <c:pt idx="56">
                  <c:v>2.3376928685667375E-2</c:v>
                </c:pt>
                <c:pt idx="57">
                  <c:v>2.3459531102926479E-2</c:v>
                </c:pt>
                <c:pt idx="58">
                  <c:v>2.3542417668586849E-2</c:v>
                </c:pt>
                <c:pt idx="59">
                  <c:v>2.3625626821981608E-2</c:v>
                </c:pt>
                <c:pt idx="60">
                  <c:v>2.3709215371291045E-2</c:v>
                </c:pt>
                <c:pt idx="61">
                  <c:v>2.379326730819558E-2</c:v>
                </c:pt>
                <c:pt idx="62">
                  <c:v>2.3877906838701824E-2</c:v>
                </c:pt>
                <c:pt idx="63">
                  <c:v>2.3963317641997491E-2</c:v>
                </c:pt>
                <c:pt idx="64">
                  <c:v>2.4049771328989826E-2</c:v>
                </c:pt>
                <c:pt idx="65">
                  <c:v>2.4137669492214974E-2</c:v>
                </c:pt>
                <c:pt idx="66">
                  <c:v>2.422760584371297E-2</c:v>
                </c:pt>
                <c:pt idx="67">
                  <c:v>2.4320458066693886E-2</c:v>
                </c:pt>
                <c:pt idx="68">
                  <c:v>2.4417523679411864E-2</c:v>
                </c:pt>
                <c:pt idx="69">
                  <c:v>2.4520721232344989E-2</c:v>
                </c:pt>
                <c:pt idx="70">
                  <c:v>2.4632888814084267E-2</c:v>
                </c:pt>
                <c:pt idx="71">
                  <c:v>2.4758228220762606E-2</c:v>
                </c:pt>
                <c:pt idx="72">
                  <c:v>2.490296878688884E-2</c:v>
                </c:pt>
                <c:pt idx="73">
                  <c:v>2.5076366003126734E-2</c:v>
                </c:pt>
                <c:pt idx="74">
                  <c:v>2.5292218076679574E-2</c:v>
                </c:pt>
                <c:pt idx="75">
                  <c:v>2.557120043736931E-2</c:v>
                </c:pt>
                <c:pt idx="76">
                  <c:v>2.594452786273237E-2</c:v>
                </c:pt>
                <c:pt idx="77">
                  <c:v>2.6459848857683401E-2</c:v>
                </c:pt>
                <c:pt idx="78">
                  <c:v>2.7191060810229858E-2</c:v>
                </c:pt>
                <c:pt idx="79">
                  <c:v>2.82553789874475E-2</c:v>
                </c:pt>
                <c:pt idx="80">
                  <c:v>2.9844654981451894E-2</c:v>
                </c:pt>
                <c:pt idx="81">
                  <c:v>3.2286657252628775E-2</c:v>
                </c:pt>
                <c:pt idx="82">
                  <c:v>3.6174425550677715E-2</c:v>
                </c:pt>
                <c:pt idx="83">
                  <c:v>4.2664853237656224E-2</c:v>
                </c:pt>
                <c:pt idx="84">
                  <c:v>5.4245781483654214E-2</c:v>
                </c:pt>
                <c:pt idx="85">
                  <c:v>7.6984104148384747E-2</c:v>
                </c:pt>
                <c:pt idx="86">
                  <c:v>0.12831000891333771</c:v>
                </c:pt>
                <c:pt idx="87">
                  <c:v>0.27052477734606278</c:v>
                </c:pt>
                <c:pt idx="88">
                  <c:v>0.80418000000046763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52-FE4A-B780-216A99B3D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189055"/>
        <c:axId val="1842913279"/>
      </c:scatterChart>
      <c:valAx>
        <c:axId val="1331189055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842913279"/>
        <c:crosses val="autoZero"/>
        <c:crossBetween val="midCat"/>
      </c:valAx>
      <c:valAx>
        <c:axId val="184291327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Equilibrium Moisture Content (kg/kg)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331189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5714710465879307E-2"/>
          <c:y val="0.12526395407470617"/>
          <c:w val="0.2439028631146507"/>
          <c:h val="0.207821651603894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90</xdr:row>
      <xdr:rowOff>0</xdr:rowOff>
    </xdr:from>
    <xdr:to>
      <xdr:col>12</xdr:col>
      <xdr:colOff>0</xdr:colOff>
      <xdr:row>119</xdr:row>
      <xdr:rowOff>0</xdr:rowOff>
    </xdr:to>
    <xdr:graphicFrame macro="">
      <xdr:nvGraphicFramePr>
        <xdr:cNvPr id="5" name="WaterVapourPermeability_Comparison">
          <a:extLst>
            <a:ext uri="{FF2B5EF4-FFF2-40B4-BE49-F238E27FC236}">
              <a16:creationId xmlns:a16="http://schemas.microsoft.com/office/drawing/2014/main" id="{6418B369-EF6C-0AFF-1B2A-262E24A99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90</xdr:row>
      <xdr:rowOff>0</xdr:rowOff>
    </xdr:from>
    <xdr:to>
      <xdr:col>13</xdr:col>
      <xdr:colOff>393700</xdr:colOff>
      <xdr:row>119</xdr:row>
      <xdr:rowOff>0</xdr:rowOff>
    </xdr:to>
    <xdr:graphicFrame macro="">
      <xdr:nvGraphicFramePr>
        <xdr:cNvPr id="2" name="EquilibriumMoistureContent_Comparison">
          <a:extLst>
            <a:ext uri="{FF2B5EF4-FFF2-40B4-BE49-F238E27FC236}">
              <a16:creationId xmlns:a16="http://schemas.microsoft.com/office/drawing/2014/main" id="{AE73DC52-4E72-2D7C-1193-A4470702A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2116666</xdr:colOff>
      <xdr:row>109</xdr:row>
      <xdr:rowOff>50801</xdr:rowOff>
    </xdr:from>
    <xdr:to>
      <xdr:col>13</xdr:col>
      <xdr:colOff>651932</xdr:colOff>
      <xdr:row>133</xdr:row>
      <xdr:rowOff>177801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271C01C1-ED62-92C7-22B3-22FA6DE3A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599" y="20370801"/>
          <a:ext cx="9677400" cy="4597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FF040F-A158-8E4F-85B3-102DFA6D1A89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5f0b518b-5eca-4321-8c9e-e0fd1bec28c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627B-CD39-7345-94A9-0C9661F3455A}">
  <dimension ref="A1:AR83"/>
  <sheetViews>
    <sheetView zoomScaleNormal="100" workbookViewId="0">
      <pane xSplit="2" ySplit="2" topLeftCell="K3" activePane="bottomRight" state="frozen"/>
      <selection pane="topRight" activeCell="E1" sqref="E1"/>
      <selection pane="bottomLeft" activeCell="A16" sqref="A16"/>
      <selection pane="bottomRight" activeCell="R1" sqref="R1"/>
    </sheetView>
  </sheetViews>
  <sheetFormatPr baseColWidth="10" defaultRowHeight="14"/>
  <cols>
    <col min="1" max="1" width="8.83203125" customWidth="1"/>
    <col min="2" max="2" width="39.6640625" customWidth="1"/>
    <col min="3" max="3" width="15.83203125" bestFit="1" customWidth="1"/>
    <col min="4" max="4" width="19.83203125" bestFit="1" customWidth="1"/>
    <col min="5" max="5" width="25.5" bestFit="1" customWidth="1"/>
    <col min="6" max="6" width="16.33203125" bestFit="1" customWidth="1"/>
    <col min="7" max="7" width="14.6640625" customWidth="1"/>
    <col min="8" max="8" width="12.6640625" bestFit="1" customWidth="1"/>
    <col min="9" max="10" width="13.6640625" bestFit="1" customWidth="1"/>
    <col min="11" max="11" width="8.83203125" customWidth="1"/>
    <col min="12" max="13" width="12.6640625" bestFit="1" customWidth="1"/>
    <col min="14" max="14" width="13.6640625" bestFit="1" customWidth="1"/>
    <col min="15" max="17" width="12.6640625" bestFit="1" customWidth="1"/>
    <col min="18" max="18" width="8.83203125" customWidth="1"/>
    <col min="19" max="19" width="12.6640625" bestFit="1" customWidth="1"/>
    <col min="20" max="23" width="13.6640625" bestFit="1" customWidth="1"/>
    <col min="24" max="24" width="12.6640625" bestFit="1" customWidth="1"/>
    <col min="25" max="25" width="13.6640625" bestFit="1" customWidth="1"/>
    <col min="26" max="28" width="12.6640625" bestFit="1" customWidth="1"/>
    <col min="29" max="35" width="13.6640625" bestFit="1" customWidth="1"/>
    <col min="36" max="37" width="12.6640625" bestFit="1" customWidth="1"/>
    <col min="38" max="38" width="14.33203125" customWidth="1"/>
    <col min="39" max="39" width="13.6640625" bestFit="1" customWidth="1"/>
    <col min="40" max="40" width="12.6640625" bestFit="1" customWidth="1"/>
    <col min="41" max="41" width="13.6640625" bestFit="1" customWidth="1"/>
    <col min="42" max="44" width="12.6640625" bestFit="1" customWidth="1"/>
    <col min="45" max="233" width="8.83203125" customWidth="1"/>
  </cols>
  <sheetData>
    <row r="1" spans="1:44">
      <c r="A1" t="s">
        <v>119</v>
      </c>
      <c r="G1" t="s">
        <v>128</v>
      </c>
      <c r="K1" t="s">
        <v>129</v>
      </c>
      <c r="R1" t="s">
        <v>130</v>
      </c>
    </row>
    <row r="2" spans="1:44" ht="16">
      <c r="A2" t="s">
        <v>111</v>
      </c>
      <c r="B2" t="s">
        <v>110</v>
      </c>
      <c r="C2" t="s">
        <v>131</v>
      </c>
      <c r="D2" t="s">
        <v>132</v>
      </c>
      <c r="E2" t="s">
        <v>133</v>
      </c>
      <c r="F2" t="s">
        <v>134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s="1" t="s">
        <v>2</v>
      </c>
      <c r="M2" t="s">
        <v>3</v>
      </c>
      <c r="N2" t="s">
        <v>4</v>
      </c>
      <c r="O2" t="s">
        <v>5</v>
      </c>
      <c r="P2" t="s">
        <v>117</v>
      </c>
      <c r="Q2" t="s">
        <v>118</v>
      </c>
      <c r="R2" s="1" t="s">
        <v>30</v>
      </c>
      <c r="S2" s="3" t="s">
        <v>26</v>
      </c>
      <c r="T2" s="9" t="s">
        <v>12</v>
      </c>
      <c r="U2" s="5" t="s">
        <v>13</v>
      </c>
      <c r="V2" s="5" t="s">
        <v>14</v>
      </c>
      <c r="W2" s="5" t="s">
        <v>15</v>
      </c>
      <c r="X2" s="5" t="s">
        <v>16</v>
      </c>
      <c r="Y2" s="5" t="s">
        <v>17</v>
      </c>
      <c r="Z2" s="5" t="s">
        <v>18</v>
      </c>
      <c r="AA2" s="6" t="s">
        <v>27</v>
      </c>
      <c r="AB2" s="8" t="s">
        <v>26</v>
      </c>
      <c r="AC2" s="5" t="s">
        <v>19</v>
      </c>
      <c r="AD2" s="5" t="s">
        <v>20</v>
      </c>
      <c r="AE2" s="5" t="s">
        <v>21</v>
      </c>
      <c r="AF2" s="5" t="s">
        <v>22</v>
      </c>
      <c r="AG2" s="5" t="s">
        <v>23</v>
      </c>
      <c r="AH2" s="5" t="s">
        <v>24</v>
      </c>
      <c r="AI2" s="5" t="s">
        <v>25</v>
      </c>
      <c r="AJ2" s="8" t="s">
        <v>27</v>
      </c>
      <c r="AK2" s="7" t="s">
        <v>26</v>
      </c>
      <c r="AL2" s="5" t="s">
        <v>19</v>
      </c>
      <c r="AM2" s="5" t="s">
        <v>20</v>
      </c>
      <c r="AN2" s="5" t="s">
        <v>21</v>
      </c>
      <c r="AO2" s="5" t="s">
        <v>22</v>
      </c>
      <c r="AP2" s="5" t="s">
        <v>23</v>
      </c>
      <c r="AQ2" s="5" t="s">
        <v>28</v>
      </c>
      <c r="AR2" s="5" t="s">
        <v>29</v>
      </c>
    </row>
    <row r="3" spans="1:44">
      <c r="A3">
        <v>0</v>
      </c>
      <c r="B3" t="s">
        <v>0</v>
      </c>
      <c r="C3">
        <v>1.2</v>
      </c>
      <c r="D3">
        <v>1000</v>
      </c>
      <c r="E3">
        <v>2.1999999999999999E-2</v>
      </c>
      <c r="F3" s="4">
        <v>9.9999999999999998E-13</v>
      </c>
      <c r="G3" s="12">
        <v>0</v>
      </c>
      <c r="H3" s="12">
        <v>0</v>
      </c>
      <c r="I3" s="12">
        <v>0</v>
      </c>
      <c r="J3" s="12">
        <v>0</v>
      </c>
      <c r="K3">
        <v>1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</row>
    <row r="4" spans="1:44">
      <c r="A4">
        <v>1</v>
      </c>
      <c r="B4" t="s">
        <v>31</v>
      </c>
      <c r="C4">
        <v>460</v>
      </c>
      <c r="D4">
        <v>840</v>
      </c>
      <c r="E4">
        <v>0.121</v>
      </c>
      <c r="F4" s="4">
        <v>6.8999999999999996E-14</v>
      </c>
      <c r="G4" s="12">
        <v>6.1555000000000001E-11</v>
      </c>
      <c r="H4" s="12">
        <v>4.5350000000000001E-2</v>
      </c>
      <c r="I4" s="12">
        <v>-1.7048000000000001</v>
      </c>
      <c r="J4" s="12">
        <v>1.2049000000000001</v>
      </c>
      <c r="K4">
        <v>1</v>
      </c>
      <c r="L4" s="13">
        <v>0.78742999999999996</v>
      </c>
      <c r="M4" s="12">
        <v>17.297000000000001</v>
      </c>
      <c r="N4" s="12">
        <v>-0.35106999999999999</v>
      </c>
      <c r="O4" s="12">
        <v>78.552999999999997</v>
      </c>
      <c r="P4" s="14">
        <v>0</v>
      </c>
      <c r="Q4" s="14">
        <v>0</v>
      </c>
      <c r="R4" s="1">
        <v>3</v>
      </c>
      <c r="S4" s="15">
        <v>8.6999999999999994E-2</v>
      </c>
      <c r="T4" s="15">
        <v>-18.559942811285872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3">
        <v>8.6999999999999994E-2</v>
      </c>
      <c r="AB4" s="12">
        <v>0.54</v>
      </c>
      <c r="AC4" s="16">
        <v>-15.073</v>
      </c>
      <c r="AD4" s="16">
        <v>-63.311999999999998</v>
      </c>
      <c r="AE4" s="16">
        <v>324.95999999999998</v>
      </c>
      <c r="AF4" s="16">
        <v>-731.86</v>
      </c>
      <c r="AG4" s="16">
        <v>623.29999999999995</v>
      </c>
      <c r="AH4" s="16">
        <v>0</v>
      </c>
      <c r="AI4" s="16">
        <v>0</v>
      </c>
      <c r="AJ4" s="12">
        <v>0.54</v>
      </c>
      <c r="AK4" s="15">
        <v>1.3</v>
      </c>
      <c r="AL4" s="16">
        <v>-16.772022118364983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</row>
    <row r="5" spans="1:44">
      <c r="A5">
        <v>2</v>
      </c>
      <c r="B5" t="s">
        <v>32</v>
      </c>
      <c r="C5">
        <v>650</v>
      </c>
      <c r="D5">
        <v>1880</v>
      </c>
      <c r="E5">
        <v>9.9400000000000002E-2</v>
      </c>
      <c r="F5" s="4">
        <v>1.6000000000000001E-14</v>
      </c>
      <c r="G5" s="12">
        <v>4.8884000000000001E-12</v>
      </c>
      <c r="H5" s="12">
        <v>1.5423</v>
      </c>
      <c r="I5" s="12">
        <v>-4.4467999999999996</v>
      </c>
      <c r="J5" s="12">
        <v>0.10745</v>
      </c>
      <c r="K5">
        <v>1</v>
      </c>
      <c r="L5" s="13">
        <v>0.83635999999999999</v>
      </c>
      <c r="M5" s="12">
        <v>4.5880999999999998</v>
      </c>
      <c r="N5" s="12">
        <v>-1.0827</v>
      </c>
      <c r="O5" s="12">
        <v>40.594999999999999</v>
      </c>
      <c r="P5" s="14">
        <v>0</v>
      </c>
      <c r="Q5" s="14">
        <v>0</v>
      </c>
      <c r="R5" s="1">
        <v>2</v>
      </c>
      <c r="S5" s="15">
        <v>0.92</v>
      </c>
      <c r="T5" s="15">
        <v>-18.023</v>
      </c>
      <c r="U5" s="16">
        <v>-34.412999999999997</v>
      </c>
      <c r="V5" s="16">
        <v>140.32</v>
      </c>
      <c r="W5" s="16">
        <v>-285.57</v>
      </c>
      <c r="X5" s="16">
        <v>277.27999999999997</v>
      </c>
      <c r="Y5" s="16">
        <v>-102.33</v>
      </c>
      <c r="Z5" s="16">
        <v>0</v>
      </c>
      <c r="AA5" s="13">
        <v>0.92</v>
      </c>
      <c r="AB5" s="12">
        <v>1.4</v>
      </c>
      <c r="AC5" s="16">
        <v>-21.996231512759298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</row>
    <row r="6" spans="1:44">
      <c r="A6">
        <v>3</v>
      </c>
      <c r="B6" t="s">
        <v>33</v>
      </c>
      <c r="C6">
        <v>500</v>
      </c>
      <c r="D6">
        <v>1880</v>
      </c>
      <c r="E6">
        <v>9.35E-2</v>
      </c>
      <c r="F6" s="4">
        <v>8.5000000000000001E-15</v>
      </c>
      <c r="G6" s="12">
        <v>2.6904000000000001E-11</v>
      </c>
      <c r="H6" s="12">
        <v>3.1017000000000002E-3</v>
      </c>
      <c r="I6" s="12">
        <v>-4.53</v>
      </c>
      <c r="J6" s="12">
        <v>1.4008</v>
      </c>
      <c r="K6">
        <v>1</v>
      </c>
      <c r="L6" s="13">
        <v>0.87266999999999995</v>
      </c>
      <c r="M6" s="12">
        <v>2.3742000000000001</v>
      </c>
      <c r="N6" s="12">
        <v>-1.3561000000000001</v>
      </c>
      <c r="O6" s="12">
        <v>38.491999999999997</v>
      </c>
      <c r="P6" s="14">
        <v>0</v>
      </c>
      <c r="Q6" s="14">
        <v>0</v>
      </c>
      <c r="R6" s="1">
        <v>2</v>
      </c>
      <c r="S6" s="15">
        <v>1.2</v>
      </c>
      <c r="T6" s="15">
        <v>-18.117000000000001</v>
      </c>
      <c r="U6" s="16">
        <v>-24.847999999999999</v>
      </c>
      <c r="V6" s="16">
        <v>75.350999999999999</v>
      </c>
      <c r="W6" s="16">
        <v>-115.08</v>
      </c>
      <c r="X6" s="16">
        <v>84.347999999999999</v>
      </c>
      <c r="Y6" s="16">
        <v>-23.594999999999999</v>
      </c>
      <c r="Z6" s="16">
        <v>0</v>
      </c>
      <c r="AA6" s="13">
        <v>1.2</v>
      </c>
      <c r="AB6" s="12">
        <v>1.6</v>
      </c>
      <c r="AC6" s="16">
        <v>-21.996231512759298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</row>
    <row r="7" spans="1:44">
      <c r="A7">
        <v>4</v>
      </c>
      <c r="B7" t="s">
        <v>34</v>
      </c>
      <c r="C7">
        <v>360</v>
      </c>
      <c r="D7">
        <v>1250</v>
      </c>
      <c r="E7" s="11">
        <v>0.1</v>
      </c>
      <c r="F7" s="4">
        <v>1.1E-13</v>
      </c>
      <c r="G7" s="12">
        <v>2.5688999999999998E-13</v>
      </c>
      <c r="H7" s="12">
        <v>3.3314999999999999E-4</v>
      </c>
      <c r="I7" s="12">
        <v>-0.12520000000000001</v>
      </c>
      <c r="J7" s="12">
        <v>0.95757999999999999</v>
      </c>
      <c r="K7">
        <v>1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">
        <v>0</v>
      </c>
      <c r="S7" s="14">
        <v>0</v>
      </c>
      <c r="T7" s="15">
        <v>11.512915464920228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</row>
    <row r="8" spans="1:44">
      <c r="A8">
        <v>5</v>
      </c>
      <c r="B8" t="s">
        <v>35</v>
      </c>
      <c r="C8">
        <v>1000</v>
      </c>
      <c r="D8">
        <v>1250</v>
      </c>
      <c r="E8" s="11">
        <v>0.1</v>
      </c>
      <c r="F8" s="4">
        <v>2.2000000000000001E-14</v>
      </c>
      <c r="G8" s="12">
        <v>8.2430000000000003E-13</v>
      </c>
      <c r="H8" s="12">
        <v>2.0187E-2</v>
      </c>
      <c r="I8" s="12">
        <v>-2.5640999999999998</v>
      </c>
      <c r="J8" s="12">
        <v>1.3182</v>
      </c>
      <c r="K8">
        <v>1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">
        <v>0</v>
      </c>
      <c r="S8" s="14">
        <v>0</v>
      </c>
      <c r="T8" s="15">
        <v>11.512915464920228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</row>
    <row r="9" spans="1:44">
      <c r="A9">
        <v>6</v>
      </c>
      <c r="B9" t="s">
        <v>36</v>
      </c>
      <c r="C9">
        <v>1010</v>
      </c>
      <c r="D9">
        <v>1250</v>
      </c>
      <c r="E9" s="11">
        <v>0.1</v>
      </c>
      <c r="F9" s="4">
        <v>1.1999999999999999E-14</v>
      </c>
      <c r="G9" s="12">
        <v>1.2228E-12</v>
      </c>
      <c r="H9" s="12">
        <v>3.2800000000000003E-2</v>
      </c>
      <c r="I9" s="12">
        <v>-2.222</v>
      </c>
      <c r="J9" s="12">
        <v>1.0541</v>
      </c>
      <c r="K9">
        <v>1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">
        <v>0</v>
      </c>
      <c r="S9" s="14">
        <v>0</v>
      </c>
      <c r="T9" s="15">
        <v>11.512915464920228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</row>
    <row r="10" spans="1:44">
      <c r="A10">
        <v>7</v>
      </c>
      <c r="B10" t="s">
        <v>37</v>
      </c>
      <c r="C10">
        <v>640</v>
      </c>
      <c r="D10">
        <v>1250</v>
      </c>
      <c r="E10" s="11">
        <v>0.1</v>
      </c>
      <c r="F10" s="4">
        <v>3.5999999999999998E-14</v>
      </c>
      <c r="G10" s="12">
        <v>8.9000000000000004E-13</v>
      </c>
      <c r="H10" s="12">
        <v>0</v>
      </c>
      <c r="I10" s="12">
        <v>0</v>
      </c>
      <c r="J10" s="12">
        <v>0</v>
      </c>
      <c r="K10">
        <v>1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">
        <v>0</v>
      </c>
      <c r="S10" s="14">
        <v>0</v>
      </c>
      <c r="T10" s="15">
        <v>11.512915464920228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</row>
    <row r="11" spans="1:44">
      <c r="A11">
        <v>8</v>
      </c>
      <c r="B11" t="s">
        <v>38</v>
      </c>
      <c r="C11">
        <v>810</v>
      </c>
      <c r="D11">
        <v>1250</v>
      </c>
      <c r="E11" s="11">
        <v>0.1</v>
      </c>
      <c r="F11" s="4">
        <v>2.2000000000000001E-14</v>
      </c>
      <c r="G11" s="12">
        <v>2.1925000000000002E-12</v>
      </c>
      <c r="H11" s="12">
        <v>0.68618999999999997</v>
      </c>
      <c r="I11" s="12">
        <v>-2.2595999999999998</v>
      </c>
      <c r="J11" s="12">
        <v>4.6009000000000002</v>
      </c>
      <c r="K11">
        <v>1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">
        <v>0</v>
      </c>
      <c r="S11" s="14">
        <v>0</v>
      </c>
      <c r="T11" s="15">
        <v>11.512915464920228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</row>
    <row r="12" spans="1:44">
      <c r="A12">
        <v>9</v>
      </c>
      <c r="B12" t="s">
        <v>39</v>
      </c>
      <c r="C12">
        <v>880</v>
      </c>
      <c r="D12">
        <v>1250</v>
      </c>
      <c r="E12" s="11">
        <v>0.1</v>
      </c>
      <c r="F12" s="4">
        <v>2.7000000000000001E-15</v>
      </c>
      <c r="G12" s="12">
        <v>2.6193999999999999E-12</v>
      </c>
      <c r="H12" s="12">
        <v>0.83333000000000002</v>
      </c>
      <c r="I12" s="12">
        <v>-3.5642</v>
      </c>
      <c r="J12" s="12">
        <v>6.6021000000000001</v>
      </c>
      <c r="K12">
        <v>1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">
        <v>0</v>
      </c>
      <c r="S12" s="14">
        <v>0</v>
      </c>
      <c r="T12" s="15">
        <v>11.512915464920228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</row>
    <row r="13" spans="1:44">
      <c r="A13">
        <v>10</v>
      </c>
      <c r="B13" t="s">
        <v>40</v>
      </c>
      <c r="C13">
        <v>1400</v>
      </c>
      <c r="D13">
        <v>1250</v>
      </c>
      <c r="E13" s="11">
        <v>0.1</v>
      </c>
      <c r="F13" s="4">
        <v>0</v>
      </c>
      <c r="G13" s="12">
        <v>2.4912E-13</v>
      </c>
      <c r="H13" s="12">
        <v>2.5028999999999999</v>
      </c>
      <c r="I13" s="12">
        <v>-2.2913000000000001</v>
      </c>
      <c r="J13" s="12">
        <v>9.0327000000000002</v>
      </c>
      <c r="K13">
        <v>1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">
        <v>0</v>
      </c>
      <c r="S13" s="14">
        <v>0</v>
      </c>
      <c r="T13" s="15">
        <v>11.512915464920228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</row>
    <row r="14" spans="1:44">
      <c r="A14">
        <v>11</v>
      </c>
      <c r="B14" t="s">
        <v>41</v>
      </c>
      <c r="C14">
        <v>620</v>
      </c>
      <c r="D14">
        <v>1250</v>
      </c>
      <c r="E14" s="11">
        <v>0.1</v>
      </c>
      <c r="F14" s="4">
        <v>8.2000000000000001E-17</v>
      </c>
      <c r="G14" s="12">
        <v>2.6E-13</v>
      </c>
      <c r="H14" s="12">
        <v>0</v>
      </c>
      <c r="I14" s="12">
        <v>0</v>
      </c>
      <c r="J14" s="12">
        <v>0</v>
      </c>
      <c r="K14">
        <v>1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">
        <v>0</v>
      </c>
      <c r="S14" s="14">
        <v>0</v>
      </c>
      <c r="T14" s="15">
        <v>11.512915464920228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</row>
    <row r="15" spans="1:44">
      <c r="A15">
        <v>12</v>
      </c>
      <c r="B15" t="s">
        <v>42</v>
      </c>
      <c r="C15">
        <v>540</v>
      </c>
      <c r="D15">
        <v>1250</v>
      </c>
      <c r="E15" s="11">
        <v>0.1</v>
      </c>
      <c r="F15" s="4">
        <v>1.4000000000000001E-13</v>
      </c>
      <c r="G15" s="12">
        <v>1.6E-13</v>
      </c>
      <c r="H15" s="12">
        <v>0</v>
      </c>
      <c r="I15" s="12">
        <v>0</v>
      </c>
      <c r="J15" s="12">
        <v>0</v>
      </c>
      <c r="K15">
        <v>1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">
        <v>0</v>
      </c>
      <c r="S15" s="14">
        <v>0</v>
      </c>
      <c r="T15" s="15">
        <v>11.512915464920228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</row>
    <row r="16" spans="1:44">
      <c r="A16">
        <v>13</v>
      </c>
      <c r="B16" t="s">
        <v>43</v>
      </c>
      <c r="C16">
        <v>790</v>
      </c>
      <c r="D16">
        <v>1250</v>
      </c>
      <c r="E16" s="11">
        <v>0.1</v>
      </c>
      <c r="F16" s="4">
        <v>1.7E-14</v>
      </c>
      <c r="G16" s="12">
        <v>3.2999999999999998E-14</v>
      </c>
      <c r="H16" s="12">
        <v>0</v>
      </c>
      <c r="I16" s="12">
        <v>0</v>
      </c>
      <c r="J16" s="12">
        <v>0</v>
      </c>
      <c r="K16">
        <v>1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">
        <v>0</v>
      </c>
      <c r="S16" s="14">
        <v>0</v>
      </c>
      <c r="T16" s="15">
        <v>11.512915464920228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</row>
    <row r="17" spans="1:44">
      <c r="A17">
        <v>14</v>
      </c>
      <c r="B17" t="s">
        <v>44</v>
      </c>
      <c r="C17">
        <v>2300</v>
      </c>
      <c r="D17">
        <v>800</v>
      </c>
      <c r="E17">
        <v>0.79200000000000004</v>
      </c>
      <c r="F17" s="4">
        <v>7.1000000000000002E-15</v>
      </c>
      <c r="G17" s="12">
        <v>2.7256E-12</v>
      </c>
      <c r="H17" s="12">
        <v>8.1136E-2</v>
      </c>
      <c r="I17" s="12">
        <v>-0.62329000000000001</v>
      </c>
      <c r="J17" s="12">
        <v>1.2963</v>
      </c>
      <c r="K17">
        <v>1</v>
      </c>
      <c r="L17" s="13">
        <v>5.4200999999999999E-2</v>
      </c>
      <c r="M17" s="12">
        <v>0.46027000000000001</v>
      </c>
      <c r="N17" s="12">
        <v>-0.62431999999999999</v>
      </c>
      <c r="O17" s="12">
        <v>32.906999999999996</v>
      </c>
      <c r="P17" s="14">
        <v>0</v>
      </c>
      <c r="Q17" s="14">
        <v>0</v>
      </c>
      <c r="R17" s="1">
        <v>1</v>
      </c>
      <c r="S17" s="15">
        <v>0</v>
      </c>
      <c r="T17" s="15">
        <v>-32.284999999999997</v>
      </c>
      <c r="U17" s="16">
        <v>272.18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</row>
    <row r="18" spans="1:44">
      <c r="A18">
        <v>15</v>
      </c>
      <c r="B18" t="s">
        <v>45</v>
      </c>
      <c r="C18">
        <v>1900</v>
      </c>
      <c r="D18">
        <v>800</v>
      </c>
      <c r="E18">
        <v>0.5</v>
      </c>
      <c r="F18" s="4">
        <v>2.0999999999999998E-15</v>
      </c>
      <c r="G18" s="12">
        <v>2.4549E-12</v>
      </c>
      <c r="H18" s="12">
        <v>1.9824999999999999E-3</v>
      </c>
      <c r="I18" s="12">
        <v>-2.1107</v>
      </c>
      <c r="J18" s="12">
        <v>2.113</v>
      </c>
      <c r="K18">
        <v>1</v>
      </c>
      <c r="L18" s="13">
        <v>0.11025</v>
      </c>
      <c r="M18" s="12">
        <v>4.3338000000000001</v>
      </c>
      <c r="N18" s="12">
        <v>-2.6187999999999998</v>
      </c>
      <c r="O18" s="12">
        <v>15.105</v>
      </c>
      <c r="P18" s="14">
        <v>0</v>
      </c>
      <c r="Q18" s="14">
        <v>0</v>
      </c>
      <c r="R18" s="1">
        <v>1</v>
      </c>
      <c r="S18" s="15">
        <v>0</v>
      </c>
      <c r="T18" s="15">
        <v>-30.850999999999999</v>
      </c>
      <c r="U18" s="16">
        <v>124.97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</row>
    <row r="19" spans="1:44">
      <c r="A19">
        <v>16</v>
      </c>
      <c r="B19" t="s">
        <v>46</v>
      </c>
      <c r="C19">
        <v>1700</v>
      </c>
      <c r="D19">
        <v>800</v>
      </c>
      <c r="E19">
        <v>0.434</v>
      </c>
      <c r="F19" s="4">
        <v>4.4999999999999998E-15</v>
      </c>
      <c r="G19" s="12">
        <v>9.6645000000000003E-12</v>
      </c>
      <c r="H19" s="12">
        <v>2.9963E-4</v>
      </c>
      <c r="I19" s="12">
        <v>-0.34594999999999998</v>
      </c>
      <c r="J19" s="12">
        <v>0.99553000000000003</v>
      </c>
      <c r="K19">
        <v>1</v>
      </c>
      <c r="L19" s="13">
        <v>0.19994999999999999</v>
      </c>
      <c r="M19" s="12">
        <v>8.1655999999999995</v>
      </c>
      <c r="N19" s="12">
        <v>-2.9034</v>
      </c>
      <c r="O19" s="12">
        <v>86.234999999999999</v>
      </c>
      <c r="P19" s="14">
        <v>0</v>
      </c>
      <c r="Q19" s="14">
        <v>0</v>
      </c>
      <c r="R19" s="1">
        <v>1</v>
      </c>
      <c r="S19" s="15">
        <v>0</v>
      </c>
      <c r="T19" s="15">
        <v>-36.680999999999997</v>
      </c>
      <c r="U19" s="16">
        <v>10.183</v>
      </c>
      <c r="V19" s="16">
        <v>836.35</v>
      </c>
      <c r="W19" s="16">
        <v>-4746.2</v>
      </c>
      <c r="X19" s="16">
        <v>9364.5</v>
      </c>
      <c r="Y19" s="16">
        <v>0</v>
      </c>
      <c r="Z19" s="16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</row>
    <row r="20" spans="1:44">
      <c r="A20">
        <v>17</v>
      </c>
      <c r="B20" t="s">
        <v>47</v>
      </c>
      <c r="C20">
        <v>1800</v>
      </c>
      <c r="D20">
        <v>800</v>
      </c>
      <c r="E20">
        <v>0.52200000000000002</v>
      </c>
      <c r="F20" s="4">
        <v>2E-14</v>
      </c>
      <c r="G20" s="12">
        <v>4.1484999999999999E-12</v>
      </c>
      <c r="H20" s="12">
        <v>6.3920999999999997E-4</v>
      </c>
      <c r="I20" s="12">
        <v>-0.33810000000000001</v>
      </c>
      <c r="J20" s="12">
        <v>1.0492999999999999</v>
      </c>
      <c r="K20">
        <v>1</v>
      </c>
      <c r="L20" s="13">
        <v>0.17996999999999999</v>
      </c>
      <c r="M20" s="12">
        <v>0.58301000000000003</v>
      </c>
      <c r="N20" s="12">
        <v>-3.0608</v>
      </c>
      <c r="O20" s="12">
        <v>114</v>
      </c>
      <c r="P20" s="14">
        <v>0</v>
      </c>
      <c r="Q20" s="14">
        <v>0</v>
      </c>
      <c r="R20" s="1">
        <v>1</v>
      </c>
      <c r="S20" s="15">
        <v>0</v>
      </c>
      <c r="T20" s="15">
        <v>-30.861999999999998</v>
      </c>
      <c r="U20" s="16">
        <v>43.509</v>
      </c>
      <c r="V20" s="16">
        <v>622.5</v>
      </c>
      <c r="W20" s="16">
        <v>-4354.8999999999996</v>
      </c>
      <c r="X20" s="16">
        <v>10254</v>
      </c>
      <c r="Y20" s="16">
        <v>0</v>
      </c>
      <c r="Z20" s="16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</row>
    <row r="21" spans="1:44">
      <c r="A21">
        <v>18</v>
      </c>
      <c r="B21" t="s">
        <v>48</v>
      </c>
      <c r="C21">
        <v>2300</v>
      </c>
      <c r="D21">
        <v>800</v>
      </c>
      <c r="E21">
        <v>0.73699999999999999</v>
      </c>
      <c r="F21" s="4">
        <v>1.2E-15</v>
      </c>
      <c r="G21" s="12">
        <v>5.7909000000000003E-12</v>
      </c>
      <c r="H21" s="12">
        <v>2.7619999999999999E-4</v>
      </c>
      <c r="I21" s="12">
        <v>-1.8344</v>
      </c>
      <c r="J21" s="12">
        <v>0.97748000000000002</v>
      </c>
      <c r="K21">
        <v>1</v>
      </c>
      <c r="L21" s="13">
        <v>5.5659E-2</v>
      </c>
      <c r="M21" s="12">
        <v>0.66147999999999996</v>
      </c>
      <c r="N21" s="12">
        <v>-0.79276999999999997</v>
      </c>
      <c r="O21" s="12">
        <v>38.186999999999998</v>
      </c>
      <c r="P21" s="14">
        <v>0</v>
      </c>
      <c r="Q21" s="14">
        <v>0</v>
      </c>
      <c r="R21" s="1">
        <v>1</v>
      </c>
      <c r="S21" s="15">
        <v>0</v>
      </c>
      <c r="T21" s="15">
        <v>-29.709</v>
      </c>
      <c r="U21" s="16">
        <v>-31.190999999999999</v>
      </c>
      <c r="V21" s="16">
        <v>13106</v>
      </c>
      <c r="W21" s="16">
        <v>-251440</v>
      </c>
      <c r="X21" s="16">
        <v>1719200</v>
      </c>
      <c r="Y21" s="16">
        <v>0</v>
      </c>
      <c r="Z21" s="16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</row>
    <row r="22" spans="1:44">
      <c r="A22">
        <v>19</v>
      </c>
      <c r="B22" t="s">
        <v>49</v>
      </c>
      <c r="C22">
        <v>1970</v>
      </c>
      <c r="D22">
        <v>800</v>
      </c>
      <c r="E22">
        <v>0.623</v>
      </c>
      <c r="F22" s="4">
        <v>1E-14</v>
      </c>
      <c r="G22" s="12">
        <v>7.9644000000000004E-11</v>
      </c>
      <c r="H22" s="12">
        <v>1.1521999999999999</v>
      </c>
      <c r="I22" s="12">
        <v>-2.0116999999999998</v>
      </c>
      <c r="J22" s="12">
        <v>2.7654000000000001</v>
      </c>
      <c r="K22">
        <v>1</v>
      </c>
      <c r="L22" s="13">
        <v>0.13921</v>
      </c>
      <c r="M22" s="12">
        <v>1.2864</v>
      </c>
      <c r="N22" s="12">
        <v>-0.90147999999999995</v>
      </c>
      <c r="O22" s="12">
        <v>77.748999999999995</v>
      </c>
      <c r="P22" s="14">
        <v>0</v>
      </c>
      <c r="Q22" s="14">
        <v>0</v>
      </c>
      <c r="R22" s="1">
        <v>1</v>
      </c>
      <c r="S22" s="15">
        <v>0</v>
      </c>
      <c r="T22" s="15">
        <v>-31.454999999999998</v>
      </c>
      <c r="U22" s="16">
        <v>61.671999999999997</v>
      </c>
      <c r="V22" s="16">
        <v>775.58</v>
      </c>
      <c r="W22" s="16">
        <v>-5305.9</v>
      </c>
      <c r="X22" s="16">
        <v>11119</v>
      </c>
      <c r="Y22" s="16">
        <v>0</v>
      </c>
      <c r="Z22" s="16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</row>
    <row r="23" spans="1:44">
      <c r="A23">
        <v>20</v>
      </c>
      <c r="B23" t="s">
        <v>50</v>
      </c>
      <c r="C23">
        <v>1800</v>
      </c>
      <c r="D23">
        <v>900</v>
      </c>
      <c r="E23">
        <v>0.52300000000000002</v>
      </c>
      <c r="F23" s="4">
        <v>5.3000000000000001E-15</v>
      </c>
      <c r="G23" s="12">
        <v>1.8619000000000001E-11</v>
      </c>
      <c r="H23" s="12">
        <v>2.7265999999999999E-2</v>
      </c>
      <c r="I23" s="12">
        <v>-1.0421</v>
      </c>
      <c r="J23" s="12">
        <v>1.179</v>
      </c>
      <c r="K23">
        <v>1</v>
      </c>
      <c r="L23" s="13">
        <v>0.15826999999999999</v>
      </c>
      <c r="M23" s="12">
        <v>1.0751999999999999</v>
      </c>
      <c r="N23" s="12">
        <v>-0.71113000000000004</v>
      </c>
      <c r="O23" s="12">
        <v>41.234000000000002</v>
      </c>
      <c r="P23" s="14">
        <v>0</v>
      </c>
      <c r="Q23" s="14">
        <v>0</v>
      </c>
      <c r="R23" s="1">
        <v>1</v>
      </c>
      <c r="S23" s="15">
        <v>0</v>
      </c>
      <c r="T23" s="15">
        <v>-29.04</v>
      </c>
      <c r="U23" s="16">
        <v>93.881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</row>
    <row r="24" spans="1:44">
      <c r="A24">
        <v>21</v>
      </c>
      <c r="B24" t="s">
        <v>51</v>
      </c>
      <c r="C24">
        <v>1780</v>
      </c>
      <c r="D24">
        <v>900</v>
      </c>
      <c r="E24">
        <v>0.439</v>
      </c>
      <c r="F24" s="4">
        <v>2.2999999999999999E-15</v>
      </c>
      <c r="G24" s="12">
        <v>2.2264000000000001E-11</v>
      </c>
      <c r="H24" s="12">
        <v>5.7353999999999999E-3</v>
      </c>
      <c r="I24" s="12">
        <v>-1.1289</v>
      </c>
      <c r="J24" s="12">
        <v>1.0954999999999999</v>
      </c>
      <c r="K24">
        <v>1</v>
      </c>
      <c r="L24" s="13">
        <v>0.15784999999999999</v>
      </c>
      <c r="M24" s="12">
        <v>1.1507000000000001</v>
      </c>
      <c r="N24" s="12">
        <v>-0.74719999999999998</v>
      </c>
      <c r="O24" s="12">
        <v>25.733000000000001</v>
      </c>
      <c r="P24" s="14">
        <v>0</v>
      </c>
      <c r="Q24" s="14">
        <v>0</v>
      </c>
      <c r="R24" s="1">
        <v>1</v>
      </c>
      <c r="S24" s="15">
        <v>0</v>
      </c>
      <c r="T24" s="15">
        <v>-29.716999999999999</v>
      </c>
      <c r="U24" s="16">
        <v>99.968000000000004</v>
      </c>
      <c r="V24" s="16">
        <v>-25.666</v>
      </c>
      <c r="W24" s="16">
        <v>0</v>
      </c>
      <c r="X24" s="16">
        <v>0</v>
      </c>
      <c r="Y24" s="16">
        <v>0</v>
      </c>
      <c r="Z24" s="16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</row>
    <row r="25" spans="1:44">
      <c r="A25">
        <v>22</v>
      </c>
      <c r="B25" t="s">
        <v>52</v>
      </c>
      <c r="C25">
        <v>1530</v>
      </c>
      <c r="D25">
        <v>900</v>
      </c>
      <c r="E25">
        <v>0.44800000000000001</v>
      </c>
      <c r="F25" s="4">
        <v>1E-14</v>
      </c>
      <c r="G25" s="12">
        <v>4.0882999999999999E-11</v>
      </c>
      <c r="H25" s="12">
        <v>1.0222E-2</v>
      </c>
      <c r="I25" s="12">
        <v>-1.1355999999999999</v>
      </c>
      <c r="J25" s="12">
        <v>1.1104000000000001</v>
      </c>
      <c r="K25">
        <v>1</v>
      </c>
      <c r="L25" s="13">
        <v>0.25452999999999998</v>
      </c>
      <c r="M25" s="12">
        <v>0.17408999999999999</v>
      </c>
      <c r="N25" s="12">
        <v>-2.0897999999999999</v>
      </c>
      <c r="O25" s="12">
        <v>9.5699000000000005</v>
      </c>
      <c r="P25" s="14">
        <v>0</v>
      </c>
      <c r="Q25" s="14">
        <v>0</v>
      </c>
      <c r="R25" s="1">
        <v>1</v>
      </c>
      <c r="S25" s="15">
        <v>0</v>
      </c>
      <c r="T25" s="15">
        <v>-33.819000000000003</v>
      </c>
      <c r="U25" s="16">
        <v>56.826999999999998</v>
      </c>
      <c r="V25" s="16">
        <v>0.60026999999999997</v>
      </c>
      <c r="W25" s="16">
        <v>0</v>
      </c>
      <c r="X25" s="16">
        <v>0</v>
      </c>
      <c r="Y25" s="16">
        <v>0</v>
      </c>
      <c r="Z25" s="16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</row>
    <row r="26" spans="1:44">
      <c r="A26">
        <v>23</v>
      </c>
      <c r="B26" t="s">
        <v>53</v>
      </c>
      <c r="C26">
        <v>1590</v>
      </c>
      <c r="D26">
        <v>900</v>
      </c>
      <c r="E26">
        <v>0.46800000000000003</v>
      </c>
      <c r="F26" s="4">
        <v>2.2000000000000001E-14</v>
      </c>
      <c r="G26" s="12">
        <v>3.4799999999999999E-11</v>
      </c>
      <c r="H26" s="12">
        <v>2.3262000000000001E-2</v>
      </c>
      <c r="I26" s="12">
        <v>-0.99031000000000002</v>
      </c>
      <c r="J26" s="12">
        <v>1.1053999999999999</v>
      </c>
      <c r="K26">
        <v>1</v>
      </c>
      <c r="L26" s="13">
        <v>0.25659999999999999</v>
      </c>
      <c r="M26" s="12">
        <v>1.3080000000000001</v>
      </c>
      <c r="N26" s="12">
        <v>-1.5052000000000001</v>
      </c>
      <c r="O26" s="12">
        <v>16.347000000000001</v>
      </c>
      <c r="P26" s="14">
        <v>0</v>
      </c>
      <c r="Q26" s="14">
        <v>0</v>
      </c>
      <c r="R26" s="1">
        <v>1</v>
      </c>
      <c r="S26" s="15">
        <v>0</v>
      </c>
      <c r="T26" s="15">
        <v>-33.326999999999998</v>
      </c>
      <c r="U26" s="16">
        <v>57.006</v>
      </c>
      <c r="V26" s="16">
        <v>-5.5749000000000004</v>
      </c>
      <c r="W26" s="16">
        <v>0</v>
      </c>
      <c r="X26" s="16">
        <v>0</v>
      </c>
      <c r="Y26" s="16">
        <v>0</v>
      </c>
      <c r="Z26" s="16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</row>
    <row r="27" spans="1:44">
      <c r="A27">
        <v>24</v>
      </c>
      <c r="B27" t="s">
        <v>54</v>
      </c>
      <c r="C27">
        <v>1770</v>
      </c>
      <c r="D27">
        <v>840</v>
      </c>
      <c r="E27">
        <v>0.35199999999999998</v>
      </c>
      <c r="F27" s="4">
        <v>6.9E-17</v>
      </c>
      <c r="G27" s="12">
        <v>6.6989000000000001E-12</v>
      </c>
      <c r="H27" s="12">
        <v>0.86958999999999997</v>
      </c>
      <c r="I27" s="12">
        <v>-2.9992999999999999</v>
      </c>
      <c r="J27" s="12">
        <v>4.3802000000000001E-2</v>
      </c>
      <c r="K27">
        <v>1</v>
      </c>
      <c r="L27" s="13">
        <v>0.15742999999999999</v>
      </c>
      <c r="M27" s="12">
        <v>0.95882000000000001</v>
      </c>
      <c r="N27" s="12">
        <v>-0.64646999999999999</v>
      </c>
      <c r="O27" s="12">
        <v>30.327999999999999</v>
      </c>
      <c r="P27" s="14">
        <v>0</v>
      </c>
      <c r="Q27" s="14">
        <v>0</v>
      </c>
      <c r="R27" s="1">
        <v>3</v>
      </c>
      <c r="S27" s="15">
        <v>2.1999999999999999E-2</v>
      </c>
      <c r="T27" s="15">
        <v>-19.219188440170136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3">
        <v>2.1999999999999999E-2</v>
      </c>
      <c r="AB27" s="12">
        <v>0.12</v>
      </c>
      <c r="AC27" s="16">
        <v>-11.167</v>
      </c>
      <c r="AD27" s="16">
        <v>-697.1</v>
      </c>
      <c r="AE27" s="16">
        <v>20914</v>
      </c>
      <c r="AF27" s="16">
        <v>-308270</v>
      </c>
      <c r="AG27" s="16">
        <v>2215600</v>
      </c>
      <c r="AH27" s="16">
        <v>-6094700</v>
      </c>
      <c r="AI27" s="16">
        <v>0</v>
      </c>
      <c r="AJ27" s="12">
        <v>0.12</v>
      </c>
      <c r="AK27" s="15">
        <v>0.16</v>
      </c>
      <c r="AL27" s="16">
        <v>-18.482556147670454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</row>
    <row r="28" spans="1:44">
      <c r="A28">
        <v>25</v>
      </c>
      <c r="B28" t="s">
        <v>55</v>
      </c>
      <c r="C28">
        <v>1960</v>
      </c>
      <c r="D28">
        <v>840</v>
      </c>
      <c r="E28">
        <v>0.40699999999999997</v>
      </c>
      <c r="F28" s="4">
        <v>1.2E-16</v>
      </c>
      <c r="G28" s="12">
        <v>3.3461000000000001E-12</v>
      </c>
      <c r="H28" s="12">
        <v>1.9147000000000001E-3</v>
      </c>
      <c r="I28" s="12">
        <v>-4.2689000000000004</v>
      </c>
      <c r="J28" s="12">
        <v>0.22735</v>
      </c>
      <c r="K28">
        <v>1</v>
      </c>
      <c r="L28" s="13">
        <v>0.11713</v>
      </c>
      <c r="M28" s="12">
        <v>1.0366</v>
      </c>
      <c r="N28" s="12">
        <v>-0.55191999999999997</v>
      </c>
      <c r="O28" s="12">
        <v>31.306000000000001</v>
      </c>
      <c r="P28" s="14">
        <v>0</v>
      </c>
      <c r="Q28" s="14">
        <v>0</v>
      </c>
      <c r="R28" s="1">
        <v>3</v>
      </c>
      <c r="S28" s="15">
        <v>5.0000000000000001E-3</v>
      </c>
      <c r="T28" s="15">
        <v>-20.460901572478921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3">
        <v>5.0000000000000001E-3</v>
      </c>
      <c r="AB28" s="12">
        <v>4.2000000000000003E-2</v>
      </c>
      <c r="AC28" s="16">
        <v>-20.387</v>
      </c>
      <c r="AD28" s="16">
        <v>79.284000000000006</v>
      </c>
      <c r="AE28" s="16">
        <v>-31522</v>
      </c>
      <c r="AF28" s="16">
        <v>2239700</v>
      </c>
      <c r="AG28" s="16">
        <v>-61521000</v>
      </c>
      <c r="AH28" s="16">
        <v>619720000</v>
      </c>
      <c r="AI28" s="16">
        <v>0</v>
      </c>
      <c r="AJ28" s="12">
        <v>4.2000000000000003E-2</v>
      </c>
      <c r="AK28" s="15">
        <v>0.12</v>
      </c>
      <c r="AL28" s="16">
        <v>-17.034386382832476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</row>
    <row r="29" spans="1:44">
      <c r="A29">
        <v>26</v>
      </c>
      <c r="B29" t="s">
        <v>56</v>
      </c>
      <c r="C29">
        <v>1800</v>
      </c>
      <c r="D29">
        <v>840</v>
      </c>
      <c r="E29">
        <v>0.38100000000000001</v>
      </c>
      <c r="F29" s="4">
        <v>4.2000000000000002E-16</v>
      </c>
      <c r="G29" s="12">
        <v>4.2287000000000003E-12</v>
      </c>
      <c r="H29" s="12">
        <v>6.267E-3</v>
      </c>
      <c r="I29" s="12">
        <v>-0.60538000000000003</v>
      </c>
      <c r="J29" s="12">
        <v>1.0192000000000001</v>
      </c>
      <c r="K29">
        <v>1</v>
      </c>
      <c r="L29" s="13">
        <v>0.15717999999999999</v>
      </c>
      <c r="M29" s="12">
        <v>0.87949999999999995</v>
      </c>
      <c r="N29" s="12">
        <v>-1.0481</v>
      </c>
      <c r="O29" s="12">
        <v>11.513</v>
      </c>
      <c r="P29" s="14">
        <v>0</v>
      </c>
      <c r="Q29" s="14">
        <v>0</v>
      </c>
      <c r="R29" s="1">
        <v>3</v>
      </c>
      <c r="S29" s="15">
        <v>2.8E-3</v>
      </c>
      <c r="T29" s="15">
        <v>-19.658555099953983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3">
        <v>2.8E-3</v>
      </c>
      <c r="AB29" s="12">
        <v>4.3999999999999997E-2</v>
      </c>
      <c r="AC29" s="16">
        <v>-19.225000000000001</v>
      </c>
      <c r="AD29" s="16">
        <v>-171.99</v>
      </c>
      <c r="AE29" s="16">
        <v>3713.3</v>
      </c>
      <c r="AF29" s="16">
        <v>88457</v>
      </c>
      <c r="AG29" s="16">
        <v>-4280600</v>
      </c>
      <c r="AH29" s="16">
        <v>49819000</v>
      </c>
      <c r="AI29" s="16">
        <v>0</v>
      </c>
      <c r="AJ29" s="12">
        <v>4.3999999999999997E-2</v>
      </c>
      <c r="AK29" s="15">
        <v>0.16</v>
      </c>
      <c r="AL29" s="16">
        <v>-19.890356714011308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</row>
    <row r="30" spans="1:44">
      <c r="A30">
        <v>27</v>
      </c>
      <c r="B30" t="s">
        <v>57</v>
      </c>
      <c r="C30">
        <v>285</v>
      </c>
      <c r="D30">
        <v>1880</v>
      </c>
      <c r="E30">
        <v>4.9700000000000001E-2</v>
      </c>
      <c r="F30" s="4">
        <v>3.5999999999999998E-14</v>
      </c>
      <c r="G30" s="12">
        <v>3.7765999999999999E-12</v>
      </c>
      <c r="H30" s="12">
        <v>7.7051999999999997E-3</v>
      </c>
      <c r="I30" s="12">
        <v>-1.1480999999999999</v>
      </c>
      <c r="J30" s="12">
        <v>1.0643</v>
      </c>
      <c r="K30">
        <v>1</v>
      </c>
      <c r="L30" s="13">
        <v>0.65198999999999996</v>
      </c>
      <c r="M30" s="12">
        <v>2.0194999999999999</v>
      </c>
      <c r="N30" s="12">
        <v>-1.0612999999999999</v>
      </c>
      <c r="O30" s="12">
        <v>175.24</v>
      </c>
      <c r="P30" s="14">
        <v>0</v>
      </c>
      <c r="Q30" s="14">
        <v>0</v>
      </c>
      <c r="R30" s="1">
        <v>4</v>
      </c>
      <c r="S30" s="15">
        <v>0.11</v>
      </c>
      <c r="T30" s="15">
        <v>-19.890356714011308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3">
        <v>0.11</v>
      </c>
      <c r="AB30" s="12">
        <v>0.32</v>
      </c>
      <c r="AC30" s="16">
        <v>5.6967999999999996</v>
      </c>
      <c r="AD30" s="16">
        <v>-677.38</v>
      </c>
      <c r="AE30" s="16">
        <v>6968.5</v>
      </c>
      <c r="AF30" s="16">
        <v>-35046</v>
      </c>
      <c r="AG30" s="16">
        <v>85320</v>
      </c>
      <c r="AH30" s="16">
        <v>-79720</v>
      </c>
      <c r="AI30" s="16">
        <v>0</v>
      </c>
      <c r="AJ30" s="12">
        <v>0.32</v>
      </c>
      <c r="AK30" s="15">
        <v>0.53</v>
      </c>
      <c r="AL30" s="16">
        <v>124.47</v>
      </c>
      <c r="AM30" s="16">
        <v>-1250</v>
      </c>
      <c r="AN30" s="16">
        <v>4080.2</v>
      </c>
      <c r="AO30" s="16">
        <v>-5961</v>
      </c>
      <c r="AP30" s="16">
        <v>3265.1</v>
      </c>
      <c r="AQ30" s="16">
        <v>0</v>
      </c>
      <c r="AR30" s="16">
        <v>0</v>
      </c>
    </row>
    <row r="31" spans="1:44">
      <c r="A31">
        <v>28</v>
      </c>
      <c r="B31" t="s">
        <v>58</v>
      </c>
      <c r="C31">
        <v>260</v>
      </c>
      <c r="D31">
        <v>1880</v>
      </c>
      <c r="E31">
        <v>5.0900000000000001E-2</v>
      </c>
      <c r="F31" s="4">
        <v>4.9999999999999997E-12</v>
      </c>
      <c r="G31" s="12">
        <v>4.0851000000000002E-11</v>
      </c>
      <c r="H31" s="12">
        <v>2.5929999999999998E-3</v>
      </c>
      <c r="I31" s="12">
        <v>-0.27904000000000001</v>
      </c>
      <c r="J31" s="12">
        <v>-0.27904000000000001</v>
      </c>
      <c r="K31">
        <v>1</v>
      </c>
      <c r="L31" s="13">
        <v>3.254</v>
      </c>
      <c r="M31" s="12">
        <v>1.3078000000000001</v>
      </c>
      <c r="N31" s="12">
        <v>-3.359</v>
      </c>
      <c r="O31" s="12">
        <v>17.555</v>
      </c>
      <c r="P31" s="14">
        <v>0</v>
      </c>
      <c r="Q31" s="14">
        <v>0</v>
      </c>
      <c r="R31" s="1">
        <v>3</v>
      </c>
      <c r="S31" s="15">
        <v>0.12</v>
      </c>
      <c r="T31" s="15">
        <v>-20.192637585884242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3">
        <v>0.12</v>
      </c>
      <c r="AB31" s="12">
        <v>2.2000000000000002</v>
      </c>
      <c r="AC31" s="16">
        <v>-17.719000000000001</v>
      </c>
      <c r="AD31" s="16">
        <v>-32.414999999999999</v>
      </c>
      <c r="AE31" s="16">
        <v>81.965999999999994</v>
      </c>
      <c r="AF31" s="16">
        <v>-102.68</v>
      </c>
      <c r="AG31" s="16">
        <v>67.745000000000005</v>
      </c>
      <c r="AH31" s="16">
        <v>-22.428999999999998</v>
      </c>
      <c r="AI31" s="16">
        <v>2.9371999999999998</v>
      </c>
      <c r="AJ31" s="12">
        <v>2.2000000000000002</v>
      </c>
      <c r="AK31" s="15">
        <v>3.2</v>
      </c>
      <c r="AL31" s="16">
        <v>-21.664874376804857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</row>
    <row r="32" spans="1:44">
      <c r="A32">
        <v>29</v>
      </c>
      <c r="B32" t="s">
        <v>59</v>
      </c>
      <c r="C32">
        <v>260</v>
      </c>
      <c r="D32">
        <v>1880</v>
      </c>
      <c r="E32">
        <v>4.6800000000000001E-2</v>
      </c>
      <c r="F32" s="4">
        <v>0</v>
      </c>
      <c r="G32" s="12">
        <v>0</v>
      </c>
      <c r="H32" s="12">
        <v>0</v>
      </c>
      <c r="I32" s="12">
        <v>0</v>
      </c>
      <c r="J32" s="12">
        <v>0</v>
      </c>
      <c r="K32">
        <v>1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">
        <v>0</v>
      </c>
      <c r="S32" s="14">
        <v>0</v>
      </c>
      <c r="T32" s="12">
        <v>-18.325370564148042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</row>
    <row r="33" spans="1:44">
      <c r="A33">
        <v>30</v>
      </c>
      <c r="B33" t="s">
        <v>60</v>
      </c>
      <c r="C33">
        <v>240</v>
      </c>
      <c r="D33">
        <v>1880</v>
      </c>
      <c r="E33">
        <v>4.5999999999999999E-2</v>
      </c>
      <c r="F33" s="4">
        <v>4.6999999999999998E-12</v>
      </c>
      <c r="G33" s="12">
        <v>4.2229999999999999E-11</v>
      </c>
      <c r="H33" s="12">
        <v>2.4525000000000002E-2</v>
      </c>
      <c r="I33" s="12">
        <v>-7.5055999999999998E-2</v>
      </c>
      <c r="J33" s="12">
        <v>1.7909999999999999</v>
      </c>
      <c r="K33">
        <v>1</v>
      </c>
      <c r="L33" s="13">
        <v>0.68171999999999999</v>
      </c>
      <c r="M33" s="12">
        <v>1.0412999999999999</v>
      </c>
      <c r="N33" s="12">
        <v>-1.423</v>
      </c>
      <c r="O33" s="12">
        <v>93.081000000000003</v>
      </c>
      <c r="P33" s="14">
        <v>0</v>
      </c>
      <c r="Q33" s="14">
        <v>0</v>
      </c>
      <c r="R33" s="1">
        <v>3</v>
      </c>
      <c r="S33" s="15">
        <v>0.13</v>
      </c>
      <c r="T33" s="15">
        <v>-18.325370564148042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3">
        <v>0.13</v>
      </c>
      <c r="AB33" s="12">
        <v>1.7</v>
      </c>
      <c r="AC33" s="16">
        <v>-17.846</v>
      </c>
      <c r="AD33" s="16">
        <v>-13.707000000000001</v>
      </c>
      <c r="AE33" s="16">
        <v>22.207000000000001</v>
      </c>
      <c r="AF33" s="16">
        <v>-20.134</v>
      </c>
      <c r="AG33" s="16">
        <v>9.2232000000000003</v>
      </c>
      <c r="AH33" s="16">
        <v>-1.6609</v>
      </c>
      <c r="AI33" s="16">
        <v>0</v>
      </c>
      <c r="AJ33" s="12">
        <v>1.7</v>
      </c>
      <c r="AK33" s="15">
        <v>4.4000000000000004</v>
      </c>
      <c r="AL33" s="16">
        <v>-22.438064265038339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</row>
    <row r="34" spans="1:44">
      <c r="A34">
        <v>31</v>
      </c>
      <c r="B34" t="s">
        <v>61</v>
      </c>
      <c r="C34">
        <v>270</v>
      </c>
      <c r="D34">
        <v>1880</v>
      </c>
      <c r="E34">
        <v>4.7199999999999999E-2</v>
      </c>
      <c r="F34" s="4">
        <v>3.3000000000000001E-12</v>
      </c>
      <c r="G34" s="12">
        <v>2.6295000000000001E-11</v>
      </c>
      <c r="H34" s="12">
        <v>1.0676E-2</v>
      </c>
      <c r="I34" s="12">
        <v>-0.10521999999999999</v>
      </c>
      <c r="J34" s="12">
        <v>1.0928</v>
      </c>
      <c r="K34">
        <v>1</v>
      </c>
      <c r="L34" s="13">
        <v>0.72548999999999997</v>
      </c>
      <c r="M34" s="12">
        <v>2.2164000000000001</v>
      </c>
      <c r="N34" s="12">
        <v>-1.1870000000000001</v>
      </c>
      <c r="O34" s="12">
        <v>140.69999999999999</v>
      </c>
      <c r="P34" s="14">
        <v>0</v>
      </c>
      <c r="Q34" s="14">
        <v>0</v>
      </c>
      <c r="R34" s="1">
        <v>3</v>
      </c>
      <c r="S34" s="15">
        <v>0.11</v>
      </c>
      <c r="T34" s="15">
        <v>-18.451139951437074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3">
        <v>0.11</v>
      </c>
      <c r="AB34" s="12">
        <v>0.33</v>
      </c>
      <c r="AC34" s="16">
        <v>-15.279</v>
      </c>
      <c r="AD34" s="16">
        <v>-18.481999999999999</v>
      </c>
      <c r="AE34" s="16">
        <v>-121.22</v>
      </c>
      <c r="AF34" s="16">
        <v>622.49</v>
      </c>
      <c r="AG34" s="16">
        <v>-805.21</v>
      </c>
      <c r="AH34" s="16">
        <v>0</v>
      </c>
      <c r="AI34" s="16">
        <v>0</v>
      </c>
      <c r="AJ34" s="12">
        <v>0.33</v>
      </c>
      <c r="AK34" s="15">
        <v>4.4000000000000004</v>
      </c>
      <c r="AL34" s="16">
        <v>-21.773087961445089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</row>
    <row r="35" spans="1:44">
      <c r="A35">
        <v>32</v>
      </c>
      <c r="B35" t="s">
        <v>62</v>
      </c>
      <c r="C35">
        <v>280</v>
      </c>
      <c r="D35">
        <v>1880</v>
      </c>
      <c r="E35">
        <v>4.9200000000000001E-2</v>
      </c>
      <c r="F35" s="4">
        <v>2.9000000000000002E-12</v>
      </c>
      <c r="G35" s="12">
        <v>2.6000000000000001E-11</v>
      </c>
      <c r="H35" s="12">
        <v>2.4108E-11</v>
      </c>
      <c r="I35" s="12">
        <v>5.6659E-10</v>
      </c>
      <c r="J35" s="12">
        <v>28.398</v>
      </c>
      <c r="K35">
        <v>1</v>
      </c>
      <c r="L35" s="13">
        <v>0.67049000000000003</v>
      </c>
      <c r="M35" s="12">
        <v>2.21</v>
      </c>
      <c r="N35" s="12">
        <v>-1.0942000000000001</v>
      </c>
      <c r="O35" s="12">
        <v>135.93</v>
      </c>
      <c r="P35" s="14">
        <v>0</v>
      </c>
      <c r="Q35" s="14">
        <v>0</v>
      </c>
      <c r="R35" s="1">
        <v>3</v>
      </c>
      <c r="S35" s="15">
        <v>0.11</v>
      </c>
      <c r="T35" s="15">
        <v>-17.322068455284256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3">
        <v>0.11</v>
      </c>
      <c r="AB35" s="12">
        <v>0.56999999999999995</v>
      </c>
      <c r="AC35" s="16">
        <v>-15.784000000000001</v>
      </c>
      <c r="AD35" s="16">
        <v>-15.452999999999999</v>
      </c>
      <c r="AE35" s="16">
        <v>10.661</v>
      </c>
      <c r="AF35" s="16">
        <v>0</v>
      </c>
      <c r="AG35" s="16">
        <v>0</v>
      </c>
      <c r="AH35" s="16">
        <v>0</v>
      </c>
      <c r="AI35" s="16">
        <v>0</v>
      </c>
      <c r="AJ35" s="12">
        <v>0.56999999999999995</v>
      </c>
      <c r="AK35" s="15">
        <v>3.7</v>
      </c>
      <c r="AL35" s="16">
        <v>-21.185301296542971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</row>
    <row r="36" spans="1:44">
      <c r="A36">
        <v>33</v>
      </c>
      <c r="B36" t="s">
        <v>63</v>
      </c>
      <c r="C36">
        <v>330</v>
      </c>
      <c r="D36">
        <v>1880</v>
      </c>
      <c r="E36">
        <v>5.3400000000000003E-2</v>
      </c>
      <c r="F36" s="4">
        <v>3.3000000000000001E-12</v>
      </c>
      <c r="G36" s="12">
        <v>2.2048999999999999E-11</v>
      </c>
      <c r="H36" s="12">
        <v>4.1456000000000002E-3</v>
      </c>
      <c r="I36" s="12">
        <v>-0.26156000000000001</v>
      </c>
      <c r="J36" s="12">
        <v>1.1554</v>
      </c>
      <c r="K36">
        <v>1</v>
      </c>
      <c r="L36" s="13">
        <v>0.78298000000000001</v>
      </c>
      <c r="M36" s="12">
        <v>2.6097999999999999</v>
      </c>
      <c r="N36" s="12">
        <v>-1.3952</v>
      </c>
      <c r="O36" s="12">
        <v>104.63</v>
      </c>
      <c r="P36" s="14">
        <v>0</v>
      </c>
      <c r="Q36" s="14">
        <v>0</v>
      </c>
      <c r="R36" s="1">
        <v>0</v>
      </c>
      <c r="S36" s="14">
        <v>0</v>
      </c>
      <c r="T36" s="15">
        <v>11.512915464920228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</row>
    <row r="37" spans="1:44">
      <c r="A37">
        <v>34</v>
      </c>
      <c r="B37" t="s">
        <v>64</v>
      </c>
      <c r="C37">
        <v>325</v>
      </c>
      <c r="D37">
        <v>1880</v>
      </c>
      <c r="E37">
        <v>5.3499999999999999E-2</v>
      </c>
      <c r="F37" s="4">
        <v>3.2000000000000001E-12</v>
      </c>
      <c r="G37" s="12">
        <v>2.3059E-11</v>
      </c>
      <c r="H37" s="12">
        <v>6.7203999999999996E-3</v>
      </c>
      <c r="I37" s="12">
        <v>-0.17938999999999999</v>
      </c>
      <c r="J37" s="12">
        <v>1.0027999999999999</v>
      </c>
      <c r="K37">
        <v>1</v>
      </c>
      <c r="L37" s="13">
        <v>0.68698999999999999</v>
      </c>
      <c r="M37" s="12">
        <v>2.3963999999999999</v>
      </c>
      <c r="N37" s="12">
        <v>-1.278</v>
      </c>
      <c r="O37" s="12">
        <v>118.74</v>
      </c>
      <c r="P37" s="14">
        <v>0</v>
      </c>
      <c r="Q37" s="14">
        <v>0</v>
      </c>
      <c r="R37" s="1">
        <v>3</v>
      </c>
      <c r="S37" s="15">
        <v>9.1999999999999998E-2</v>
      </c>
      <c r="T37" s="15">
        <v>-16.894624440457317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3">
        <v>9.1999999999999998E-2</v>
      </c>
      <c r="AB37" s="12">
        <v>0.31</v>
      </c>
      <c r="AC37" s="16">
        <v>-5.4878999999999998</v>
      </c>
      <c r="AD37" s="16">
        <v>-226.48</v>
      </c>
      <c r="AE37" s="16">
        <v>1435</v>
      </c>
      <c r="AF37" s="16">
        <v>-4194.8999999999996</v>
      </c>
      <c r="AG37" s="16">
        <v>4580.5</v>
      </c>
      <c r="AH37" s="16">
        <v>0</v>
      </c>
      <c r="AI37" s="16">
        <v>0</v>
      </c>
      <c r="AJ37" s="12">
        <v>0.31</v>
      </c>
      <c r="AK37" s="15">
        <v>3.1</v>
      </c>
      <c r="AL37" s="16">
        <v>-20.540944280152456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</row>
    <row r="38" spans="1:44">
      <c r="A38">
        <v>35</v>
      </c>
      <c r="B38" t="s">
        <v>65</v>
      </c>
      <c r="C38">
        <v>700</v>
      </c>
      <c r="D38">
        <v>1880</v>
      </c>
      <c r="E38">
        <v>0.11899999999999999</v>
      </c>
      <c r="F38" s="4">
        <v>2.9999999999999998E-15</v>
      </c>
      <c r="G38" s="12">
        <v>1.7362E-12</v>
      </c>
      <c r="H38" s="12">
        <v>1.6454E-3</v>
      </c>
      <c r="I38" s="12">
        <v>-3.4899</v>
      </c>
      <c r="J38" s="12">
        <v>1.4213</v>
      </c>
      <c r="K38">
        <v>1</v>
      </c>
      <c r="L38" s="13">
        <v>0.99795999999999996</v>
      </c>
      <c r="M38" s="12">
        <v>1.7485999999999999</v>
      </c>
      <c r="N38" s="12">
        <v>-2.6455000000000002</v>
      </c>
      <c r="O38" s="12">
        <v>3.3677999999999999</v>
      </c>
      <c r="P38" s="14">
        <v>0</v>
      </c>
      <c r="Q38" s="14">
        <v>0</v>
      </c>
      <c r="R38" s="1">
        <v>0</v>
      </c>
      <c r="S38" s="14">
        <v>0</v>
      </c>
      <c r="T38" s="15">
        <v>-36.841361487904734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</row>
    <row r="39" spans="1:44">
      <c r="A39">
        <v>36</v>
      </c>
      <c r="B39" t="s">
        <v>66</v>
      </c>
      <c r="C39">
        <v>600</v>
      </c>
      <c r="D39">
        <v>1880</v>
      </c>
      <c r="E39">
        <v>0.105</v>
      </c>
      <c r="F39" s="4">
        <v>0</v>
      </c>
      <c r="G39" s="12">
        <v>4.7166000000000003E-12</v>
      </c>
      <c r="H39" s="12">
        <v>2.1179000000000001</v>
      </c>
      <c r="I39" s="12">
        <v>-1.349</v>
      </c>
      <c r="J39" s="12">
        <v>0.46764</v>
      </c>
      <c r="K39">
        <v>1</v>
      </c>
      <c r="L39" s="13">
        <v>0.98992999999999998</v>
      </c>
      <c r="M39" s="12">
        <v>4.7110000000000003</v>
      </c>
      <c r="N39" s="12">
        <v>-0.71889999999999998</v>
      </c>
      <c r="O39" s="12">
        <v>18.73</v>
      </c>
      <c r="P39" s="14">
        <v>0</v>
      </c>
      <c r="Q39" s="14">
        <v>0</v>
      </c>
      <c r="R39" s="1">
        <v>3</v>
      </c>
      <c r="S39" s="15">
        <v>0.05</v>
      </c>
      <c r="T39" s="15">
        <v>-18.084208507331152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3">
        <v>0.05</v>
      </c>
      <c r="AB39" s="12">
        <v>0.83</v>
      </c>
      <c r="AC39" s="16">
        <v>-14.663</v>
      </c>
      <c r="AD39" s="16">
        <v>-94.11</v>
      </c>
      <c r="AE39" s="16">
        <v>625.11</v>
      </c>
      <c r="AF39" s="16">
        <v>-2162.9</v>
      </c>
      <c r="AG39" s="16">
        <v>4066</v>
      </c>
      <c r="AH39" s="16">
        <v>-3921.8</v>
      </c>
      <c r="AI39" s="16">
        <v>1504.8</v>
      </c>
      <c r="AJ39" s="12">
        <v>0.83</v>
      </c>
      <c r="AK39" s="15">
        <v>1</v>
      </c>
      <c r="AL39" s="16">
        <v>-22.070339484913021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</row>
    <row r="40" spans="1:44">
      <c r="A40">
        <v>37</v>
      </c>
      <c r="B40" t="s">
        <v>67</v>
      </c>
      <c r="C40">
        <v>780</v>
      </c>
      <c r="D40">
        <v>1880</v>
      </c>
      <c r="E40">
        <v>0.1</v>
      </c>
      <c r="F40" s="4">
        <v>3.1999999999999999E-15</v>
      </c>
      <c r="G40" s="12">
        <v>8.5431999999999994E-12</v>
      </c>
      <c r="H40" s="12">
        <v>2.7275000000000001E-2</v>
      </c>
      <c r="I40" s="12">
        <v>-1.42</v>
      </c>
      <c r="J40" s="12">
        <v>1.0923</v>
      </c>
      <c r="K40">
        <v>1</v>
      </c>
      <c r="L40" s="13">
        <v>0.82313000000000003</v>
      </c>
      <c r="M40" s="12">
        <v>4.0998000000000001</v>
      </c>
      <c r="N40" s="12">
        <v>-0.96506999999999998</v>
      </c>
      <c r="O40" s="12">
        <v>19.744</v>
      </c>
      <c r="P40" s="14">
        <v>0</v>
      </c>
      <c r="Q40" s="14">
        <v>0</v>
      </c>
      <c r="R40" s="1">
        <v>0</v>
      </c>
      <c r="S40" s="14">
        <v>0</v>
      </c>
      <c r="T40" s="12">
        <v>-36.841361487904734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</row>
    <row r="41" spans="1:44">
      <c r="A41">
        <v>38</v>
      </c>
      <c r="B41" t="s">
        <v>68</v>
      </c>
      <c r="C41">
        <v>900</v>
      </c>
      <c r="D41">
        <v>1880</v>
      </c>
      <c r="E41">
        <v>0.12</v>
      </c>
      <c r="F41" s="4">
        <v>4.1000000000000001E-16</v>
      </c>
      <c r="G41" s="12">
        <v>5.9021999999999996E-12</v>
      </c>
      <c r="H41" s="12">
        <v>1.0795999999999999</v>
      </c>
      <c r="I41" s="12">
        <v>-0.71948000000000001</v>
      </c>
      <c r="J41" s="12">
        <v>0.82594000000000001</v>
      </c>
      <c r="K41">
        <v>1</v>
      </c>
      <c r="L41" s="13">
        <v>0.63500000000000001</v>
      </c>
      <c r="M41" s="12">
        <v>2.5972</v>
      </c>
      <c r="N41" s="12">
        <v>-1.1225000000000001</v>
      </c>
      <c r="O41" s="12">
        <v>15.878</v>
      </c>
      <c r="P41" s="14">
        <v>0</v>
      </c>
      <c r="Q41" s="14">
        <v>0</v>
      </c>
      <c r="R41" s="1">
        <v>3</v>
      </c>
      <c r="S41" s="15">
        <v>3.3000000000000002E-2</v>
      </c>
      <c r="T41" s="15">
        <v>-19.693646419765251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3">
        <v>3.3000000000000002E-2</v>
      </c>
      <c r="AB41" s="12">
        <v>0.14000000000000001</v>
      </c>
      <c r="AC41" s="16">
        <v>-12.407</v>
      </c>
      <c r="AD41" s="16">
        <v>-366.21</v>
      </c>
      <c r="AE41" s="16">
        <v>5348</v>
      </c>
      <c r="AF41" s="16">
        <v>-36145</v>
      </c>
      <c r="AG41" s="16">
        <v>91410</v>
      </c>
      <c r="AH41" s="16">
        <v>0</v>
      </c>
      <c r="AI41" s="16">
        <v>0</v>
      </c>
      <c r="AJ41" s="12">
        <v>0.14000000000000001</v>
      </c>
      <c r="AK41" s="15">
        <v>0.66</v>
      </c>
      <c r="AL41" s="16">
        <v>-23.066672924460711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</row>
    <row r="42" spans="1:44">
      <c r="A42">
        <v>39</v>
      </c>
      <c r="B42" t="s">
        <v>69</v>
      </c>
      <c r="C42">
        <v>730</v>
      </c>
      <c r="D42">
        <v>1880</v>
      </c>
      <c r="E42">
        <v>9.4E-2</v>
      </c>
      <c r="F42" s="4">
        <v>6.4000000000000005E-14</v>
      </c>
      <c r="G42" s="12">
        <v>5.8208000000000004E-12</v>
      </c>
      <c r="H42" s="12">
        <v>1.9232E-4</v>
      </c>
      <c r="I42" s="12">
        <v>-0.43539</v>
      </c>
      <c r="J42" s="12">
        <v>1.0055000000000001</v>
      </c>
      <c r="K42">
        <v>1</v>
      </c>
      <c r="L42" s="13">
        <v>0.87953000000000003</v>
      </c>
      <c r="M42" s="12">
        <v>2.9842</v>
      </c>
      <c r="N42" s="12">
        <v>-1.4372</v>
      </c>
      <c r="O42" s="12">
        <v>20.605</v>
      </c>
      <c r="P42" s="14">
        <v>0</v>
      </c>
      <c r="Q42" s="14">
        <v>0</v>
      </c>
      <c r="R42" s="1">
        <v>3</v>
      </c>
      <c r="S42" s="15">
        <v>4.1000000000000002E-2</v>
      </c>
      <c r="T42" s="15">
        <v>-22.930540750136132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3">
        <v>4.1000000000000002E-2</v>
      </c>
      <c r="AB42" s="12">
        <v>0.68</v>
      </c>
      <c r="AC42" s="16">
        <v>-21.61</v>
      </c>
      <c r="AD42" s="16">
        <v>-46.505000000000003</v>
      </c>
      <c r="AE42" s="16">
        <v>381.26</v>
      </c>
      <c r="AF42" s="16">
        <v>-1585</v>
      </c>
      <c r="AG42" s="16">
        <v>3468.6</v>
      </c>
      <c r="AH42" s="16">
        <v>-3795.3</v>
      </c>
      <c r="AI42" s="16">
        <v>1636.6</v>
      </c>
      <c r="AJ42" s="12">
        <v>0.68</v>
      </c>
      <c r="AK42" s="15">
        <v>0.91</v>
      </c>
      <c r="AL42" s="16">
        <v>-23.73920081781792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</row>
    <row r="43" spans="1:44">
      <c r="A43">
        <v>40</v>
      </c>
      <c r="B43" t="s">
        <v>70</v>
      </c>
      <c r="C43">
        <v>1150</v>
      </c>
      <c r="D43" s="11">
        <v>1880</v>
      </c>
      <c r="E43" s="11">
        <v>0.1</v>
      </c>
      <c r="F43" s="4">
        <v>0</v>
      </c>
      <c r="G43" s="12">
        <v>3.5E-12</v>
      </c>
      <c r="H43" s="12">
        <v>0</v>
      </c>
      <c r="I43" s="12">
        <v>0</v>
      </c>
      <c r="J43" s="12">
        <v>0</v>
      </c>
      <c r="K43">
        <v>1</v>
      </c>
      <c r="L43" s="13">
        <v>8.7389999999999995E-2</v>
      </c>
      <c r="M43" s="12">
        <v>0.43535000000000001</v>
      </c>
      <c r="N43" s="12">
        <v>-1.1798</v>
      </c>
      <c r="O43" s="12">
        <v>7.6406999999999998</v>
      </c>
      <c r="P43" s="14">
        <v>0</v>
      </c>
      <c r="Q43" s="14">
        <v>0</v>
      </c>
      <c r="R43" s="1">
        <v>2</v>
      </c>
      <c r="S43" s="15">
        <v>4.2999999999999997E-2</v>
      </c>
      <c r="T43" s="15">
        <v>-36.841361487904734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3">
        <v>4.2999999999999997E-2</v>
      </c>
      <c r="AB43" s="12">
        <v>0.09</v>
      </c>
      <c r="AC43" s="16">
        <v>771.72</v>
      </c>
      <c r="AD43" s="16">
        <v>-84721</v>
      </c>
      <c r="AE43" s="16">
        <v>3506800</v>
      </c>
      <c r="AF43" s="16">
        <v>-74110000</v>
      </c>
      <c r="AG43" s="16">
        <v>854140000</v>
      </c>
      <c r="AH43" s="16">
        <v>-5128300000</v>
      </c>
      <c r="AI43" s="16">
        <v>12591000000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</row>
    <row r="44" spans="1:44">
      <c r="A44">
        <v>41</v>
      </c>
      <c r="B44" t="s">
        <v>71</v>
      </c>
      <c r="C44">
        <v>700</v>
      </c>
      <c r="D44">
        <v>870</v>
      </c>
      <c r="E44">
        <v>0.15</v>
      </c>
      <c r="F44" s="4">
        <v>5.6000000000000001E-14</v>
      </c>
      <c r="G44" s="12">
        <v>5.8E-11</v>
      </c>
      <c r="H44" s="12">
        <v>0</v>
      </c>
      <c r="I44" s="12">
        <v>0</v>
      </c>
      <c r="J44" s="12">
        <v>0</v>
      </c>
      <c r="K44">
        <v>1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">
        <v>0</v>
      </c>
      <c r="S44" s="14">
        <v>0</v>
      </c>
      <c r="T44" s="12">
        <v>-22.930540750136132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</row>
    <row r="45" spans="1:44">
      <c r="A45">
        <v>42</v>
      </c>
      <c r="B45" t="s">
        <v>72</v>
      </c>
      <c r="C45">
        <v>39.700000000000003</v>
      </c>
      <c r="D45" s="11">
        <v>1470</v>
      </c>
      <c r="E45">
        <v>2.2700000000000001E-2</v>
      </c>
      <c r="F45" s="4">
        <v>0</v>
      </c>
      <c r="G45" s="12">
        <v>3.6501000000000004E-12</v>
      </c>
      <c r="H45" s="12">
        <v>3.9937000000000002E-3</v>
      </c>
      <c r="I45" s="12">
        <v>-0.46245000000000003</v>
      </c>
      <c r="J45" s="12">
        <v>1.0717000000000001</v>
      </c>
      <c r="K45">
        <v>1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">
        <v>0</v>
      </c>
      <c r="S45" s="14">
        <v>0</v>
      </c>
      <c r="T45" s="15">
        <v>11.512915464920228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</row>
    <row r="46" spans="1:44">
      <c r="A46">
        <v>43</v>
      </c>
      <c r="B46" t="s">
        <v>73</v>
      </c>
      <c r="C46">
        <v>650</v>
      </c>
      <c r="D46">
        <v>1880</v>
      </c>
      <c r="E46">
        <v>0.10199999999999999</v>
      </c>
      <c r="F46" s="4">
        <v>1.4E-14</v>
      </c>
      <c r="G46" s="12">
        <v>3.3724E-12</v>
      </c>
      <c r="H46" s="12">
        <v>1.8546</v>
      </c>
      <c r="I46" s="12">
        <v>-6.2945000000000001E-2</v>
      </c>
      <c r="J46" s="12">
        <v>1.2563</v>
      </c>
      <c r="K46">
        <v>1</v>
      </c>
      <c r="L46" s="13">
        <v>0.85343000000000002</v>
      </c>
      <c r="M46" s="12">
        <v>2.5926999999999998</v>
      </c>
      <c r="N46" s="12">
        <v>-1.2497</v>
      </c>
      <c r="O46" s="12">
        <v>80.376000000000005</v>
      </c>
      <c r="P46" s="14">
        <v>0</v>
      </c>
      <c r="Q46" s="14">
        <v>0</v>
      </c>
      <c r="R46" s="1">
        <v>3</v>
      </c>
      <c r="S46" s="15">
        <v>0.31</v>
      </c>
      <c r="T46" s="15">
        <v>-36.841361487904734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3">
        <v>0.31</v>
      </c>
      <c r="AB46" s="12">
        <v>0.52</v>
      </c>
      <c r="AC46" s="16">
        <v>-32.75</v>
      </c>
      <c r="AD46" s="16">
        <v>6.6252000000000004</v>
      </c>
      <c r="AE46" s="16">
        <v>-1.3444</v>
      </c>
      <c r="AF46" s="16">
        <v>0</v>
      </c>
      <c r="AG46" s="16">
        <v>0</v>
      </c>
      <c r="AH46" s="16">
        <v>0</v>
      </c>
      <c r="AI46" s="16">
        <v>0</v>
      </c>
      <c r="AJ46" s="12">
        <v>0.52</v>
      </c>
      <c r="AK46" s="15">
        <v>1.4</v>
      </c>
      <c r="AL46" s="16">
        <v>-29.597133972301382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</row>
    <row r="47" spans="1:44">
      <c r="A47">
        <v>44</v>
      </c>
      <c r="B47" t="s">
        <v>74</v>
      </c>
      <c r="C47">
        <v>660</v>
      </c>
      <c r="D47" s="10">
        <v>1880</v>
      </c>
      <c r="E47">
        <v>8.7801000000000004E-2</v>
      </c>
      <c r="F47" s="4">
        <v>1.4E-14</v>
      </c>
      <c r="G47" s="12">
        <v>6.4595000000000001E-12</v>
      </c>
      <c r="H47" s="12">
        <v>8.9843000000000006E-2</v>
      </c>
      <c r="I47" s="12">
        <v>-4.7361000000000004</v>
      </c>
      <c r="J47" s="12">
        <v>1.0963000000000001</v>
      </c>
      <c r="K47">
        <v>1</v>
      </c>
      <c r="L47" s="13">
        <v>0.83465999999999996</v>
      </c>
      <c r="M47" s="12">
        <v>2.5960000000000001</v>
      </c>
      <c r="N47" s="12">
        <v>-1.2869999999999999</v>
      </c>
      <c r="O47" s="12">
        <v>83.572000000000003</v>
      </c>
      <c r="P47" s="14">
        <v>0</v>
      </c>
      <c r="Q47" s="14">
        <v>0</v>
      </c>
      <c r="R47" s="1">
        <v>3</v>
      </c>
      <c r="S47" s="15">
        <v>0.28999999999999998</v>
      </c>
      <c r="T47" s="15">
        <v>-36.841361487904734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3">
        <v>0.28999999999999998</v>
      </c>
      <c r="AB47" s="12">
        <v>0.64</v>
      </c>
      <c r="AC47" s="16">
        <v>-32.479999999999997</v>
      </c>
      <c r="AD47" s="16">
        <v>6.2641999999999998</v>
      </c>
      <c r="AE47" s="16">
        <v>-0.42285</v>
      </c>
      <c r="AF47" s="16">
        <v>0</v>
      </c>
      <c r="AG47" s="16">
        <v>0</v>
      </c>
      <c r="AH47" s="16">
        <v>0</v>
      </c>
      <c r="AI47" s="16">
        <v>0</v>
      </c>
      <c r="AJ47" s="12">
        <v>0.64</v>
      </c>
      <c r="AK47" s="15">
        <v>1.3</v>
      </c>
      <c r="AL47" s="16">
        <v>-28.652672363460528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</row>
    <row r="48" spans="1:44">
      <c r="A48">
        <v>45</v>
      </c>
      <c r="B48" t="s">
        <v>75</v>
      </c>
      <c r="C48">
        <v>600</v>
      </c>
      <c r="D48">
        <v>1880</v>
      </c>
      <c r="E48">
        <v>9.4299999999999995E-2</v>
      </c>
      <c r="F48" s="4">
        <v>3.1E-14</v>
      </c>
      <c r="G48" s="12">
        <v>5.3828999999999996E-12</v>
      </c>
      <c r="H48" s="12">
        <v>0.42919000000000002</v>
      </c>
      <c r="I48" s="12">
        <v>-2.4348999999999998</v>
      </c>
      <c r="J48" s="12">
        <v>0.94260999999999995</v>
      </c>
      <c r="K48">
        <v>1</v>
      </c>
      <c r="L48" s="13">
        <v>0.93976999999999999</v>
      </c>
      <c r="M48" s="12">
        <v>2.3475999999999999</v>
      </c>
      <c r="N48" s="12">
        <v>-1.3902000000000001</v>
      </c>
      <c r="O48" s="12">
        <v>94.971000000000004</v>
      </c>
      <c r="P48" s="14">
        <v>0</v>
      </c>
      <c r="Q48" s="14">
        <v>0</v>
      </c>
      <c r="R48" s="1">
        <v>3</v>
      </c>
      <c r="S48" s="15">
        <v>0.28999999999999998</v>
      </c>
      <c r="T48" s="15">
        <v>-36.841361487904734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3">
        <v>0.28999999999999998</v>
      </c>
      <c r="AB48" s="12">
        <v>0.92</v>
      </c>
      <c r="AC48" s="16">
        <v>-32.232999999999997</v>
      </c>
      <c r="AD48" s="16">
        <v>4.6456999999999997</v>
      </c>
      <c r="AE48" s="16">
        <v>4.1444000000000002E-2</v>
      </c>
      <c r="AF48" s="16">
        <v>0</v>
      </c>
      <c r="AG48" s="16">
        <v>0</v>
      </c>
      <c r="AH48" s="16">
        <v>0</v>
      </c>
      <c r="AI48" s="16">
        <v>0</v>
      </c>
      <c r="AJ48" s="12">
        <v>0.92</v>
      </c>
      <c r="AK48" s="15">
        <v>1.6</v>
      </c>
      <c r="AL48" s="16">
        <v>-27.918703188380331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</row>
    <row r="49" spans="1:44">
      <c r="A49">
        <v>46</v>
      </c>
      <c r="B49" t="s">
        <v>76</v>
      </c>
      <c r="C49">
        <v>445</v>
      </c>
      <c r="D49" s="10">
        <v>1880</v>
      </c>
      <c r="E49">
        <v>9.1999999999999998E-2</v>
      </c>
      <c r="F49" s="4">
        <v>2.7E-16</v>
      </c>
      <c r="G49" s="12">
        <v>1.8741999999999999E-11</v>
      </c>
      <c r="H49" s="12">
        <v>2.4018999999999999</v>
      </c>
      <c r="I49" s="12">
        <v>-0.78864000000000001</v>
      </c>
      <c r="J49" s="12">
        <v>1.1471</v>
      </c>
      <c r="K49">
        <v>1</v>
      </c>
      <c r="L49" s="13">
        <v>1.0625</v>
      </c>
      <c r="M49" s="12">
        <v>1.5373000000000001</v>
      </c>
      <c r="N49" s="12">
        <v>-1.6471</v>
      </c>
      <c r="O49" s="12">
        <v>32.051000000000002</v>
      </c>
      <c r="P49" s="14">
        <v>0</v>
      </c>
      <c r="Q49" s="14">
        <v>0</v>
      </c>
      <c r="R49" s="1">
        <v>3</v>
      </c>
      <c r="S49" s="15">
        <v>0.45</v>
      </c>
      <c r="T49" s="15">
        <v>-36.841361487904734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3">
        <v>0.45</v>
      </c>
      <c r="AB49" s="12">
        <v>1.1000000000000001</v>
      </c>
      <c r="AC49" s="16">
        <v>-30.91</v>
      </c>
      <c r="AD49" s="16">
        <v>4.2967000000000004</v>
      </c>
      <c r="AE49" s="16">
        <v>-0.22017</v>
      </c>
      <c r="AF49" s="16">
        <v>0</v>
      </c>
      <c r="AG49" s="16">
        <v>0</v>
      </c>
      <c r="AH49" s="16">
        <v>0</v>
      </c>
      <c r="AI49" s="16">
        <v>0</v>
      </c>
      <c r="AJ49" s="12">
        <v>1.1000000000000001</v>
      </c>
      <c r="AK49" s="15">
        <v>1.9</v>
      </c>
      <c r="AL49" s="16">
        <v>-26.270044562792947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</row>
    <row r="50" spans="1:44">
      <c r="A50">
        <v>47</v>
      </c>
      <c r="B50" t="s">
        <v>77</v>
      </c>
      <c r="C50">
        <v>470</v>
      </c>
      <c r="D50">
        <v>1880</v>
      </c>
      <c r="E50">
        <v>8.5800000000000001E-2</v>
      </c>
      <c r="F50" s="4">
        <v>5.4E-16</v>
      </c>
      <c r="G50" s="12">
        <v>9.1255999999999998E-12</v>
      </c>
      <c r="H50" s="12">
        <v>4.4094000000000002E-4</v>
      </c>
      <c r="I50" s="12">
        <v>-4.9039000000000001</v>
      </c>
      <c r="J50" s="12">
        <v>0.6754</v>
      </c>
      <c r="K50">
        <v>1</v>
      </c>
      <c r="L50" s="13">
        <v>1.2447999999999999</v>
      </c>
      <c r="M50" s="12">
        <v>1.7253000000000001</v>
      </c>
      <c r="N50" s="12">
        <v>-1.7438</v>
      </c>
      <c r="O50" s="12">
        <v>40.296999999999997</v>
      </c>
      <c r="P50" s="14">
        <v>0</v>
      </c>
      <c r="Q50" s="14">
        <v>0</v>
      </c>
      <c r="R50" s="1">
        <v>3</v>
      </c>
      <c r="S50" s="15">
        <v>0.45</v>
      </c>
      <c r="T50" s="15">
        <v>-36.841361487904734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3">
        <v>0.45</v>
      </c>
      <c r="AB50" s="12">
        <v>0.95</v>
      </c>
      <c r="AC50" s="16">
        <v>-30.524000000000001</v>
      </c>
      <c r="AD50" s="16">
        <v>4.7701000000000002</v>
      </c>
      <c r="AE50" s="16">
        <v>-0.2782</v>
      </c>
      <c r="AF50" s="16">
        <v>0</v>
      </c>
      <c r="AG50" s="16">
        <v>0</v>
      </c>
      <c r="AH50" s="16">
        <v>0</v>
      </c>
      <c r="AI50" s="16">
        <v>0</v>
      </c>
      <c r="AJ50" s="12">
        <v>0.95</v>
      </c>
      <c r="AK50" s="15">
        <v>1.7</v>
      </c>
      <c r="AL50" s="16">
        <v>-26.220034142218285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</row>
    <row r="51" spans="1:44">
      <c r="A51">
        <v>48</v>
      </c>
      <c r="B51" t="s">
        <v>78</v>
      </c>
      <c r="C51">
        <v>550</v>
      </c>
      <c r="D51" s="10">
        <v>1880</v>
      </c>
      <c r="E51">
        <v>0.104</v>
      </c>
      <c r="F51" s="4">
        <v>1.4E-14</v>
      </c>
      <c r="G51" s="12">
        <v>1.37E-11</v>
      </c>
      <c r="H51" s="12">
        <v>0.65905000000000002</v>
      </c>
      <c r="I51" s="12">
        <v>-3.1646000000000001</v>
      </c>
      <c r="J51" s="12">
        <v>1.5167999999999999</v>
      </c>
      <c r="K51">
        <v>1</v>
      </c>
      <c r="L51" s="13">
        <v>1.0097</v>
      </c>
      <c r="M51" s="12">
        <v>1.9466000000000001</v>
      </c>
      <c r="N51" s="12">
        <v>-1.4266000000000001</v>
      </c>
      <c r="O51" s="12">
        <v>76.938000000000002</v>
      </c>
      <c r="P51" s="14">
        <v>0</v>
      </c>
      <c r="Q51" s="14">
        <v>0</v>
      </c>
      <c r="R51" s="1">
        <v>3</v>
      </c>
      <c r="S51" s="15">
        <v>0.31</v>
      </c>
      <c r="T51" s="15">
        <v>-36.841361487904734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3">
        <v>0.31</v>
      </c>
      <c r="AB51" s="12">
        <v>0.87</v>
      </c>
      <c r="AC51" s="16">
        <v>-31.041</v>
      </c>
      <c r="AD51" s="16">
        <v>5.7055999999999996</v>
      </c>
      <c r="AE51" s="16">
        <v>-0.2928</v>
      </c>
      <c r="AF51" s="16">
        <v>0</v>
      </c>
      <c r="AG51" s="16">
        <v>0</v>
      </c>
      <c r="AH51" s="16">
        <v>0</v>
      </c>
      <c r="AI51" s="16">
        <v>0</v>
      </c>
      <c r="AJ51" s="12">
        <v>0.87</v>
      </c>
      <c r="AK51" s="15">
        <v>1.4</v>
      </c>
      <c r="AL51" s="16">
        <v>-26.270044562792947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</row>
    <row r="52" spans="1:44">
      <c r="A52">
        <v>49</v>
      </c>
      <c r="B52" t="s">
        <v>79</v>
      </c>
      <c r="C52">
        <v>320</v>
      </c>
      <c r="D52">
        <v>1880</v>
      </c>
      <c r="E52">
        <v>5.3350000000000002E-2</v>
      </c>
      <c r="F52" s="4">
        <v>3.6E-12</v>
      </c>
      <c r="G52" s="12">
        <v>1.9010000000000001E-11</v>
      </c>
      <c r="H52" s="12">
        <v>2.0507999999999998E-2</v>
      </c>
      <c r="I52" s="12">
        <v>-0.41163</v>
      </c>
      <c r="J52" s="12">
        <v>1.1444000000000001</v>
      </c>
      <c r="K52">
        <v>1</v>
      </c>
      <c r="L52" s="13">
        <v>2.7094</v>
      </c>
      <c r="M52" s="12">
        <v>1.5054000000000001</v>
      </c>
      <c r="N52" s="12">
        <v>-3.0994000000000002</v>
      </c>
      <c r="O52" s="12">
        <v>26.117999999999999</v>
      </c>
      <c r="P52" s="14">
        <v>0</v>
      </c>
      <c r="Q52" s="14">
        <v>0</v>
      </c>
      <c r="R52" s="1">
        <v>2</v>
      </c>
      <c r="S52" s="15">
        <v>5.8000000000000003E-2</v>
      </c>
      <c r="T52" s="15">
        <v>-36.841361487904734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3">
        <v>9.4E-2</v>
      </c>
      <c r="AB52" s="12">
        <v>1.5</v>
      </c>
      <c r="AC52" s="16">
        <v>-21.995999999999999</v>
      </c>
      <c r="AD52" s="16">
        <v>11.89</v>
      </c>
      <c r="AE52" s="16">
        <v>-41.679000000000002</v>
      </c>
      <c r="AF52" s="16">
        <v>72.337000000000003</v>
      </c>
      <c r="AG52" s="16">
        <v>-66.290000000000006</v>
      </c>
      <c r="AH52" s="16">
        <v>30.704000000000001</v>
      </c>
      <c r="AI52" s="16">
        <v>-5.6596000000000002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</row>
    <row r="53" spans="1:44">
      <c r="A53">
        <v>50</v>
      </c>
      <c r="B53" t="s">
        <v>80</v>
      </c>
      <c r="C53">
        <v>360</v>
      </c>
      <c r="D53" s="10">
        <v>1880</v>
      </c>
      <c r="E53">
        <v>9.3050999999999995E-2</v>
      </c>
      <c r="F53" s="4">
        <v>1.3999999999999999E-25</v>
      </c>
      <c r="G53" s="12">
        <v>6.4038999999999997E-11</v>
      </c>
      <c r="H53" s="12">
        <v>1.4711000000000001</v>
      </c>
      <c r="I53" s="12">
        <v>-4.4629000000000003</v>
      </c>
      <c r="J53" s="12">
        <v>2.3149999999999999</v>
      </c>
      <c r="K53">
        <v>1</v>
      </c>
      <c r="L53" s="13">
        <v>1.593</v>
      </c>
      <c r="M53" s="12">
        <v>4.5488</v>
      </c>
      <c r="N53" s="12">
        <v>3.6454999999999999E-3</v>
      </c>
      <c r="O53" s="12">
        <v>0.70821999999999996</v>
      </c>
      <c r="P53" s="14">
        <v>0</v>
      </c>
      <c r="Q53" s="14">
        <v>0</v>
      </c>
      <c r="R53" s="1">
        <v>3</v>
      </c>
      <c r="S53" s="15">
        <v>0.76</v>
      </c>
      <c r="T53" s="15">
        <v>-36.841361487904734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3">
        <v>0.76</v>
      </c>
      <c r="AB53" s="12">
        <v>0.9</v>
      </c>
      <c r="AC53" s="16">
        <v>-25.62</v>
      </c>
      <c r="AD53" s="16">
        <v>-12.941000000000001</v>
      </c>
      <c r="AE53" s="16">
        <v>9.6775000000000002</v>
      </c>
      <c r="AF53" s="16">
        <v>0</v>
      </c>
      <c r="AG53" s="16">
        <v>0</v>
      </c>
      <c r="AH53" s="16">
        <v>0</v>
      </c>
      <c r="AI53" s="16">
        <v>0</v>
      </c>
      <c r="AJ53" s="12">
        <v>0.9</v>
      </c>
      <c r="AK53" s="15">
        <v>2.2999999999999998</v>
      </c>
      <c r="AL53" s="16">
        <v>-29.463602579676859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</row>
    <row r="54" spans="1:44">
      <c r="A54">
        <v>51</v>
      </c>
      <c r="B54" t="s">
        <v>81</v>
      </c>
      <c r="C54">
        <v>350</v>
      </c>
      <c r="D54">
        <v>1880</v>
      </c>
      <c r="E54">
        <v>8.5600999999999997E-2</v>
      </c>
      <c r="F54" s="4">
        <v>1.3999999999999999E-17</v>
      </c>
      <c r="G54" s="12">
        <v>3.3855000000000001E-12</v>
      </c>
      <c r="H54" s="12">
        <v>2.2634000000000001E-2</v>
      </c>
      <c r="I54" s="12">
        <v>-3.7673000000000001</v>
      </c>
      <c r="J54" s="12">
        <v>1.0284</v>
      </c>
      <c r="K54">
        <v>1</v>
      </c>
      <c r="L54" s="13">
        <v>1.6193</v>
      </c>
      <c r="M54" s="12">
        <v>1.8179000000000001</v>
      </c>
      <c r="N54" s="12">
        <v>-2.4173</v>
      </c>
      <c r="O54" s="12">
        <v>59.776000000000003</v>
      </c>
      <c r="P54" s="14">
        <v>0</v>
      </c>
      <c r="Q54" s="14">
        <v>0</v>
      </c>
      <c r="R54" s="1">
        <v>3</v>
      </c>
      <c r="S54" s="15">
        <v>0.27</v>
      </c>
      <c r="T54" s="15">
        <v>-36.841361487904734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3">
        <v>0.27</v>
      </c>
      <c r="AB54" s="12">
        <v>0.95</v>
      </c>
      <c r="AC54" s="16">
        <v>-33.29</v>
      </c>
      <c r="AD54" s="16">
        <v>3.3195999999999999</v>
      </c>
      <c r="AE54" s="16">
        <v>-1.2628E-2</v>
      </c>
      <c r="AF54" s="16">
        <v>0</v>
      </c>
      <c r="AG54" s="16">
        <v>0</v>
      </c>
      <c r="AH54" s="16">
        <v>0</v>
      </c>
      <c r="AI54" s="16">
        <v>0</v>
      </c>
      <c r="AJ54" s="12">
        <v>0.95</v>
      </c>
      <c r="AK54" s="15">
        <v>2.2999999999999998</v>
      </c>
      <c r="AL54" s="16">
        <v>-30.156749760236803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</row>
    <row r="55" spans="1:44">
      <c r="A55">
        <v>52</v>
      </c>
      <c r="B55" t="s">
        <v>82</v>
      </c>
      <c r="C55">
        <v>400</v>
      </c>
      <c r="D55" s="10">
        <v>1880</v>
      </c>
      <c r="E55">
        <v>8.7849999999999998E-2</v>
      </c>
      <c r="F55" s="4">
        <v>7.1E-16</v>
      </c>
      <c r="G55" s="12">
        <v>5.6401999999999998E-11</v>
      </c>
      <c r="H55" s="12">
        <v>1.3345</v>
      </c>
      <c r="I55" s="12">
        <v>-2.5049999999999999</v>
      </c>
      <c r="J55" s="12">
        <v>2.1366999999999998</v>
      </c>
      <c r="K55">
        <v>1</v>
      </c>
      <c r="L55" s="13">
        <v>2.0202</v>
      </c>
      <c r="M55" s="12">
        <v>2.5363000000000002</v>
      </c>
      <c r="N55" s="12">
        <v>-2.1511</v>
      </c>
      <c r="O55" s="12">
        <v>33.026000000000003</v>
      </c>
      <c r="P55" s="14">
        <v>0</v>
      </c>
      <c r="Q55" s="14">
        <v>0</v>
      </c>
      <c r="R55" s="1">
        <v>3</v>
      </c>
      <c r="S55" s="15">
        <v>0.61</v>
      </c>
      <c r="T55" s="15">
        <v>-36.841361487904734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3">
        <v>0.61</v>
      </c>
      <c r="AB55" s="12">
        <v>1.2</v>
      </c>
      <c r="AC55" s="16">
        <v>-32.384999999999998</v>
      </c>
      <c r="AD55" s="16">
        <v>4.0231000000000003</v>
      </c>
      <c r="AE55" s="16">
        <v>-0.34329999999999999</v>
      </c>
      <c r="AF55" s="16">
        <v>0</v>
      </c>
      <c r="AG55" s="16">
        <v>0</v>
      </c>
      <c r="AH55" s="16">
        <v>0</v>
      </c>
      <c r="AI55" s="16">
        <v>0</v>
      </c>
      <c r="AJ55" s="12">
        <v>1.2</v>
      </c>
      <c r="AK55" s="15">
        <v>2.2000000000000002</v>
      </c>
      <c r="AL55" s="16">
        <v>-27.945731860768248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</row>
    <row r="56" spans="1:44">
      <c r="A56">
        <v>53</v>
      </c>
      <c r="B56" t="s">
        <v>83</v>
      </c>
      <c r="C56">
        <v>460</v>
      </c>
      <c r="D56">
        <v>1880</v>
      </c>
      <c r="E56">
        <v>9.5200000000000007E-2</v>
      </c>
      <c r="F56" s="4">
        <v>2.0999999999999999E-17</v>
      </c>
      <c r="G56" s="12">
        <v>2.1038000000000001E-11</v>
      </c>
      <c r="H56" s="12">
        <v>0.31518000000000002</v>
      </c>
      <c r="I56" s="12">
        <v>-5.6497999999999999</v>
      </c>
      <c r="J56" s="12">
        <v>1.2203999999999999</v>
      </c>
      <c r="K56">
        <v>1</v>
      </c>
      <c r="L56" s="13">
        <v>1.2725</v>
      </c>
      <c r="M56" s="12">
        <v>2.3835999999999999</v>
      </c>
      <c r="N56" s="12">
        <v>-1.9854000000000001</v>
      </c>
      <c r="O56" s="12">
        <v>91.36</v>
      </c>
      <c r="P56" s="14">
        <v>0</v>
      </c>
      <c r="Q56" s="14">
        <v>0</v>
      </c>
      <c r="R56" s="1">
        <v>3</v>
      </c>
      <c r="S56" s="15">
        <v>0.22</v>
      </c>
      <c r="T56" s="15">
        <v>-36.841361487904734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3">
        <v>0.22</v>
      </c>
      <c r="AB56" s="12">
        <v>0.81</v>
      </c>
      <c r="AC56" s="16">
        <v>-29.716000000000001</v>
      </c>
      <c r="AD56" s="16">
        <v>3.9533999999999998</v>
      </c>
      <c r="AE56" s="16">
        <v>-5.1057999999999999E-2</v>
      </c>
      <c r="AF56" s="16">
        <v>0</v>
      </c>
      <c r="AG56" s="16">
        <v>0</v>
      </c>
      <c r="AH56" s="16">
        <v>0</v>
      </c>
      <c r="AI56" s="16">
        <v>0</v>
      </c>
      <c r="AJ56" s="12">
        <v>0.81</v>
      </c>
      <c r="AK56" s="15">
        <v>1.9</v>
      </c>
      <c r="AL56" s="16">
        <v>-26.53240882726044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</row>
    <row r="57" spans="1:44">
      <c r="A57">
        <v>54</v>
      </c>
      <c r="B57" t="s">
        <v>84</v>
      </c>
      <c r="C57">
        <v>500</v>
      </c>
      <c r="D57" s="10">
        <v>1880</v>
      </c>
      <c r="E57">
        <v>0.1215</v>
      </c>
      <c r="F57" s="4">
        <v>4.2999999999999999E-16</v>
      </c>
      <c r="G57" s="12">
        <v>3.3654999999999999E-11</v>
      </c>
      <c r="H57" s="12">
        <v>1.7455000000000001</v>
      </c>
      <c r="I57" s="12">
        <v>-2.5253000000000001</v>
      </c>
      <c r="J57" s="12">
        <v>2.1431</v>
      </c>
      <c r="K57">
        <v>1</v>
      </c>
      <c r="L57" s="13">
        <v>0.97679000000000005</v>
      </c>
      <c r="M57" s="12">
        <v>3.2764000000000002</v>
      </c>
      <c r="N57" s="12">
        <v>-1.3438000000000001</v>
      </c>
      <c r="O57" s="12">
        <v>122.9</v>
      </c>
      <c r="P57" s="14">
        <v>0</v>
      </c>
      <c r="Q57" s="14">
        <v>0</v>
      </c>
      <c r="R57" s="1">
        <v>3</v>
      </c>
      <c r="S57" s="15">
        <v>0.28000000000000003</v>
      </c>
      <c r="T57" s="15">
        <v>-36.841361487904734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3">
        <v>0.28000000000000003</v>
      </c>
      <c r="AB57" s="12">
        <v>0.91</v>
      </c>
      <c r="AC57" s="16">
        <v>-32.857999999999997</v>
      </c>
      <c r="AD57" s="16">
        <v>3.8816999999999999</v>
      </c>
      <c r="AE57" s="16">
        <v>0.12486</v>
      </c>
      <c r="AF57" s="16">
        <v>0</v>
      </c>
      <c r="AG57" s="16">
        <v>0</v>
      </c>
      <c r="AH57" s="16">
        <v>0</v>
      </c>
      <c r="AI57" s="16">
        <v>0</v>
      </c>
      <c r="AJ57" s="12">
        <v>0.91</v>
      </c>
      <c r="AK57" s="15">
        <v>1.9</v>
      </c>
      <c r="AL57" s="16">
        <v>-29.240459028362647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</row>
    <row r="58" spans="1:44">
      <c r="A58">
        <v>55</v>
      </c>
      <c r="B58" t="s">
        <v>85</v>
      </c>
      <c r="C58">
        <v>740</v>
      </c>
      <c r="D58">
        <v>1880</v>
      </c>
      <c r="E58">
        <v>9.5500000000000002E-2</v>
      </c>
      <c r="F58" s="4">
        <v>6.4000000000000005E-14</v>
      </c>
      <c r="G58" s="12">
        <v>5.8366000000000004E-12</v>
      </c>
      <c r="H58" s="12">
        <v>1.9799000000000001E-2</v>
      </c>
      <c r="I58" s="12">
        <v>-0.37086999999999998</v>
      </c>
      <c r="J58" s="12">
        <v>1.2</v>
      </c>
      <c r="K58">
        <v>1</v>
      </c>
      <c r="L58" s="13">
        <v>0.56679000000000002</v>
      </c>
      <c r="M58" s="12">
        <v>2.2326999999999999</v>
      </c>
      <c r="N58" s="12">
        <v>-1.1978</v>
      </c>
      <c r="O58" s="12">
        <v>113.08</v>
      </c>
      <c r="P58" s="14">
        <v>0</v>
      </c>
      <c r="Q58" s="14">
        <v>0</v>
      </c>
      <c r="R58" s="1">
        <v>3</v>
      </c>
      <c r="S58" s="15">
        <v>0.19</v>
      </c>
      <c r="T58" s="15">
        <v>-36.841361487904734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3">
        <v>0.19</v>
      </c>
      <c r="AB58" s="12">
        <v>0.69</v>
      </c>
      <c r="AC58" s="16">
        <v>-33.527999999999999</v>
      </c>
      <c r="AD58" s="16">
        <v>8.1243999999999996</v>
      </c>
      <c r="AE58" s="16">
        <v>0.20039999999999999</v>
      </c>
      <c r="AF58" s="16">
        <v>0</v>
      </c>
      <c r="AG58" s="16">
        <v>0</v>
      </c>
      <c r="AH58" s="16">
        <v>0</v>
      </c>
      <c r="AI58" s="16">
        <v>0</v>
      </c>
      <c r="AJ58" s="12">
        <v>0.69</v>
      </c>
      <c r="AK58" s="15">
        <v>0.9</v>
      </c>
      <c r="AL58" s="16">
        <v>-27.841742147244201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</row>
    <row r="59" spans="1:44">
      <c r="A59">
        <v>56</v>
      </c>
      <c r="B59" t="s">
        <v>86</v>
      </c>
      <c r="C59">
        <v>1980</v>
      </c>
      <c r="D59" s="10">
        <v>840</v>
      </c>
      <c r="E59">
        <v>0.41499999999999998</v>
      </c>
      <c r="F59" s="4">
        <v>4.5999999999999998E-15</v>
      </c>
      <c r="G59" s="12">
        <v>5.7186000000000003E-12</v>
      </c>
      <c r="H59" s="12">
        <v>2.2891999999999999E-2</v>
      </c>
      <c r="I59" s="12">
        <v>-0.28227999999999998</v>
      </c>
      <c r="J59" s="12">
        <v>1.2925</v>
      </c>
      <c r="K59">
        <v>1</v>
      </c>
      <c r="L59" s="13">
        <v>8.8002999999999998E-2</v>
      </c>
      <c r="M59" s="12">
        <v>4.5107999999999997</v>
      </c>
      <c r="N59" s="12">
        <v>-2.3555000000000001</v>
      </c>
      <c r="O59" s="12">
        <v>26.058</v>
      </c>
      <c r="P59" s="14">
        <v>0</v>
      </c>
      <c r="Q59" s="14">
        <v>0</v>
      </c>
      <c r="R59" s="1">
        <v>3</v>
      </c>
      <c r="S59" s="15">
        <v>2.8000000000000001E-2</v>
      </c>
      <c r="T59" s="15">
        <v>-36.841361487904734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3">
        <v>2.8000000000000001E-2</v>
      </c>
      <c r="AB59" s="12">
        <v>7.5999999999999998E-2</v>
      </c>
      <c r="AC59" s="16">
        <v>-18.628</v>
      </c>
      <c r="AD59" s="16">
        <v>168.62</v>
      </c>
      <c r="AE59" s="16">
        <v>-3043.5</v>
      </c>
      <c r="AF59" s="16">
        <v>21379</v>
      </c>
      <c r="AG59" s="16">
        <v>0</v>
      </c>
      <c r="AH59" s="16">
        <v>0</v>
      </c>
      <c r="AI59" s="16">
        <v>0</v>
      </c>
      <c r="AJ59" s="12">
        <v>7.5999999999999998E-2</v>
      </c>
      <c r="AK59" s="15">
        <v>9.9000000000000005E-2</v>
      </c>
      <c r="AL59" s="16">
        <v>-13.9208710736221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</row>
    <row r="60" spans="1:44">
      <c r="A60">
        <v>57</v>
      </c>
      <c r="B60" t="s">
        <v>87</v>
      </c>
      <c r="C60">
        <v>1600</v>
      </c>
      <c r="D60">
        <v>840</v>
      </c>
      <c r="E60">
        <v>0.47</v>
      </c>
      <c r="F60" s="4">
        <v>2.0999999999999999E-14</v>
      </c>
      <c r="G60" s="12">
        <v>3.3399E-11</v>
      </c>
      <c r="H60" s="12">
        <v>2.3185000000000001E-2</v>
      </c>
      <c r="I60" s="12">
        <v>-0.93811999999999995</v>
      </c>
      <c r="J60" s="12">
        <v>1.0654999999999999</v>
      </c>
      <c r="K60">
        <v>1</v>
      </c>
      <c r="L60" s="13">
        <v>0.24457999999999999</v>
      </c>
      <c r="M60" s="12">
        <v>1.7562</v>
      </c>
      <c r="N60" s="12">
        <v>-1.3651</v>
      </c>
      <c r="O60" s="12">
        <v>24.411999999999999</v>
      </c>
      <c r="P60" s="14">
        <v>0</v>
      </c>
      <c r="Q60" s="14">
        <v>0</v>
      </c>
      <c r="R60" s="1">
        <v>2</v>
      </c>
      <c r="S60" s="15">
        <v>0.13</v>
      </c>
      <c r="T60" s="15">
        <v>-36.841361487904734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3">
        <v>0.13</v>
      </c>
      <c r="AB60" s="12">
        <v>0.26</v>
      </c>
      <c r="AC60" s="16">
        <v>-21.053000000000001</v>
      </c>
      <c r="AD60" s="16">
        <v>-3.8159999999999998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</row>
    <row r="61" spans="1:44">
      <c r="A61">
        <v>58</v>
      </c>
      <c r="B61" t="s">
        <v>88</v>
      </c>
      <c r="C61">
        <v>1985</v>
      </c>
      <c r="D61" s="10">
        <v>840</v>
      </c>
      <c r="E61">
        <v>0.41</v>
      </c>
      <c r="F61" s="4">
        <v>1.4000000000000001E-16</v>
      </c>
      <c r="G61" s="12">
        <v>3.8838000000000001E-12</v>
      </c>
      <c r="H61" s="12">
        <v>2.7924E-3</v>
      </c>
      <c r="I61" s="12">
        <v>-1.6870000000000001</v>
      </c>
      <c r="J61" s="12">
        <v>1.0425</v>
      </c>
      <c r="K61">
        <v>1</v>
      </c>
      <c r="L61" s="13">
        <v>0.12118</v>
      </c>
      <c r="M61" s="12">
        <v>0.59931999999999996</v>
      </c>
      <c r="N61" s="12">
        <v>-0.86068999999999996</v>
      </c>
      <c r="O61" s="12">
        <v>7.9137000000000004</v>
      </c>
      <c r="P61" s="14">
        <v>0</v>
      </c>
      <c r="Q61" s="14">
        <v>0</v>
      </c>
      <c r="R61" s="1">
        <v>2</v>
      </c>
      <c r="S61" s="15">
        <v>0.11</v>
      </c>
      <c r="T61" s="15">
        <v>-36.841361487904734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3">
        <v>0.11</v>
      </c>
      <c r="AB61" s="12">
        <v>0.12</v>
      </c>
      <c r="AC61" s="16">
        <v>-18.988</v>
      </c>
      <c r="AD61" s="16">
        <v>-22.933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</row>
    <row r="62" spans="1:44">
      <c r="A62">
        <v>59</v>
      </c>
      <c r="B62" t="s">
        <v>89</v>
      </c>
      <c r="C62">
        <v>1380</v>
      </c>
      <c r="D62">
        <v>840</v>
      </c>
      <c r="E62">
        <v>2.5</v>
      </c>
      <c r="F62" s="4">
        <v>4.3000000000000002E-17</v>
      </c>
      <c r="G62" s="12">
        <v>2.8799000000000001E-11</v>
      </c>
      <c r="H62" s="12">
        <v>1.3185</v>
      </c>
      <c r="I62" s="12">
        <v>-2.4228999999999998</v>
      </c>
      <c r="J62" s="12">
        <v>2.2843</v>
      </c>
      <c r="K62">
        <v>1</v>
      </c>
      <c r="L62" s="13">
        <v>0.33889000000000002</v>
      </c>
      <c r="M62" s="12">
        <v>1.4054</v>
      </c>
      <c r="N62" s="12">
        <v>-0.91218999999999995</v>
      </c>
      <c r="O62" s="12">
        <v>7.1334999999999997</v>
      </c>
      <c r="P62" s="14">
        <v>0</v>
      </c>
      <c r="Q62" s="14">
        <v>0</v>
      </c>
      <c r="R62" s="1">
        <v>2</v>
      </c>
      <c r="S62" s="15">
        <v>0.28999999999999998</v>
      </c>
      <c r="T62" s="15">
        <v>-36.841361487904734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3">
        <v>0.28999999999999998</v>
      </c>
      <c r="AB62" s="12">
        <v>0.35</v>
      </c>
      <c r="AC62" s="16">
        <v>98.692999999999998</v>
      </c>
      <c r="AD62" s="16">
        <v>-1145.0999999999999</v>
      </c>
      <c r="AE62" s="16">
        <v>3685.5</v>
      </c>
      <c r="AF62" s="16">
        <v>-3877.4</v>
      </c>
      <c r="AG62" s="16">
        <v>0</v>
      </c>
      <c r="AH62" s="16">
        <v>0</v>
      </c>
      <c r="AI62" s="16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</row>
    <row r="63" spans="1:44">
      <c r="A63">
        <v>60</v>
      </c>
      <c r="B63" t="s">
        <v>90</v>
      </c>
      <c r="C63">
        <v>1130</v>
      </c>
      <c r="D63" s="10">
        <v>840</v>
      </c>
      <c r="E63">
        <v>0.255</v>
      </c>
      <c r="F63" s="4">
        <v>4.2999999999999999E-13</v>
      </c>
      <c r="G63" s="12">
        <v>1.9225E-11</v>
      </c>
      <c r="H63" s="12">
        <v>5.7365000000000003E-3</v>
      </c>
      <c r="I63" s="12">
        <v>-0.97311000000000003</v>
      </c>
      <c r="J63" s="12">
        <v>1.9202999999999999</v>
      </c>
      <c r="K63">
        <v>1</v>
      </c>
      <c r="L63" s="13">
        <v>0.31934000000000001</v>
      </c>
      <c r="M63" s="12">
        <v>3.1625000000000001</v>
      </c>
      <c r="N63" s="12">
        <v>-1.3264</v>
      </c>
      <c r="O63" s="12">
        <v>77.632000000000005</v>
      </c>
      <c r="P63" s="14">
        <v>0</v>
      </c>
      <c r="Q63" s="14">
        <v>0</v>
      </c>
      <c r="R63" s="1">
        <v>3</v>
      </c>
      <c r="S63" s="15">
        <v>0.1</v>
      </c>
      <c r="T63" s="15">
        <v>-36.841361487904734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3">
        <v>0.1</v>
      </c>
      <c r="AB63" s="12">
        <v>0.14000000000000001</v>
      </c>
      <c r="AC63" s="16">
        <v>-13.693</v>
      </c>
      <c r="AD63" s="16">
        <v>-138</v>
      </c>
      <c r="AE63" s="16">
        <v>719.98</v>
      </c>
      <c r="AF63" s="16">
        <v>0</v>
      </c>
      <c r="AG63" s="16">
        <v>0</v>
      </c>
      <c r="AH63" s="16">
        <v>0</v>
      </c>
      <c r="AI63" s="16">
        <v>0</v>
      </c>
      <c r="AJ63" s="12">
        <v>0.14000000000000001</v>
      </c>
      <c r="AK63" s="15">
        <v>0.43</v>
      </c>
      <c r="AL63" s="16">
        <v>-18.514991423423606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</row>
    <row r="64" spans="1:44">
      <c r="A64">
        <v>61</v>
      </c>
      <c r="B64" t="s">
        <v>91</v>
      </c>
      <c r="C64">
        <v>2500</v>
      </c>
      <c r="D64">
        <v>840</v>
      </c>
      <c r="E64">
        <v>0.75</v>
      </c>
      <c r="F64" s="4">
        <v>1.3999999999999999E-25</v>
      </c>
      <c r="G64" s="12">
        <v>1.5819E-12</v>
      </c>
      <c r="H64" s="12">
        <v>3.8359000000000002E-3</v>
      </c>
      <c r="I64" s="12">
        <v>-4.7901999999999996</v>
      </c>
      <c r="J64" s="12">
        <v>1.7801</v>
      </c>
      <c r="K64">
        <v>1</v>
      </c>
      <c r="L64" s="13">
        <v>1.316E-2</v>
      </c>
      <c r="M64" s="12">
        <v>6.9414999999999996</v>
      </c>
      <c r="N64" s="12">
        <v>-1.6180000000000001</v>
      </c>
      <c r="O64" s="12">
        <v>51.518999999999998</v>
      </c>
      <c r="P64" s="14">
        <v>0</v>
      </c>
      <c r="Q64" s="14">
        <v>0</v>
      </c>
      <c r="R64" s="1">
        <v>2</v>
      </c>
      <c r="S64" s="15">
        <v>3.7000000000000002E-3</v>
      </c>
      <c r="T64" s="15">
        <v>-36.841361487904734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3">
        <v>3.7000000000000002E-3</v>
      </c>
      <c r="AB64" s="12">
        <v>1.6E-2</v>
      </c>
      <c r="AC64" s="16">
        <v>-23.382525873879189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</row>
    <row r="65" spans="1:44">
      <c r="A65">
        <v>62</v>
      </c>
      <c r="B65" t="s">
        <v>92</v>
      </c>
      <c r="C65">
        <v>11.5</v>
      </c>
      <c r="D65" s="10">
        <v>840</v>
      </c>
      <c r="E65">
        <v>4.3001999999999999E-2</v>
      </c>
      <c r="F65" s="4">
        <v>3.4999999999999999E-9</v>
      </c>
      <c r="G65" s="12">
        <v>1.7000000000000001E-10</v>
      </c>
      <c r="H65" s="12">
        <v>0</v>
      </c>
      <c r="I65" s="12">
        <v>0</v>
      </c>
      <c r="J65" s="12">
        <v>0</v>
      </c>
      <c r="K65">
        <v>2</v>
      </c>
      <c r="L65" s="13">
        <v>2.7903000000000001E-2</v>
      </c>
      <c r="M65" s="12">
        <v>0.64024000000000003</v>
      </c>
      <c r="N65" s="12">
        <v>-1.5874999999999999</v>
      </c>
      <c r="O65" s="12">
        <v>7.1897000000000002</v>
      </c>
      <c r="P65" s="12">
        <v>87</v>
      </c>
      <c r="Q65" s="12">
        <v>2.2224100929699547E-2</v>
      </c>
      <c r="R65" s="1">
        <v>2</v>
      </c>
      <c r="S65" s="15">
        <v>2.1999999999999999E-2</v>
      </c>
      <c r="T65" s="15">
        <v>-36.841361487904734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3">
        <v>2.3E-2</v>
      </c>
      <c r="AB65" s="12">
        <v>87</v>
      </c>
      <c r="AC65" s="16">
        <v>-18.420680743952367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</row>
    <row r="66" spans="1:44">
      <c r="A66">
        <v>63</v>
      </c>
      <c r="B66" t="s">
        <v>93</v>
      </c>
      <c r="C66">
        <v>30</v>
      </c>
      <c r="D66">
        <v>1880</v>
      </c>
      <c r="E66">
        <v>3.7595999999999997E-2</v>
      </c>
      <c r="F66" s="4">
        <v>4.1000000000000003E-9</v>
      </c>
      <c r="G66" s="12">
        <v>1.8461E-10</v>
      </c>
      <c r="H66" s="12">
        <v>0.11912</v>
      </c>
      <c r="I66" s="12">
        <v>-0.18942999999999999</v>
      </c>
      <c r="J66" s="12">
        <v>0.98895999999999995</v>
      </c>
      <c r="K66">
        <v>1</v>
      </c>
      <c r="L66" s="13">
        <v>122.1</v>
      </c>
      <c r="M66" s="12">
        <v>1.4007000000000001</v>
      </c>
      <c r="N66" s="12">
        <v>-6.5054999999999996</v>
      </c>
      <c r="O66" s="12">
        <v>197.85</v>
      </c>
      <c r="P66" s="14">
        <v>0</v>
      </c>
      <c r="Q66" s="14">
        <v>0</v>
      </c>
      <c r="R66" s="1">
        <v>2</v>
      </c>
      <c r="S66" s="15">
        <v>0.2</v>
      </c>
      <c r="T66" s="15">
        <v>-36.841361487904734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3">
        <v>0.2</v>
      </c>
      <c r="AB66" s="12">
        <v>30</v>
      </c>
      <c r="AC66" s="16">
        <v>-13.815510557964274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</row>
    <row r="67" spans="1:44">
      <c r="A67">
        <v>64</v>
      </c>
      <c r="B67" t="s">
        <v>94</v>
      </c>
      <c r="C67">
        <v>14.8</v>
      </c>
      <c r="D67" s="10">
        <v>1470</v>
      </c>
      <c r="E67">
        <v>3.7895999999999999E-2</v>
      </c>
      <c r="F67" s="4">
        <v>1.6E-13</v>
      </c>
      <c r="G67" s="12">
        <v>5.9967000000000001E-12</v>
      </c>
      <c r="H67" s="12">
        <v>7.3921999999999996E-4</v>
      </c>
      <c r="I67" s="12">
        <v>-0.81091999999999997</v>
      </c>
      <c r="J67" s="12">
        <v>1.0419</v>
      </c>
      <c r="K67">
        <v>2</v>
      </c>
      <c r="L67" s="13">
        <v>6.3819000000000001E-2</v>
      </c>
      <c r="M67" s="12">
        <v>0.42612</v>
      </c>
      <c r="N67" s="12">
        <v>-0.22771</v>
      </c>
      <c r="O67" s="12">
        <v>3.9582999999999999</v>
      </c>
      <c r="P67" s="14">
        <v>56</v>
      </c>
      <c r="Q67" s="12">
        <v>6.217420285814261E-2</v>
      </c>
      <c r="R67" s="1">
        <v>0</v>
      </c>
      <c r="S67" s="14">
        <v>0</v>
      </c>
      <c r="T67" s="15">
        <v>-36.841361487904734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</row>
    <row r="68" spans="1:44">
      <c r="A68">
        <v>65</v>
      </c>
      <c r="B68" t="s">
        <v>95</v>
      </c>
      <c r="C68">
        <v>28</v>
      </c>
      <c r="D68">
        <v>1470</v>
      </c>
      <c r="E68">
        <v>2.7144999999999999E-2</v>
      </c>
      <c r="F68" s="4">
        <v>1.3999999999999999E-25</v>
      </c>
      <c r="G68" s="12">
        <v>2.9871000000000001E-12</v>
      </c>
      <c r="H68" s="12">
        <v>6.1105999999999997E-4</v>
      </c>
      <c r="I68" s="12">
        <v>-1.1353</v>
      </c>
      <c r="J68" s="12">
        <v>4.3906999999999998</v>
      </c>
      <c r="K68">
        <v>2</v>
      </c>
      <c r="L68" s="13">
        <v>6.3819000000000001E-2</v>
      </c>
      <c r="M68" s="12">
        <v>0.42613000000000001</v>
      </c>
      <c r="N68" s="12">
        <v>-0.22771</v>
      </c>
      <c r="O68" s="12">
        <v>3.9586000000000001</v>
      </c>
      <c r="P68" s="12">
        <v>21</v>
      </c>
      <c r="Q68" s="12">
        <v>6.217420285814261E-2</v>
      </c>
      <c r="R68" s="1">
        <v>0</v>
      </c>
      <c r="S68" s="14">
        <v>0</v>
      </c>
      <c r="T68" s="15">
        <v>-36.841361487904734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</row>
    <row r="69" spans="1:44">
      <c r="A69">
        <v>66</v>
      </c>
      <c r="B69" t="s">
        <v>96</v>
      </c>
      <c r="C69">
        <v>39</v>
      </c>
      <c r="D69" s="10">
        <v>1470</v>
      </c>
      <c r="E69">
        <v>2.4603E-2</v>
      </c>
      <c r="F69" s="4">
        <v>1.4000000000000001E-16</v>
      </c>
      <c r="G69" s="12">
        <v>3.5810000000000002E-12</v>
      </c>
      <c r="H69" s="12">
        <v>2.6801E-4</v>
      </c>
      <c r="I69" s="12">
        <v>-0.46839999999999998</v>
      </c>
      <c r="J69" s="12">
        <v>1.3521000000000001</v>
      </c>
      <c r="K69">
        <v>1</v>
      </c>
      <c r="L69" s="13">
        <v>3.8792</v>
      </c>
      <c r="M69" s="12">
        <v>7.8729999999999998E-3</v>
      </c>
      <c r="N69" s="12">
        <v>-6.3666</v>
      </c>
      <c r="O69" s="12">
        <v>63.591999999999999</v>
      </c>
      <c r="P69" s="14">
        <v>0</v>
      </c>
      <c r="Q69" s="14">
        <v>0</v>
      </c>
      <c r="R69" s="1">
        <v>2</v>
      </c>
      <c r="S69" s="15">
        <v>7.0999999999999994E-2</v>
      </c>
      <c r="T69" s="15">
        <v>-36.841361487904734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3">
        <v>7.6999999999999999E-2</v>
      </c>
      <c r="AB69" s="12">
        <v>2.9</v>
      </c>
      <c r="AC69" s="16">
        <v>-27.631021115928547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</row>
    <row r="70" spans="1:44">
      <c r="A70">
        <v>67</v>
      </c>
      <c r="B70" t="s">
        <v>97</v>
      </c>
      <c r="C70">
        <v>26.5</v>
      </c>
      <c r="D70">
        <v>1470</v>
      </c>
      <c r="E70">
        <v>2.5676000000000001E-2</v>
      </c>
      <c r="F70" s="4">
        <v>1.3999999999999999E-25</v>
      </c>
      <c r="G70" s="12">
        <v>6.7089000000000002E-12</v>
      </c>
      <c r="H70" s="12">
        <v>3.0986E-3</v>
      </c>
      <c r="I70" s="12">
        <v>-0.70938000000000001</v>
      </c>
      <c r="J70" s="12">
        <v>0.60294999999999999</v>
      </c>
      <c r="K70">
        <v>1</v>
      </c>
      <c r="L70" s="13">
        <v>635.94000000000005</v>
      </c>
      <c r="M70" s="12">
        <v>0.48787999999999998</v>
      </c>
      <c r="N70" s="12">
        <v>-10.622999999999999</v>
      </c>
      <c r="O70" s="12">
        <v>19.853000000000002</v>
      </c>
      <c r="P70" s="14">
        <v>0</v>
      </c>
      <c r="Q70" s="14">
        <v>0</v>
      </c>
      <c r="R70" s="1">
        <v>2</v>
      </c>
      <c r="S70" s="15">
        <v>8.1</v>
      </c>
      <c r="T70" s="15">
        <v>-36.841361487904734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3">
        <v>9.3000000000000007</v>
      </c>
      <c r="AB70" s="12">
        <v>38</v>
      </c>
      <c r="AC70" s="16">
        <v>-27.631021115928547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</row>
    <row r="71" spans="1:44">
      <c r="A71">
        <v>68</v>
      </c>
      <c r="B71" t="s">
        <v>98</v>
      </c>
      <c r="C71">
        <v>7.5</v>
      </c>
      <c r="D71" s="10">
        <v>1470</v>
      </c>
      <c r="E71">
        <v>3.9645E-2</v>
      </c>
      <c r="F71" s="4">
        <v>5.9999999999999997E-14</v>
      </c>
      <c r="G71" s="12">
        <v>8.8000000000000006E-11</v>
      </c>
      <c r="H71" s="12">
        <v>0</v>
      </c>
      <c r="I71" s="12">
        <v>0</v>
      </c>
      <c r="J71" s="12">
        <v>0</v>
      </c>
      <c r="K71">
        <v>1</v>
      </c>
      <c r="L71" s="13">
        <v>0.80418000000000001</v>
      </c>
      <c r="M71" s="12">
        <v>3.4095</v>
      </c>
      <c r="N71" s="12">
        <v>-3.4272</v>
      </c>
      <c r="O71" s="12">
        <v>380.91</v>
      </c>
      <c r="P71" s="14">
        <v>0</v>
      </c>
      <c r="Q71" s="14">
        <v>0</v>
      </c>
      <c r="R71" s="1">
        <v>2</v>
      </c>
      <c r="S71" s="15">
        <v>0.25</v>
      </c>
      <c r="T71" s="15">
        <v>-36.841361487904734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3">
        <v>0.27</v>
      </c>
      <c r="AB71" s="12">
        <v>85</v>
      </c>
      <c r="AC71" s="16">
        <v>-27.631021115928547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</row>
    <row r="72" spans="1:44">
      <c r="A72">
        <v>69</v>
      </c>
      <c r="B72" t="s">
        <v>99</v>
      </c>
      <c r="C72">
        <v>715</v>
      </c>
      <c r="D72">
        <v>1260</v>
      </c>
      <c r="E72">
        <v>0.159</v>
      </c>
      <c r="F72" s="4">
        <v>2.6E-14</v>
      </c>
      <c r="G72" s="12">
        <v>2.2906999999999999E-12</v>
      </c>
      <c r="H72" s="12">
        <v>4.8381999999999999E-5</v>
      </c>
      <c r="I72" s="12">
        <v>-2.4329999999999998</v>
      </c>
      <c r="J72" s="12">
        <v>5.0298999999999996</v>
      </c>
      <c r="K72">
        <v>1</v>
      </c>
      <c r="L72" s="13">
        <v>1.0995999999999999</v>
      </c>
      <c r="M72" s="12">
        <v>1.3878999999999999</v>
      </c>
      <c r="N72" s="12">
        <v>-2.2927</v>
      </c>
      <c r="O72" s="12">
        <v>66.302000000000007</v>
      </c>
      <c r="P72" s="14">
        <v>0</v>
      </c>
      <c r="Q72" s="14">
        <v>0</v>
      </c>
      <c r="R72" s="1">
        <v>2</v>
      </c>
      <c r="S72" s="15">
        <v>0.18</v>
      </c>
      <c r="T72" s="15">
        <v>-36.841361487904734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3">
        <v>0.18</v>
      </c>
      <c r="AB72" s="12">
        <v>1.1000000000000001</v>
      </c>
      <c r="AC72" s="16">
        <v>-34.639000000000003</v>
      </c>
      <c r="AD72" s="16">
        <v>7.3796999999999997</v>
      </c>
      <c r="AE72" s="16">
        <v>-0.32745000000000002</v>
      </c>
      <c r="AF72" s="16">
        <v>0</v>
      </c>
      <c r="AG72" s="16">
        <v>0</v>
      </c>
      <c r="AH72" s="16">
        <v>0</v>
      </c>
      <c r="AI72" s="16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</row>
    <row r="73" spans="1:44">
      <c r="A73">
        <v>70</v>
      </c>
      <c r="B73" t="s">
        <v>100</v>
      </c>
      <c r="C73">
        <v>850</v>
      </c>
      <c r="D73" s="10">
        <v>1256</v>
      </c>
      <c r="E73">
        <v>0.159</v>
      </c>
      <c r="F73" s="4">
        <v>3.0999999999999999E-15</v>
      </c>
      <c r="G73" s="12">
        <v>9.2447E-13</v>
      </c>
      <c r="H73" s="12">
        <v>0.23758000000000001</v>
      </c>
      <c r="I73" s="12">
        <v>-2.4121000000000001</v>
      </c>
      <c r="J73" s="12">
        <v>1.6198999999999999</v>
      </c>
      <c r="K73">
        <v>1</v>
      </c>
      <c r="L73" s="13">
        <v>1.0995999999999999</v>
      </c>
      <c r="M73" s="12">
        <v>1.4</v>
      </c>
      <c r="N73" s="12">
        <v>-2.2885</v>
      </c>
      <c r="O73" s="12">
        <v>66.674999999999997</v>
      </c>
      <c r="P73" s="14">
        <v>0</v>
      </c>
      <c r="Q73" s="14">
        <v>0</v>
      </c>
      <c r="R73" s="1">
        <v>2</v>
      </c>
      <c r="S73" s="15">
        <v>0.18</v>
      </c>
      <c r="T73" s="15">
        <v>-36.841361487904734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3">
        <v>0.18</v>
      </c>
      <c r="AB73" s="12">
        <v>1.1000000000000001</v>
      </c>
      <c r="AC73" s="16">
        <v>-33.319000000000003</v>
      </c>
      <c r="AD73" s="16">
        <v>5.3752000000000004</v>
      </c>
      <c r="AE73" s="16">
        <v>3.1280000000000001</v>
      </c>
      <c r="AF73" s="16">
        <v>-1.8021</v>
      </c>
      <c r="AG73" s="16">
        <v>0</v>
      </c>
      <c r="AH73" s="16">
        <v>0</v>
      </c>
      <c r="AI73" s="16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</row>
    <row r="74" spans="1:44">
      <c r="A74">
        <v>71</v>
      </c>
      <c r="B74" t="s">
        <v>101</v>
      </c>
      <c r="C74">
        <v>909</v>
      </c>
      <c r="D74">
        <v>1256</v>
      </c>
      <c r="E74">
        <v>0.15901000000000001</v>
      </c>
      <c r="F74" s="4">
        <v>2.0999999999999999E-14</v>
      </c>
      <c r="G74" s="12">
        <v>1.6061E-12</v>
      </c>
      <c r="H74" s="12">
        <v>0.35289999999999999</v>
      </c>
      <c r="I74" s="12">
        <v>-1.9686999999999999</v>
      </c>
      <c r="J74" s="12">
        <v>2.1236999999999999</v>
      </c>
      <c r="K74">
        <v>1</v>
      </c>
      <c r="L74" s="13">
        <v>1.0995999999999999</v>
      </c>
      <c r="M74" s="12">
        <v>1.4033</v>
      </c>
      <c r="N74" s="12">
        <v>-2.2875000000000001</v>
      </c>
      <c r="O74" s="12">
        <v>66.772000000000006</v>
      </c>
      <c r="P74" s="14">
        <v>0</v>
      </c>
      <c r="Q74" s="14">
        <v>0</v>
      </c>
      <c r="R74" s="1">
        <v>2</v>
      </c>
      <c r="S74" s="15">
        <v>0.18</v>
      </c>
      <c r="T74" s="15">
        <v>-36.841361487904734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3">
        <v>0.18</v>
      </c>
      <c r="AB74" s="12">
        <v>1.1000000000000001</v>
      </c>
      <c r="AC74" s="16">
        <v>-33.621000000000002</v>
      </c>
      <c r="AD74" s="16">
        <v>5.6165000000000003</v>
      </c>
      <c r="AE74" s="16">
        <v>2.7018</v>
      </c>
      <c r="AF74" s="16">
        <v>-1.5645</v>
      </c>
      <c r="AG74" s="16">
        <v>0</v>
      </c>
      <c r="AH74" s="16">
        <v>0</v>
      </c>
      <c r="AI74" s="16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</row>
    <row r="75" spans="1:44">
      <c r="A75">
        <v>72</v>
      </c>
      <c r="B75" t="s">
        <v>102</v>
      </c>
      <c r="C75">
        <v>823</v>
      </c>
      <c r="D75" s="10">
        <v>1256</v>
      </c>
      <c r="E75">
        <v>0.15901000000000001</v>
      </c>
      <c r="F75" s="4">
        <v>3.4E-14</v>
      </c>
      <c r="G75" s="12">
        <v>1.6709000000000001E-12</v>
      </c>
      <c r="H75" s="12">
        <v>2.3546000000000001E-3</v>
      </c>
      <c r="I75" s="12">
        <v>-1.2228000000000001</v>
      </c>
      <c r="J75" s="12">
        <v>1.2295</v>
      </c>
      <c r="K75">
        <v>1</v>
      </c>
      <c r="L75" s="13">
        <v>1.0995999999999999</v>
      </c>
      <c r="M75" s="12">
        <v>1.4040999999999999</v>
      </c>
      <c r="N75" s="12">
        <v>-2.2871999999999999</v>
      </c>
      <c r="O75" s="12">
        <v>66.798000000000002</v>
      </c>
      <c r="P75" s="14">
        <v>0</v>
      </c>
      <c r="Q75" s="14">
        <v>0</v>
      </c>
      <c r="R75" s="1">
        <v>2</v>
      </c>
      <c r="S75" s="15">
        <v>0.18</v>
      </c>
      <c r="T75" s="15">
        <v>-36.841361487904734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3">
        <v>0.18</v>
      </c>
      <c r="AB75" s="12">
        <v>1.1000000000000001</v>
      </c>
      <c r="AC75" s="16">
        <v>-33.113</v>
      </c>
      <c r="AD75" s="16">
        <v>5.6391999999999998</v>
      </c>
      <c r="AE75" s="16">
        <v>2.8260999999999998</v>
      </c>
      <c r="AF75" s="16">
        <v>-1.6831</v>
      </c>
      <c r="AG75" s="16">
        <v>0</v>
      </c>
      <c r="AH75" s="16">
        <v>0</v>
      </c>
      <c r="AI75" s="16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</row>
    <row r="76" spans="1:44">
      <c r="A76">
        <v>73</v>
      </c>
      <c r="B76" t="s">
        <v>103</v>
      </c>
      <c r="C76">
        <v>464</v>
      </c>
      <c r="D76">
        <v>1250</v>
      </c>
      <c r="E76">
        <v>0.2475</v>
      </c>
      <c r="F76" s="4">
        <v>9.1E-16</v>
      </c>
      <c r="G76" s="12">
        <v>6.1000000000000003E-13</v>
      </c>
      <c r="H76" s="12">
        <v>0</v>
      </c>
      <c r="I76" s="12">
        <v>0</v>
      </c>
      <c r="J76" s="12">
        <v>0</v>
      </c>
      <c r="K76">
        <v>1</v>
      </c>
      <c r="L76" s="13">
        <v>2.656E-2</v>
      </c>
      <c r="M76" s="12">
        <v>0.36109999999999998</v>
      </c>
      <c r="N76" s="12">
        <v>-1.4935</v>
      </c>
      <c r="O76" s="12">
        <v>4.7194000000000003</v>
      </c>
      <c r="P76" s="14">
        <v>0</v>
      </c>
      <c r="Q76" s="14">
        <v>0</v>
      </c>
      <c r="R76" s="1">
        <v>2</v>
      </c>
      <c r="S76" s="15">
        <v>2.3E-2</v>
      </c>
      <c r="T76" s="15">
        <v>-36.841361487904734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3">
        <v>2.3E-2</v>
      </c>
      <c r="AB76" s="12">
        <v>2.5999999999999999E-2</v>
      </c>
      <c r="AC76" s="16">
        <v>457.2</v>
      </c>
      <c r="AD76" s="16">
        <v>-59231</v>
      </c>
      <c r="AE76" s="16">
        <v>2436700</v>
      </c>
      <c r="AF76" s="16">
        <v>-33240000</v>
      </c>
      <c r="AG76" s="16">
        <v>0</v>
      </c>
      <c r="AH76" s="16">
        <v>0</v>
      </c>
      <c r="AI76" s="16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</row>
    <row r="77" spans="1:44">
      <c r="A77">
        <v>74</v>
      </c>
      <c r="B77" t="s">
        <v>104</v>
      </c>
      <c r="C77">
        <v>670</v>
      </c>
      <c r="D77" s="10">
        <v>1250</v>
      </c>
      <c r="E77">
        <v>0.24462999999999999</v>
      </c>
      <c r="F77" s="4">
        <v>4.4E-16</v>
      </c>
      <c r="G77" s="12">
        <v>3.0999999999999999E-13</v>
      </c>
      <c r="H77" s="12">
        <v>0</v>
      </c>
      <c r="I77" s="12">
        <v>0</v>
      </c>
      <c r="J77" s="12">
        <v>0</v>
      </c>
      <c r="K77">
        <v>1</v>
      </c>
      <c r="L77" s="13">
        <v>2.9758E-2</v>
      </c>
      <c r="M77" s="12">
        <v>0.44656000000000001</v>
      </c>
      <c r="N77" s="12">
        <v>-1.4406000000000001</v>
      </c>
      <c r="O77" s="12">
        <v>4.9802</v>
      </c>
      <c r="P77" s="14">
        <v>0</v>
      </c>
      <c r="Q77" s="14">
        <v>0</v>
      </c>
      <c r="R77" s="1">
        <v>2</v>
      </c>
      <c r="S77" s="15">
        <v>2.5999999999999999E-2</v>
      </c>
      <c r="T77" s="15">
        <v>-36.841361487904734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3">
        <v>2.5999999999999999E-2</v>
      </c>
      <c r="AB77" s="12">
        <v>2.9000000000000001E-2</v>
      </c>
      <c r="AC77" s="16">
        <v>480.32</v>
      </c>
      <c r="AD77" s="16">
        <v>-56192</v>
      </c>
      <c r="AE77" s="16">
        <v>2086500</v>
      </c>
      <c r="AF77" s="16">
        <v>-25694000</v>
      </c>
      <c r="AG77" s="16">
        <v>0</v>
      </c>
      <c r="AH77" s="16">
        <v>0</v>
      </c>
      <c r="AI77" s="16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</row>
    <row r="78" spans="1:44">
      <c r="A78">
        <v>75</v>
      </c>
      <c r="B78" t="s">
        <v>105</v>
      </c>
      <c r="C78">
        <v>829</v>
      </c>
      <c r="D78">
        <v>1250</v>
      </c>
      <c r="E78">
        <v>0.159</v>
      </c>
      <c r="F78" s="4">
        <v>1.5E-17</v>
      </c>
      <c r="G78" s="12">
        <v>1.1383000000000001E-13</v>
      </c>
      <c r="H78" s="12">
        <v>9.7079999999999996E-3</v>
      </c>
      <c r="I78" s="12">
        <v>-2.1326999999999998</v>
      </c>
      <c r="J78" s="12">
        <v>0.86873999999999996</v>
      </c>
      <c r="K78">
        <v>1</v>
      </c>
      <c r="L78" s="13">
        <v>1.0995999999999999</v>
      </c>
      <c r="M78" s="12">
        <v>1.4286000000000001</v>
      </c>
      <c r="N78" s="12">
        <v>-2.2789999999999999</v>
      </c>
      <c r="O78" s="12">
        <v>67.513000000000005</v>
      </c>
      <c r="P78" s="14">
        <v>0</v>
      </c>
      <c r="Q78" s="14">
        <v>0</v>
      </c>
      <c r="R78" s="1">
        <v>2</v>
      </c>
      <c r="S78" s="15">
        <v>0.18</v>
      </c>
      <c r="T78" s="15">
        <v>-36.841361487904734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3">
        <v>0.18</v>
      </c>
      <c r="AB78" s="12">
        <v>1.1000000000000001</v>
      </c>
      <c r="AC78" s="16">
        <v>-36.045000000000002</v>
      </c>
      <c r="AD78" s="16">
        <v>5.4901</v>
      </c>
      <c r="AE78" s="16">
        <v>2.9458000000000002</v>
      </c>
      <c r="AF78" s="16">
        <v>-1.7077</v>
      </c>
      <c r="AG78" s="16">
        <v>0</v>
      </c>
      <c r="AH78" s="16">
        <v>0</v>
      </c>
      <c r="AI78" s="16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</row>
    <row r="79" spans="1:44">
      <c r="A79">
        <v>76</v>
      </c>
      <c r="B79" t="s">
        <v>106</v>
      </c>
      <c r="C79">
        <v>700</v>
      </c>
      <c r="D79" s="10">
        <v>870</v>
      </c>
      <c r="E79">
        <v>0.16</v>
      </c>
      <c r="F79" s="4">
        <v>5.6999999999999997E-14</v>
      </c>
      <c r="G79" s="12">
        <v>6.1233000000000005E-11</v>
      </c>
      <c r="H79" s="12">
        <v>2.2334E-2</v>
      </c>
      <c r="I79" s="12">
        <v>-0.71840999999999999</v>
      </c>
      <c r="J79" s="12">
        <v>1.2532000000000001</v>
      </c>
      <c r="K79">
        <v>1</v>
      </c>
      <c r="L79" s="13">
        <v>0.56977999999999995</v>
      </c>
      <c r="M79" s="12">
        <v>0.18551999999999999</v>
      </c>
      <c r="N79" s="12">
        <v>-1.6445000000000001</v>
      </c>
      <c r="O79" s="12">
        <v>75.811000000000007</v>
      </c>
      <c r="P79" s="14">
        <v>0</v>
      </c>
      <c r="Q79" s="14">
        <v>0</v>
      </c>
      <c r="R79" s="1">
        <v>2</v>
      </c>
      <c r="S79" s="15">
        <v>0.13</v>
      </c>
      <c r="T79" s="15">
        <v>-36.841361487904734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3">
        <v>0.15</v>
      </c>
      <c r="AB79" s="12">
        <v>0.56999999999999995</v>
      </c>
      <c r="AC79" s="16">
        <v>-30.443999999999999</v>
      </c>
      <c r="AD79" s="16">
        <v>11.259</v>
      </c>
      <c r="AE79" s="16">
        <v>5.7655000000000003</v>
      </c>
      <c r="AF79" s="16">
        <v>-5.3673000000000002</v>
      </c>
      <c r="AG79" s="16">
        <v>0</v>
      </c>
      <c r="AH79" s="16">
        <v>0</v>
      </c>
      <c r="AI79" s="16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</row>
    <row r="80" spans="1:44">
      <c r="A80">
        <v>77</v>
      </c>
      <c r="B80" t="s">
        <v>107</v>
      </c>
      <c r="C80">
        <v>700</v>
      </c>
      <c r="D80">
        <v>870</v>
      </c>
      <c r="E80">
        <v>0.16</v>
      </c>
      <c r="F80" s="4">
        <v>3.7000000000000002E-15</v>
      </c>
      <c r="G80" s="12">
        <v>4.9935E-11</v>
      </c>
      <c r="H80" s="12">
        <v>3.3015000000000003E-2</v>
      </c>
      <c r="I80" s="12">
        <v>-3.3302</v>
      </c>
      <c r="J80" s="12">
        <v>0.27390999999999999</v>
      </c>
      <c r="K80">
        <v>1</v>
      </c>
      <c r="L80" s="13">
        <v>0.56977999999999995</v>
      </c>
      <c r="M80" s="12">
        <v>0.18551000000000001</v>
      </c>
      <c r="N80" s="12">
        <v>-1.6445000000000001</v>
      </c>
      <c r="O80" s="12">
        <v>75.805999999999997</v>
      </c>
      <c r="P80" s="14">
        <v>0</v>
      </c>
      <c r="Q80" s="14">
        <v>0</v>
      </c>
      <c r="R80" s="1">
        <v>2</v>
      </c>
      <c r="S80" s="15">
        <v>0.13</v>
      </c>
      <c r="T80" s="15">
        <v>-36.841361487904734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3">
        <v>0.15</v>
      </c>
      <c r="AB80" s="12">
        <v>0.56999999999999995</v>
      </c>
      <c r="AC80" s="16">
        <v>-30.64</v>
      </c>
      <c r="AD80" s="16">
        <v>13.912000000000001</v>
      </c>
      <c r="AE80" s="16">
        <v>-1.5253000000000001</v>
      </c>
      <c r="AF80" s="16">
        <v>0.84153999999999995</v>
      </c>
      <c r="AG80" s="16">
        <v>0</v>
      </c>
      <c r="AH80" s="16">
        <v>0</v>
      </c>
      <c r="AI80" s="16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</row>
    <row r="81" spans="1:44">
      <c r="A81">
        <v>78</v>
      </c>
      <c r="B81" t="s">
        <v>108</v>
      </c>
      <c r="C81">
        <v>700</v>
      </c>
      <c r="D81" s="10">
        <v>870</v>
      </c>
      <c r="E81">
        <v>0.16</v>
      </c>
      <c r="F81" s="4">
        <v>4.2999999999999999E-16</v>
      </c>
      <c r="G81" s="12">
        <v>3.0538000000000001E-11</v>
      </c>
      <c r="H81" s="12">
        <v>0.27182000000000001</v>
      </c>
      <c r="I81" s="12">
        <v>-2.5461999999999998</v>
      </c>
      <c r="J81" s="12">
        <v>1.4272</v>
      </c>
      <c r="K81">
        <v>1</v>
      </c>
      <c r="L81" s="13">
        <v>0.56977999999999995</v>
      </c>
      <c r="M81" s="12">
        <v>0.18551999999999999</v>
      </c>
      <c r="N81" s="12">
        <v>-1.6445000000000001</v>
      </c>
      <c r="O81" s="12">
        <v>75.811000000000007</v>
      </c>
      <c r="P81" s="14">
        <v>0</v>
      </c>
      <c r="Q81" s="14">
        <v>0</v>
      </c>
      <c r="R81" s="1">
        <v>2</v>
      </c>
      <c r="S81" s="15">
        <v>0.13</v>
      </c>
      <c r="T81" s="15">
        <v>-36.841361487904734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3">
        <v>0.15</v>
      </c>
      <c r="AB81" s="12">
        <v>0.56999999999999995</v>
      </c>
      <c r="AC81" s="16">
        <v>-31.073</v>
      </c>
      <c r="AD81" s="16">
        <v>13.814</v>
      </c>
      <c r="AE81" s="16">
        <v>-1.1346000000000001</v>
      </c>
      <c r="AF81" s="16">
        <v>0.30691000000000002</v>
      </c>
      <c r="AG81" s="16">
        <v>0</v>
      </c>
      <c r="AH81" s="16">
        <v>0</v>
      </c>
      <c r="AI81" s="16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</row>
    <row r="82" spans="1:44">
      <c r="A82">
        <v>79</v>
      </c>
      <c r="B82" t="s">
        <v>109</v>
      </c>
      <c r="C82">
        <v>1140</v>
      </c>
      <c r="D82">
        <v>840</v>
      </c>
      <c r="E82">
        <v>0.58799999999999997</v>
      </c>
      <c r="F82" s="4">
        <v>1.3999999999999999E-25</v>
      </c>
      <c r="G82" s="12">
        <v>3.1949E-12</v>
      </c>
      <c r="H82" s="12">
        <v>9.6351000000000006E-2</v>
      </c>
      <c r="I82" s="12">
        <v>-0.2341</v>
      </c>
      <c r="J82" s="12">
        <v>9.3222000000000005</v>
      </c>
      <c r="K82">
        <v>1</v>
      </c>
      <c r="L82" s="13">
        <v>7.5791999999999998E-2</v>
      </c>
      <c r="M82" s="12">
        <v>0.51273000000000002</v>
      </c>
      <c r="N82" s="12">
        <v>-0.89517999999999998</v>
      </c>
      <c r="O82" s="12">
        <v>31.486000000000001</v>
      </c>
      <c r="P82" s="14">
        <v>0</v>
      </c>
      <c r="Q82" s="14">
        <v>0</v>
      </c>
      <c r="R82" s="1">
        <v>2</v>
      </c>
      <c r="S82" s="15">
        <v>4.8000000000000001E-2</v>
      </c>
      <c r="T82" s="15">
        <v>-36.841361487904734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3">
        <v>4.8000000000000001E-2</v>
      </c>
      <c r="AB82" s="12">
        <v>0.09</v>
      </c>
      <c r="AC82" s="16">
        <v>-30.156749760236803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</row>
    <row r="83" spans="1:44">
      <c r="A83">
        <v>80</v>
      </c>
      <c r="B83" t="s">
        <v>92</v>
      </c>
      <c r="C83" s="2">
        <v>32</v>
      </c>
      <c r="D83" s="11">
        <v>840</v>
      </c>
      <c r="E83">
        <v>4.3001999999999999E-2</v>
      </c>
      <c r="F83" s="4">
        <v>3.4999999999999999E-9</v>
      </c>
      <c r="G83" s="12">
        <v>1.7000000000000001E-10</v>
      </c>
      <c r="H83" s="12">
        <v>0</v>
      </c>
      <c r="I83" s="12">
        <v>0</v>
      </c>
      <c r="J83" s="12">
        <v>0</v>
      </c>
      <c r="K83">
        <v>2</v>
      </c>
      <c r="L83" s="13">
        <v>2.7903000000000001E-2</v>
      </c>
      <c r="M83" s="12">
        <v>0.64024000000000003</v>
      </c>
      <c r="N83" s="12">
        <v>-1.5874999999999999</v>
      </c>
      <c r="O83" s="12">
        <v>7.1897000000000002</v>
      </c>
      <c r="P83" s="12">
        <v>87</v>
      </c>
      <c r="Q83" s="12">
        <v>2.2224100929699547E-2</v>
      </c>
      <c r="R83" s="1">
        <v>2</v>
      </c>
      <c r="S83" s="15">
        <v>2.1999999999999999E-2</v>
      </c>
      <c r="T83" s="15">
        <v>-36.841361487904734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3">
        <v>2.3E-2</v>
      </c>
      <c r="AB83" s="12">
        <v>87</v>
      </c>
      <c r="AC83" s="16">
        <v>-18.420680743952367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</row>
  </sheetData>
  <phoneticPr fontId="1"/>
  <pageMargins left="0.75" right="0.75" top="1" bottom="1" header="0.51200000000000001" footer="0.51200000000000001"/>
  <pageSetup paperSize="9" orientation="portrait" verticalDpi="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1935-9EE1-9A48-B9FF-718AF086907E}">
  <dimension ref="A1:CQ89"/>
  <sheetViews>
    <sheetView workbookViewId="0">
      <selection activeCell="A63" sqref="A63"/>
    </sheetView>
  </sheetViews>
  <sheetFormatPr baseColWidth="10" defaultRowHeight="14"/>
  <cols>
    <col min="1" max="1" width="8.83203125" customWidth="1"/>
    <col min="2" max="2" width="42.83203125" bestFit="1" customWidth="1"/>
    <col min="3" max="6" width="8.83203125" customWidth="1"/>
    <col min="7" max="7" width="12.5" customWidth="1"/>
    <col min="8" max="8" width="10.33203125" customWidth="1"/>
    <col min="9" max="167" width="8.83203125" customWidth="1"/>
  </cols>
  <sheetData>
    <row r="1" spans="1:95" ht="17">
      <c r="A1" s="37" t="s">
        <v>140</v>
      </c>
      <c r="D1" s="29" t="s">
        <v>138</v>
      </c>
    </row>
    <row r="2" spans="1:95">
      <c r="A2" s="33" t="s">
        <v>141</v>
      </c>
      <c r="B2" s="38" t="s">
        <v>120</v>
      </c>
      <c r="C2" s="39" t="s">
        <v>6</v>
      </c>
      <c r="D2" s="39" t="s">
        <v>7</v>
      </c>
      <c r="E2" s="40" t="s">
        <v>8</v>
      </c>
      <c r="F2" s="41" t="s">
        <v>9</v>
      </c>
      <c r="G2" s="33">
        <v>0</v>
      </c>
      <c r="H2" s="33">
        <v>0.02</v>
      </c>
      <c r="I2" s="33">
        <v>0.04</v>
      </c>
      <c r="J2" s="33">
        <v>0.06</v>
      </c>
      <c r="K2" s="33">
        <v>0.08</v>
      </c>
      <c r="L2" s="33">
        <v>0.1</v>
      </c>
      <c r="M2" s="33">
        <v>0.12000000000000001</v>
      </c>
      <c r="N2" s="33">
        <v>0.14000000000000001</v>
      </c>
      <c r="O2" s="33">
        <v>0.16</v>
      </c>
      <c r="P2" s="33">
        <v>0.18</v>
      </c>
      <c r="Q2" s="33">
        <v>0.19999999999999998</v>
      </c>
      <c r="R2" s="33">
        <v>0.21999999999999997</v>
      </c>
      <c r="S2" s="33">
        <v>0.23999999999999996</v>
      </c>
      <c r="T2" s="33">
        <v>0.25999999999999995</v>
      </c>
      <c r="U2" s="33">
        <v>0.27999999999999997</v>
      </c>
      <c r="V2" s="33">
        <v>0.3</v>
      </c>
      <c r="W2" s="33">
        <v>0.32</v>
      </c>
      <c r="X2" s="33">
        <v>0.34</v>
      </c>
      <c r="Y2" s="33">
        <v>0.36000000000000004</v>
      </c>
      <c r="Z2" s="33">
        <v>0.38000000000000006</v>
      </c>
      <c r="AA2" s="33">
        <v>0.40000000000000008</v>
      </c>
      <c r="AB2" s="33">
        <v>0.4200000000000001</v>
      </c>
      <c r="AC2" s="33">
        <v>0.44000000000000011</v>
      </c>
      <c r="AD2" s="33">
        <v>0.46000000000000013</v>
      </c>
      <c r="AE2" s="33">
        <v>0.48000000000000015</v>
      </c>
      <c r="AF2" s="33">
        <v>0.50000000000000011</v>
      </c>
      <c r="AG2" s="33">
        <v>0.52000000000000013</v>
      </c>
      <c r="AH2" s="33">
        <v>0.54000000000000015</v>
      </c>
      <c r="AI2" s="33">
        <v>0.56000000000000016</v>
      </c>
      <c r="AJ2" s="33">
        <v>0.58000000000000018</v>
      </c>
      <c r="AK2" s="33">
        <v>0.6000000000000002</v>
      </c>
      <c r="AL2" s="33">
        <v>0.62000000000000022</v>
      </c>
      <c r="AM2" s="33">
        <v>0.64000000000000024</v>
      </c>
      <c r="AN2" s="33">
        <v>0.66000000000000025</v>
      </c>
      <c r="AO2" s="33">
        <v>0.68000000000000027</v>
      </c>
      <c r="AP2" s="33">
        <v>0.70000000000000029</v>
      </c>
      <c r="AQ2" s="33">
        <v>0.72000000000000031</v>
      </c>
      <c r="AR2" s="33">
        <v>0.74000000000000032</v>
      </c>
      <c r="AS2" s="33">
        <v>0.76000000000000034</v>
      </c>
      <c r="AT2" s="33">
        <v>0.78000000000000036</v>
      </c>
      <c r="AU2" s="33">
        <v>0.80000000000000038</v>
      </c>
      <c r="AV2" s="33">
        <v>0.8200000000000004</v>
      </c>
      <c r="AW2" s="33">
        <v>0.84000000000000041</v>
      </c>
      <c r="AX2" s="33">
        <v>0.86000000000000043</v>
      </c>
      <c r="AY2" s="33">
        <v>0.88000000000000045</v>
      </c>
      <c r="AZ2" s="33">
        <v>0.90000000000000047</v>
      </c>
      <c r="BA2" s="33">
        <v>0.92000000000000048</v>
      </c>
      <c r="BB2" s="33">
        <v>0.9400000000000005</v>
      </c>
      <c r="BC2" s="33">
        <v>0.96000000000000052</v>
      </c>
      <c r="BD2" s="33">
        <v>0.96100000000000052</v>
      </c>
      <c r="BE2" s="33">
        <v>0.96200000000000052</v>
      </c>
      <c r="BF2" s="33">
        <v>0.96300000000000052</v>
      </c>
      <c r="BG2" s="33">
        <v>0.96400000000000052</v>
      </c>
      <c r="BH2" s="33">
        <v>0.96500000000000052</v>
      </c>
      <c r="BI2" s="33">
        <v>0.96600000000000052</v>
      </c>
      <c r="BJ2" s="33">
        <v>0.96700000000000053</v>
      </c>
      <c r="BK2" s="33">
        <v>0.96800000000000053</v>
      </c>
      <c r="BL2" s="33">
        <v>0.96900000000000053</v>
      </c>
      <c r="BM2" s="33">
        <v>0.97000000000000053</v>
      </c>
      <c r="BN2" s="33">
        <v>0.97100000000000053</v>
      </c>
      <c r="BO2" s="33">
        <v>0.97200000000000053</v>
      </c>
      <c r="BP2" s="33">
        <v>0.97300000000000053</v>
      </c>
      <c r="BQ2" s="33">
        <v>0.97400000000000053</v>
      </c>
      <c r="BR2" s="33">
        <v>0.97500000000000053</v>
      </c>
      <c r="BS2" s="33">
        <v>0.97600000000000053</v>
      </c>
      <c r="BT2" s="33">
        <v>0.97700000000000053</v>
      </c>
      <c r="BU2" s="33">
        <v>0.97800000000000054</v>
      </c>
      <c r="BV2" s="33">
        <v>0.97900000000000054</v>
      </c>
      <c r="BW2" s="33">
        <v>0.98000000000000054</v>
      </c>
      <c r="BX2" s="33">
        <v>0.98100000000000054</v>
      </c>
      <c r="BY2" s="33">
        <v>0.98200000000000054</v>
      </c>
      <c r="BZ2" s="33">
        <v>0.98300000000000054</v>
      </c>
      <c r="CA2" s="33">
        <v>0.98400000000000054</v>
      </c>
      <c r="CB2" s="33">
        <v>0.98500000000000054</v>
      </c>
      <c r="CC2" s="33">
        <v>0.98600000000000054</v>
      </c>
      <c r="CD2" s="33">
        <v>0.98700000000000054</v>
      </c>
      <c r="CE2" s="33">
        <v>0.98800000000000054</v>
      </c>
      <c r="CF2" s="33">
        <v>0.98900000000000055</v>
      </c>
      <c r="CG2" s="33">
        <v>0.99000000000000055</v>
      </c>
      <c r="CH2" s="33">
        <v>0.99100000000000055</v>
      </c>
      <c r="CI2" s="33">
        <v>0.99200000000000055</v>
      </c>
      <c r="CJ2" s="33">
        <v>0.99300000000000055</v>
      </c>
      <c r="CK2" s="33">
        <v>0.99400000000000055</v>
      </c>
      <c r="CL2" s="33">
        <v>0.99500000000000055</v>
      </c>
      <c r="CM2" s="33">
        <v>0.99600000000000055</v>
      </c>
      <c r="CN2" s="33">
        <v>0.99700000000000055</v>
      </c>
      <c r="CO2" s="33">
        <v>0.99800000000000055</v>
      </c>
      <c r="CP2" s="33">
        <v>0.99900000000000055</v>
      </c>
      <c r="CQ2" s="33">
        <v>1.0000000000000004</v>
      </c>
    </row>
    <row r="3" spans="1:95">
      <c r="A3" s="3">
        <v>1</v>
      </c>
      <c r="B3" s="17" t="str">
        <f>データファイル用!$B4</f>
        <v>MEWS Aerated Concrete</v>
      </c>
      <c r="C3" s="18">
        <f>データファイル用!G4</f>
        <v>6.1555000000000001E-11</v>
      </c>
      <c r="D3" s="19">
        <f>データファイル用!H4</f>
        <v>4.5350000000000001E-2</v>
      </c>
      <c r="E3" s="20">
        <f>データファイル用!I4</f>
        <v>-1.7048000000000001</v>
      </c>
      <c r="F3" s="42">
        <f>データファイル用!J4</f>
        <v>1.2049000000000001</v>
      </c>
      <c r="G3" s="4">
        <f>$C3*IF(AND(G$2=0,$D3=0),1,G$2^$D3)*EXP($E3*(1-IF(AND(G$2=0,$F3=0),1,G$2^$F3)))</f>
        <v>0</v>
      </c>
      <c r="H3" s="4">
        <f t="shared" ref="H3:BS6" si="0">$C3*IF(AND(H$2=0,$D3=0),1,H$2^$D3)*EXP($E3*(1-IF(AND(H$2=0,$F3=0),1,H$2^$F3)))</f>
        <v>9.5164042572472122E-12</v>
      </c>
      <c r="I3" s="4">
        <f t="shared" si="0"/>
        <v>1.0018327225458146E-11</v>
      </c>
      <c r="J3" s="4">
        <f t="shared" si="0"/>
        <v>1.0433444240582026E-11</v>
      </c>
      <c r="K3" s="4">
        <f t="shared" si="0"/>
        <v>1.0825165580194442E-11</v>
      </c>
      <c r="L3" s="4">
        <f t="shared" si="0"/>
        <v>1.1212930845229764E-11</v>
      </c>
      <c r="M3" s="4">
        <f t="shared" si="0"/>
        <v>1.1605346040896646E-11</v>
      </c>
      <c r="N3" s="4">
        <f t="shared" si="0"/>
        <v>1.200709996426841E-11</v>
      </c>
      <c r="O3" s="4">
        <f t="shared" si="0"/>
        <v>1.2421155222653876E-11</v>
      </c>
      <c r="P3" s="4">
        <f t="shared" si="0"/>
        <v>1.2849617130041594E-11</v>
      </c>
      <c r="Q3" s="4">
        <f t="shared" si="0"/>
        <v>1.329413229919333E-11</v>
      </c>
      <c r="R3" s="4">
        <f t="shared" si="0"/>
        <v>1.3756091557642101E-11</v>
      </c>
      <c r="S3" s="4">
        <f t="shared" si="0"/>
        <v>1.4236741823641588E-11</v>
      </c>
      <c r="T3" s="4">
        <f t="shared" si="0"/>
        <v>1.4737251908197701E-11</v>
      </c>
      <c r="U3" s="4">
        <f t="shared" si="0"/>
        <v>1.5258753420263187E-11</v>
      </c>
      <c r="V3" s="4">
        <f t="shared" si="0"/>
        <v>1.5802367497397912E-11</v>
      </c>
      <c r="W3" s="4">
        <f t="shared" si="0"/>
        <v>1.6369223120051725E-11</v>
      </c>
      <c r="X3" s="4">
        <f t="shared" si="0"/>
        <v>1.6960470257084903E-11</v>
      </c>
      <c r="Y3" s="4">
        <f t="shared" si="0"/>
        <v>1.7577289752025284E-11</v>
      </c>
      <c r="Z3" s="4">
        <f t="shared" si="0"/>
        <v>1.8220901113950452E-11</v>
      </c>
      <c r="AA3" s="4">
        <f t="shared" si="0"/>
        <v>1.8892568945303547E-11</v>
      </c>
      <c r="AB3" s="4">
        <f t="shared" si="0"/>
        <v>1.9593608480774483E-11</v>
      </c>
      <c r="AC3" s="4">
        <f t="shared" si="0"/>
        <v>2.0325390552434935E-11</v>
      </c>
      <c r="AD3" s="4">
        <f t="shared" si="0"/>
        <v>2.1089346195972715E-11</v>
      </c>
      <c r="AE3" s="4">
        <f t="shared" si="0"/>
        <v>2.1886971048114512E-11</v>
      </c>
      <c r="AF3" s="4">
        <f t="shared" si="0"/>
        <v>2.2719829642725325E-11</v>
      </c>
      <c r="AG3" s="4">
        <f t="shared" si="0"/>
        <v>2.3589559684581305E-11</v>
      </c>
      <c r="AH3" s="4">
        <f t="shared" si="0"/>
        <v>2.4497876360492414E-11</v>
      </c>
      <c r="AI3" s="4">
        <f t="shared" si="0"/>
        <v>2.5446576734205907E-11</v>
      </c>
      <c r="AJ3" s="4">
        <f t="shared" si="0"/>
        <v>2.6437544262371307E-11</v>
      </c>
      <c r="AK3" s="4">
        <f t="shared" si="0"/>
        <v>2.7472753462503301E-11</v>
      </c>
      <c r="AL3" s="4">
        <f t="shared" si="0"/>
        <v>2.8554274759489427E-11</v>
      </c>
      <c r="AM3" s="4">
        <f t="shared" si="0"/>
        <v>2.9684279534180363E-11</v>
      </c>
      <c r="AN3" s="4">
        <f t="shared" si="0"/>
        <v>3.0865045395585048E-11</v>
      </c>
      <c r="AO3" s="4">
        <f t="shared" si="0"/>
        <v>3.2098961696900092E-11</v>
      </c>
      <c r="AP3" s="4">
        <f t="shared" si="0"/>
        <v>3.3388535314848201E-11</v>
      </c>
      <c r="AQ3" s="4">
        <f t="shared" si="0"/>
        <v>3.473639671145097E-11</v>
      </c>
      <c r="AR3" s="4">
        <f t="shared" si="0"/>
        <v>3.6145306297326198E-11</v>
      </c>
      <c r="AS3" s="4">
        <f t="shared" si="0"/>
        <v>3.7618161115809518E-11</v>
      </c>
      <c r="AT3" s="4">
        <f t="shared" si="0"/>
        <v>3.9158001867611462E-11</v>
      </c>
      <c r="AU3" s="4">
        <f t="shared" si="0"/>
        <v>4.0768020296295998E-11</v>
      </c>
      <c r="AV3" s="4">
        <f t="shared" si="0"/>
        <v>4.245156695558356E-11</v>
      </c>
      <c r="AW3" s="4">
        <f t="shared" si="0"/>
        <v>4.4212159380322518E-11</v>
      </c>
      <c r="AX3" s="4">
        <f t="shared" si="0"/>
        <v>4.6053490683925581E-11</v>
      </c>
      <c r="AY3" s="4">
        <f t="shared" si="0"/>
        <v>4.7979438606124514E-11</v>
      </c>
      <c r="AZ3" s="4">
        <f t="shared" si="0"/>
        <v>4.9994075036052409E-11</v>
      </c>
      <c r="BA3" s="4">
        <f t="shared" si="0"/>
        <v>5.2101676036914064E-11</v>
      </c>
      <c r="BB3" s="4">
        <f t="shared" si="0"/>
        <v>5.4306732399852037E-11</v>
      </c>
      <c r="BC3" s="4">
        <f t="shared" si="0"/>
        <v>5.661396075605752E-11</v>
      </c>
      <c r="BD3" s="4">
        <f t="shared" si="0"/>
        <v>5.6732092010712545E-11</v>
      </c>
      <c r="BE3" s="4">
        <f t="shared" si="0"/>
        <v>5.6850491664149054E-11</v>
      </c>
      <c r="BF3" s="4">
        <f t="shared" si="0"/>
        <v>5.6969160353206359E-11</v>
      </c>
      <c r="BG3" s="4">
        <f t="shared" si="0"/>
        <v>5.7088098716292645E-11</v>
      </c>
      <c r="BH3" s="4">
        <f t="shared" si="0"/>
        <v>5.7207307393388958E-11</v>
      </c>
      <c r="BI3" s="4">
        <f t="shared" si="0"/>
        <v>5.7326787026053175E-11</v>
      </c>
      <c r="BJ3" s="4">
        <f t="shared" si="0"/>
        <v>5.7446538257424039E-11</v>
      </c>
      <c r="BK3" s="4">
        <f t="shared" si="0"/>
        <v>5.7566561732225106E-11</v>
      </c>
      <c r="BL3" s="4">
        <f t="shared" si="0"/>
        <v>5.7686858096768828E-11</v>
      </c>
      <c r="BM3" s="4">
        <f t="shared" si="0"/>
        <v>5.7807427998960493E-11</v>
      </c>
      <c r="BN3" s="4">
        <f t="shared" si="0"/>
        <v>5.7928272088302362E-11</v>
      </c>
      <c r="BO3" s="4">
        <f t="shared" si="0"/>
        <v>5.8049391015897662E-11</v>
      </c>
      <c r="BP3" s="4">
        <f t="shared" si="0"/>
        <v>5.8170785434454618E-11</v>
      </c>
      <c r="BQ3" s="4">
        <f t="shared" si="0"/>
        <v>5.8292455998290588E-11</v>
      </c>
      <c r="BR3" s="4">
        <f t="shared" si="0"/>
        <v>5.8414403363336122E-11</v>
      </c>
      <c r="BS3" s="4">
        <f t="shared" si="0"/>
        <v>5.8536628187138968E-11</v>
      </c>
      <c r="BT3" s="4">
        <f t="shared" ref="BT3:CQ13" si="1">$C3*IF(AND(BT$2=0,$D3=0),1,BT$2^$D3)*EXP($E3*(1-IF(AND(BT$2=0,$F3=0),1,BT$2^$F3)))</f>
        <v>5.8659131128868358E-11</v>
      </c>
      <c r="BU3" s="4">
        <f t="shared" si="1"/>
        <v>5.8781912849318869E-11</v>
      </c>
      <c r="BV3" s="4">
        <f t="shared" si="1"/>
        <v>5.8904974010914791E-11</v>
      </c>
      <c r="BW3" s="4">
        <f t="shared" si="1"/>
        <v>5.9028315277714108E-11</v>
      </c>
      <c r="BX3" s="4">
        <f t="shared" si="1"/>
        <v>5.9151937315412689E-11</v>
      </c>
      <c r="BY3" s="4">
        <f t="shared" si="1"/>
        <v>5.9275840791348393E-11</v>
      </c>
      <c r="BZ3" s="4">
        <f t="shared" si="1"/>
        <v>5.9400026374505362E-11</v>
      </c>
      <c r="CA3" s="4">
        <f t="shared" si="1"/>
        <v>5.9524494735518029E-11</v>
      </c>
      <c r="CB3" s="4">
        <f t="shared" si="1"/>
        <v>5.9649246546675434E-11</v>
      </c>
      <c r="CC3" s="4">
        <f t="shared" si="1"/>
        <v>5.9774282481925371E-11</v>
      </c>
      <c r="CD3" s="4">
        <f t="shared" si="1"/>
        <v>5.9899603216878567E-11</v>
      </c>
      <c r="CE3" s="4">
        <f t="shared" si="1"/>
        <v>6.0025209428812968E-11</v>
      </c>
      <c r="CF3" s="4">
        <f t="shared" si="1"/>
        <v>6.0151101796677917E-11</v>
      </c>
      <c r="CG3" s="4">
        <f t="shared" si="1"/>
        <v>6.0277281001098443E-11</v>
      </c>
      <c r="CH3" s="4">
        <f t="shared" si="1"/>
        <v>6.0403747724379411E-11</v>
      </c>
      <c r="CI3" s="4">
        <f t="shared" si="1"/>
        <v>6.0530502650509945E-11</v>
      </c>
      <c r="CJ3" s="4">
        <f t="shared" si="1"/>
        <v>6.0657546465167556E-11</v>
      </c>
      <c r="CK3" s="4">
        <f t="shared" si="1"/>
        <v>6.0784879855722494E-11</v>
      </c>
      <c r="CL3" s="4">
        <f t="shared" si="1"/>
        <v>6.0912503511242083E-11</v>
      </c>
      <c r="CM3" s="4">
        <f t="shared" si="1"/>
        <v>6.1040418122494914E-11</v>
      </c>
      <c r="CN3" s="4">
        <f t="shared" si="1"/>
        <v>6.1168624381955276E-11</v>
      </c>
      <c r="CO3" s="4">
        <f t="shared" si="1"/>
        <v>6.1297122983807407E-11</v>
      </c>
      <c r="CP3" s="4">
        <f t="shared" si="1"/>
        <v>6.1425914623949905E-11</v>
      </c>
      <c r="CQ3" s="4">
        <f t="shared" si="1"/>
        <v>6.155500000000004E-11</v>
      </c>
    </row>
    <row r="4" spans="1:95">
      <c r="A4" s="3">
        <v>2</v>
      </c>
      <c r="B4" s="17" t="str">
        <f>データファイル用!$B5</f>
        <v>MEWS Oriented Strand Board</v>
      </c>
      <c r="C4" s="18">
        <f>データファイル用!G5</f>
        <v>4.8884000000000001E-12</v>
      </c>
      <c r="D4" s="19">
        <f>データファイル用!H5</f>
        <v>1.5423</v>
      </c>
      <c r="E4" s="20">
        <f>データファイル用!I5</f>
        <v>-4.4467999999999996</v>
      </c>
      <c r="F4" s="42">
        <f>データファイル用!J5</f>
        <v>0.10745</v>
      </c>
      <c r="G4" s="4">
        <f t="shared" ref="G4:V26" si="2">$C4*IF(AND(G$2=0,$D4=0),1,G$2^$D4)*EXP($E4*(1-IF(AND(G$2=0,$F4=0),1,G$2^$F4)))</f>
        <v>0</v>
      </c>
      <c r="H4" s="4">
        <f t="shared" si="0"/>
        <v>2.5473401804712395E-15</v>
      </c>
      <c r="I4" s="4">
        <f t="shared" si="0"/>
        <v>9.2992089963168835E-15</v>
      </c>
      <c r="J4" s="4">
        <f t="shared" si="0"/>
        <v>1.9993277748605941E-14</v>
      </c>
      <c r="K4" s="4">
        <f t="shared" si="0"/>
        <v>3.4545293466301806E-14</v>
      </c>
      <c r="L4" s="4">
        <f t="shared" si="0"/>
        <v>5.291497031036667E-14</v>
      </c>
      <c r="M4" s="4">
        <f t="shared" si="0"/>
        <v>7.5081360155730851E-14</v>
      </c>
      <c r="N4" s="4">
        <f t="shared" si="0"/>
        <v>1.0103387983325681E-13</v>
      </c>
      <c r="O4" s="4">
        <f t="shared" si="0"/>
        <v>1.3076814961511441E-13</v>
      </c>
      <c r="P4" s="4">
        <f t="shared" si="0"/>
        <v>1.642837754165498E-13</v>
      </c>
      <c r="Q4" s="4">
        <f t="shared" si="0"/>
        <v>2.015830526958989E-13</v>
      </c>
      <c r="R4" s="4">
        <f t="shared" si="0"/>
        <v>2.4267015722561117E-13</v>
      </c>
      <c r="S4" s="4">
        <f t="shared" si="0"/>
        <v>2.8755061402557154E-13</v>
      </c>
      <c r="T4" s="4">
        <f t="shared" si="0"/>
        <v>3.3623093501974938E-13</v>
      </c>
      <c r="U4" s="4">
        <f t="shared" si="0"/>
        <v>3.8871836398991475E-13</v>
      </c>
      <c r="V4" s="4">
        <f t="shared" si="0"/>
        <v>4.4502069243030169E-13</v>
      </c>
      <c r="W4" s="4">
        <f t="shared" si="0"/>
        <v>5.0514612376309509E-13</v>
      </c>
      <c r="X4" s="4">
        <f t="shared" si="0"/>
        <v>5.691031714321418E-13</v>
      </c>
      <c r="Y4" s="4">
        <f t="shared" si="0"/>
        <v>6.3690058127499412E-13</v>
      </c>
      <c r="Z4" s="4">
        <f t="shared" si="0"/>
        <v>7.0854727163765923E-13</v>
      </c>
      <c r="AA4" s="4">
        <f t="shared" si="0"/>
        <v>7.8405228667835892E-13</v>
      </c>
      <c r="AB4" s="4">
        <f t="shared" si="0"/>
        <v>8.6342475962254702E-13</v>
      </c>
      <c r="AC4" s="4">
        <f t="shared" si="0"/>
        <v>9.4667388362558665E-13</v>
      </c>
      <c r="AD4" s="4">
        <f t="shared" si="0"/>
        <v>1.0338088885195172E-12</v>
      </c>
      <c r="AE4" s="4">
        <f t="shared" si="0"/>
        <v>1.1248390221582536E-12</v>
      </c>
      <c r="AF4" s="4">
        <f t="shared" si="0"/>
        <v>1.2197735353898746E-12</v>
      </c>
      <c r="AG4" s="4">
        <f t="shared" si="0"/>
        <v>1.3186216699136241E-12</v>
      </c>
      <c r="AH4" s="4">
        <f t="shared" si="0"/>
        <v>1.4213926484483148E-12</v>
      </c>
      <c r="AI4" s="4">
        <f t="shared" si="0"/>
        <v>1.5280956667651571E-12</v>
      </c>
      <c r="AJ4" s="4">
        <f t="shared" si="0"/>
        <v>1.6387398872334635E-12</v>
      </c>
      <c r="AK4" s="4">
        <f t="shared" si="0"/>
        <v>1.7533344336005925E-12</v>
      </c>
      <c r="AL4" s="4">
        <f t="shared" si="0"/>
        <v>1.8718883867836086E-12</v>
      </c>
      <c r="AM4" s="4">
        <f t="shared" si="0"/>
        <v>1.9944107814938256E-12</v>
      </c>
      <c r="AN4" s="4">
        <f t="shared" si="0"/>
        <v>2.1209106035495423E-12</v>
      </c>
      <c r="AO4" s="4">
        <f t="shared" si="0"/>
        <v>2.2513967877593232E-12</v>
      </c>
      <c r="AP4" s="4">
        <f t="shared" si="0"/>
        <v>2.3858782162796E-12</v>
      </c>
      <c r="AQ4" s="4">
        <f t="shared" si="0"/>
        <v>2.5243637173675359E-12</v>
      </c>
      <c r="AR4" s="4">
        <f t="shared" si="0"/>
        <v>2.6668620644639241E-12</v>
      </c>
      <c r="AS4" s="4">
        <f t="shared" si="0"/>
        <v>2.8133819755520282E-12</v>
      </c>
      <c r="AT4" s="4">
        <f t="shared" si="0"/>
        <v>2.963932112747404E-12</v>
      </c>
      <c r="AU4" s="4">
        <f t="shared" si="0"/>
        <v>3.1185210820811541E-12</v>
      </c>
      <c r="AV4" s="4">
        <f t="shared" si="0"/>
        <v>3.2771574334451605E-12</v>
      </c>
      <c r="AW4" s="4">
        <f t="shared" si="0"/>
        <v>3.4398496606729022E-12</v>
      </c>
      <c r="AX4" s="4">
        <f t="shared" si="0"/>
        <v>3.6066062017336013E-12</v>
      </c>
      <c r="AY4" s="4">
        <f t="shared" si="0"/>
        <v>3.7774354390209189E-12</v>
      </c>
      <c r="AZ4" s="4">
        <f t="shared" si="0"/>
        <v>3.9523456997203275E-12</v>
      </c>
      <c r="BA4" s="4">
        <f t="shared" si="0"/>
        <v>4.1313452562416874E-12</v>
      </c>
      <c r="BB4" s="4">
        <f t="shared" si="0"/>
        <v>4.3144423267055766E-12</v>
      </c>
      <c r="BC4" s="4">
        <f t="shared" si="0"/>
        <v>4.5016450754736597E-12</v>
      </c>
      <c r="BD4" s="4">
        <f t="shared" si="0"/>
        <v>4.5111131326867256E-12</v>
      </c>
      <c r="BE4" s="4">
        <f t="shared" si="0"/>
        <v>4.5205914753948316E-12</v>
      </c>
      <c r="BF4" s="4">
        <f t="shared" si="0"/>
        <v>4.5300801046080718E-12</v>
      </c>
      <c r="BG4" s="4">
        <f t="shared" si="0"/>
        <v>4.5395790213362181E-12</v>
      </c>
      <c r="BH4" s="4">
        <f t="shared" si="0"/>
        <v>4.5490882265887096E-12</v>
      </c>
      <c r="BI4" s="4">
        <f t="shared" si="0"/>
        <v>4.5586077213746572E-12</v>
      </c>
      <c r="BJ4" s="4">
        <f t="shared" si="0"/>
        <v>4.5681375067028474E-12</v>
      </c>
      <c r="BK4" s="4">
        <f t="shared" si="0"/>
        <v>4.5776775835817353E-12</v>
      </c>
      <c r="BL4" s="4">
        <f t="shared" si="0"/>
        <v>4.5872279530194537E-12</v>
      </c>
      <c r="BM4" s="4">
        <f t="shared" si="0"/>
        <v>4.5967886160237969E-12</v>
      </c>
      <c r="BN4" s="4">
        <f t="shared" si="0"/>
        <v>4.6063595736022509E-12</v>
      </c>
      <c r="BO4" s="4">
        <f t="shared" si="0"/>
        <v>4.6159408267619556E-12</v>
      </c>
      <c r="BP4" s="4">
        <f t="shared" si="0"/>
        <v>4.625532376509736E-12</v>
      </c>
      <c r="BQ4" s="4">
        <f t="shared" si="0"/>
        <v>4.6351342238520893E-12</v>
      </c>
      <c r="BR4" s="4">
        <f t="shared" si="0"/>
        <v>4.6447463697951788E-12</v>
      </c>
      <c r="BS4" s="4">
        <f t="shared" si="0"/>
        <v>4.6543688153448512E-12</v>
      </c>
      <c r="BT4" s="4">
        <f t="shared" si="1"/>
        <v>4.6640015615066248E-12</v>
      </c>
      <c r="BU4" s="4">
        <f t="shared" si="1"/>
        <v>4.6736446092856893E-12</v>
      </c>
      <c r="BV4" s="4">
        <f t="shared" si="1"/>
        <v>4.6832979596869087E-12</v>
      </c>
      <c r="BW4" s="4">
        <f t="shared" si="1"/>
        <v>4.6929616137148266E-12</v>
      </c>
      <c r="BX4" s="4">
        <f t="shared" si="1"/>
        <v>4.702635572373654E-12</v>
      </c>
      <c r="BY4" s="4">
        <f t="shared" si="1"/>
        <v>4.7123198366672886E-12</v>
      </c>
      <c r="BZ4" s="4">
        <f t="shared" si="1"/>
        <v>4.7220144075992918E-12</v>
      </c>
      <c r="CA4" s="4">
        <f t="shared" si="1"/>
        <v>4.7317192861729062E-12</v>
      </c>
      <c r="CB4" s="4">
        <f t="shared" si="1"/>
        <v>4.7414344733910453E-12</v>
      </c>
      <c r="CC4" s="4">
        <f t="shared" si="1"/>
        <v>4.7511599702563063E-12</v>
      </c>
      <c r="CD4" s="4">
        <f t="shared" si="1"/>
        <v>4.7608957777709573E-12</v>
      </c>
      <c r="CE4" s="4">
        <f t="shared" si="1"/>
        <v>4.7706418969369428E-12</v>
      </c>
      <c r="CF4" s="4">
        <f t="shared" si="1"/>
        <v>4.7803983287558862E-12</v>
      </c>
      <c r="CG4" s="4">
        <f t="shared" si="1"/>
        <v>4.790165074229085E-12</v>
      </c>
      <c r="CH4" s="4">
        <f t="shared" si="1"/>
        <v>4.7999421343575141E-12</v>
      </c>
      <c r="CI4" s="4">
        <f t="shared" si="1"/>
        <v>4.8097295101418261E-12</v>
      </c>
      <c r="CJ4" s="4">
        <f t="shared" si="1"/>
        <v>4.8195272025823506E-12</v>
      </c>
      <c r="CK4" s="4">
        <f t="shared" si="1"/>
        <v>4.8293352126790957E-12</v>
      </c>
      <c r="CL4" s="4">
        <f t="shared" si="1"/>
        <v>4.839153541431747E-12</v>
      </c>
      <c r="CM4" s="4">
        <f t="shared" si="1"/>
        <v>4.8489821898396633E-12</v>
      </c>
      <c r="CN4" s="4">
        <f t="shared" si="1"/>
        <v>4.8588211589018895E-12</v>
      </c>
      <c r="CO4" s="4">
        <f t="shared" si="1"/>
        <v>4.868670449617143E-12</v>
      </c>
      <c r="CP4" s="4">
        <f t="shared" si="1"/>
        <v>4.8785300629838234E-12</v>
      </c>
      <c r="CQ4" s="4">
        <f t="shared" si="1"/>
        <v>4.8884000000000033E-12</v>
      </c>
    </row>
    <row r="5" spans="1:95">
      <c r="A5" s="3">
        <v>3</v>
      </c>
      <c r="B5" s="17" t="str">
        <f>データファイル用!$B6</f>
        <v>MEWS Plywood</v>
      </c>
      <c r="C5" s="18">
        <f>データファイル用!G6</f>
        <v>2.6904000000000001E-11</v>
      </c>
      <c r="D5" s="19">
        <f>データファイル用!H6</f>
        <v>3.1017000000000002E-3</v>
      </c>
      <c r="E5" s="20">
        <f>データファイル用!I6</f>
        <v>-4.53</v>
      </c>
      <c r="F5" s="42">
        <f>データファイル用!J6</f>
        <v>1.4008</v>
      </c>
      <c r="G5" s="4">
        <f t="shared" si="2"/>
        <v>0</v>
      </c>
      <c r="H5" s="4">
        <f t="shared" si="0"/>
        <v>2.9200885180343304E-13</v>
      </c>
      <c r="I5" s="4">
        <f t="shared" si="0"/>
        <v>3.0184664071747732E-13</v>
      </c>
      <c r="J5" s="4">
        <f t="shared" si="0"/>
        <v>3.1397519598543889E-13</v>
      </c>
      <c r="K5" s="4">
        <f t="shared" si="0"/>
        <v>3.2828572385805436E-13</v>
      </c>
      <c r="L5" s="4">
        <f t="shared" si="0"/>
        <v>3.4477739470155521E-13</v>
      </c>
      <c r="M5" s="4">
        <f t="shared" si="0"/>
        <v>3.6352304210041702E-13</v>
      </c>
      <c r="N5" s="4">
        <f t="shared" si="0"/>
        <v>3.8464905088120841E-13</v>
      </c>
      <c r="O5" s="4">
        <f t="shared" si="0"/>
        <v>4.0832604189848754E-13</v>
      </c>
      <c r="P5" s="4">
        <f t="shared" si="0"/>
        <v>4.3476512664008457E-13</v>
      </c>
      <c r="Q5" s="4">
        <f t="shared" si="0"/>
        <v>4.6421727725615325E-13</v>
      </c>
      <c r="R5" s="4">
        <f t="shared" si="0"/>
        <v>4.9697466635036461E-13</v>
      </c>
      <c r="S5" s="4">
        <f t="shared" si="0"/>
        <v>5.3337342727980755E-13</v>
      </c>
      <c r="T5" s="4">
        <f t="shared" si="0"/>
        <v>5.7379757664459879E-13</v>
      </c>
      <c r="U5" s="4">
        <f t="shared" si="0"/>
        <v>6.1868399525236631E-13</v>
      </c>
      <c r="V5" s="4">
        <f t="shared" si="0"/>
        <v>6.6852845433822212E-13</v>
      </c>
      <c r="W5" s="4">
        <f t="shared" si="0"/>
        <v>7.2389273300613324E-13</v>
      </c>
      <c r="X5" s="4">
        <f t="shared" si="0"/>
        <v>7.8541291664981079E-13</v>
      </c>
      <c r="Y5" s="4">
        <f t="shared" si="0"/>
        <v>8.5380900278326384E-13</v>
      </c>
      <c r="Z5" s="4">
        <f t="shared" si="0"/>
        <v>9.2989597490216732E-13</v>
      </c>
      <c r="AA5" s="4">
        <f t="shared" si="0"/>
        <v>1.0145965395564243E-12</v>
      </c>
      <c r="AB5" s="4">
        <f t="shared" si="0"/>
        <v>1.1089557586973777E-12</v>
      </c>
      <c r="AC5" s="4">
        <f t="shared" si="0"/>
        <v>1.2141578500928178E-12</v>
      </c>
      <c r="AD5" s="4">
        <f t="shared" si="0"/>
        <v>1.3315454745209305E-12</v>
      </c>
      <c r="AE5" s="4">
        <f t="shared" si="0"/>
        <v>1.4626418808704014E-12</v>
      </c>
      <c r="AF5" s="4">
        <f t="shared" si="0"/>
        <v>1.6091763405624037E-12</v>
      </c>
      <c r="AG5" s="4">
        <f t="shared" si="0"/>
        <v>1.7731133723820231E-12</v>
      </c>
      <c r="AH5" s="4">
        <f t="shared" si="0"/>
        <v>1.9566863395691674E-12</v>
      </c>
      <c r="AI5" s="4">
        <f t="shared" si="0"/>
        <v>2.1624360948325886E-12</v>
      </c>
      <c r="AJ5" s="4">
        <f t="shared" si="0"/>
        <v>2.3932554580884435E-12</v>
      </c>
      <c r="AK5" s="4">
        <f t="shared" si="0"/>
        <v>2.6524404388361562E-12</v>
      </c>
      <c r="AL5" s="4">
        <f t="shared" si="0"/>
        <v>2.9437492632684547E-12</v>
      </c>
      <c r="AM5" s="4">
        <f t="shared" si="0"/>
        <v>3.271470439102615E-12</v>
      </c>
      <c r="AN5" s="4">
        <f t="shared" si="0"/>
        <v>3.6405012929814937E-12</v>
      </c>
      <c r="AO5" s="4">
        <f t="shared" si="0"/>
        <v>4.0564386511398541E-12</v>
      </c>
      <c r="AP5" s="4">
        <f t="shared" si="0"/>
        <v>4.5256836097616123E-12</v>
      </c>
      <c r="AQ5" s="4">
        <f t="shared" si="0"/>
        <v>5.0555626640110678E-12</v>
      </c>
      <c r="AR5" s="4">
        <f t="shared" si="0"/>
        <v>5.6544678422860902E-12</v>
      </c>
      <c r="AS5" s="4">
        <f t="shared" si="0"/>
        <v>6.3320189344565991E-12</v>
      </c>
      <c r="AT5" s="4">
        <f t="shared" si="0"/>
        <v>7.0992514210912647E-12</v>
      </c>
      <c r="AU5" s="4">
        <f t="shared" si="0"/>
        <v>7.9688343183615017E-12</v>
      </c>
      <c r="AV5" s="4">
        <f t="shared" si="0"/>
        <v>8.955322866294224E-12</v>
      </c>
      <c r="AW5" s="4">
        <f t="shared" si="0"/>
        <v>1.0075451825048084E-11</v>
      </c>
      <c r="AX5" s="4">
        <f t="shared" si="0"/>
        <v>1.1348476127046643E-11</v>
      </c>
      <c r="AY5" s="4">
        <f t="shared" si="0"/>
        <v>1.2796566788294292E-11</v>
      </c>
      <c r="AZ5" s="4">
        <f t="shared" si="0"/>
        <v>1.4445271341004467E-11</v>
      </c>
      <c r="BA5" s="4">
        <f t="shared" si="0"/>
        <v>1.6324049648460563E-11</v>
      </c>
      <c r="BB5" s="4">
        <f t="shared" si="0"/>
        <v>1.8466897845254393E-11</v>
      </c>
      <c r="BC5" s="4">
        <f t="shared" si="0"/>
        <v>2.0913075363195911E-11</v>
      </c>
      <c r="BD5" s="4">
        <f t="shared" si="0"/>
        <v>2.1044131992231591E-11</v>
      </c>
      <c r="BE5" s="4">
        <f t="shared" si="0"/>
        <v>2.1176065003640323E-11</v>
      </c>
      <c r="BF5" s="4">
        <f t="shared" si="0"/>
        <v>2.1308880545892393E-11</v>
      </c>
      <c r="BG5" s="4">
        <f t="shared" si="0"/>
        <v>2.1442584812331248E-11</v>
      </c>
      <c r="BH5" s="4">
        <f t="shared" si="0"/>
        <v>2.1577184041512193E-11</v>
      </c>
      <c r="BI5" s="4">
        <f t="shared" si="0"/>
        <v>2.1712684517543758E-11</v>
      </c>
      <c r="BJ5" s="4">
        <f t="shared" si="0"/>
        <v>2.1849092570431635E-11</v>
      </c>
      <c r="BK5" s="4">
        <f t="shared" si="0"/>
        <v>2.1986414576425399E-11</v>
      </c>
      <c r="BL5" s="4">
        <f t="shared" si="0"/>
        <v>2.2124656958367813E-11</v>
      </c>
      <c r="BM5" s="4">
        <f t="shared" si="0"/>
        <v>2.2263826186046928E-11</v>
      </c>
      <c r="BN5" s="4">
        <f t="shared" si="0"/>
        <v>2.2403928776550907E-11</v>
      </c>
      <c r="BO5" s="4">
        <f t="shared" si="0"/>
        <v>2.2544971294625618E-11</v>
      </c>
      <c r="BP5" s="4">
        <f t="shared" si="0"/>
        <v>2.2686960353034903E-11</v>
      </c>
      <c r="BQ5" s="4">
        <f t="shared" si="0"/>
        <v>2.2829902612923911E-11</v>
      </c>
      <c r="BR5" s="4">
        <f t="shared" si="0"/>
        <v>2.2973804784184909E-11</v>
      </c>
      <c r="BS5" s="4">
        <f t="shared" si="0"/>
        <v>2.3118673625826298E-11</v>
      </c>
      <c r="BT5" s="4">
        <f t="shared" si="1"/>
        <v>2.3264515946344194E-11</v>
      </c>
      <c r="BU5" s="4">
        <f t="shared" si="1"/>
        <v>2.3411338604097162E-11</v>
      </c>
      <c r="BV5" s="4">
        <f t="shared" si="1"/>
        <v>2.3559148507683642E-11</v>
      </c>
      <c r="BW5" s="4">
        <f t="shared" si="1"/>
        <v>2.370795261632255E-11</v>
      </c>
      <c r="BX5" s="4">
        <f t="shared" si="1"/>
        <v>2.3857757940236611E-11</v>
      </c>
      <c r="BY5" s="4">
        <f t="shared" si="1"/>
        <v>2.4008571541038875E-11</v>
      </c>
      <c r="BZ5" s="4">
        <f t="shared" si="1"/>
        <v>2.4160400532122165E-11</v>
      </c>
      <c r="CA5" s="4">
        <f t="shared" si="1"/>
        <v>2.4313252079051517E-11</v>
      </c>
      <c r="CB5" s="4">
        <f t="shared" si="1"/>
        <v>2.4467133399959808E-11</v>
      </c>
      <c r="CC5" s="4">
        <f t="shared" si="1"/>
        <v>2.4622051765946302E-11</v>
      </c>
      <c r="CD5" s="4">
        <f t="shared" si="1"/>
        <v>2.4778014501478519E-11</v>
      </c>
      <c r="CE5" s="4">
        <f t="shared" si="1"/>
        <v>2.4935028984797037E-11</v>
      </c>
      <c r="CF5" s="4">
        <f t="shared" si="1"/>
        <v>2.5093102648323605E-11</v>
      </c>
      <c r="CG5" s="4">
        <f t="shared" si="1"/>
        <v>2.525224297907233E-11</v>
      </c>
      <c r="CH5" s="4">
        <f t="shared" si="1"/>
        <v>2.5412457519064173E-11</v>
      </c>
      <c r="CI5" s="4">
        <f t="shared" si="1"/>
        <v>2.5573753865744674E-11</v>
      </c>
      <c r="CJ5" s="4">
        <f t="shared" si="1"/>
        <v>2.5736139672404816E-11</v>
      </c>
      <c r="CK5" s="4">
        <f t="shared" si="1"/>
        <v>2.5899622648605337E-11</v>
      </c>
      <c r="CL5" s="4">
        <f t="shared" si="1"/>
        <v>2.6064210560604333E-11</v>
      </c>
      <c r="CM5" s="4">
        <f t="shared" si="1"/>
        <v>2.6229911231788099E-11</v>
      </c>
      <c r="CN5" s="4">
        <f t="shared" si="1"/>
        <v>2.6396732543105427E-11</v>
      </c>
      <c r="CO5" s="4">
        <f t="shared" si="1"/>
        <v>2.6564682433505353E-11</v>
      </c>
      <c r="CP5" s="4">
        <f t="shared" si="1"/>
        <v>2.6733768900378179E-11</v>
      </c>
      <c r="CQ5" s="4">
        <f t="shared" si="1"/>
        <v>2.6904000000000085E-11</v>
      </c>
    </row>
    <row r="6" spans="1:95">
      <c r="A6" s="3">
        <v>4</v>
      </c>
      <c r="B6" s="17" t="str">
        <f>データファイル用!$B7</f>
        <v>MEWS Building Membrane IA</v>
      </c>
      <c r="C6" s="18">
        <f>データファイル用!G7</f>
        <v>2.5688999999999998E-13</v>
      </c>
      <c r="D6" s="19">
        <f>データファイル用!H7</f>
        <v>3.3314999999999999E-4</v>
      </c>
      <c r="E6" s="20">
        <f>データファイル用!I7</f>
        <v>-0.12520000000000001</v>
      </c>
      <c r="F6" s="42">
        <f>データファイル用!J7</f>
        <v>0.95757999999999999</v>
      </c>
      <c r="G6" s="4">
        <f t="shared" si="2"/>
        <v>0</v>
      </c>
      <c r="H6" s="4">
        <f t="shared" si="0"/>
        <v>2.2703420492514744E-13</v>
      </c>
      <c r="I6" s="4">
        <f t="shared" si="0"/>
        <v>2.2771988756224913E-13</v>
      </c>
      <c r="J6" s="4">
        <f t="shared" si="0"/>
        <v>2.2837177644321942E-13</v>
      </c>
      <c r="K6" s="4">
        <f t="shared" si="0"/>
        <v>2.2900761519339548E-13</v>
      </c>
      <c r="L6" s="4">
        <f t="shared" si="0"/>
        <v>2.2963371303254273E-13</v>
      </c>
      <c r="M6" s="4">
        <f t="shared" si="0"/>
        <v>2.3025318918445373E-13</v>
      </c>
      <c r="N6" s="4">
        <f t="shared" si="0"/>
        <v>2.3086786624965685E-13</v>
      </c>
      <c r="O6" s="4">
        <f t="shared" si="0"/>
        <v>2.3147892465502118E-13</v>
      </c>
      <c r="P6" s="4">
        <f t="shared" si="0"/>
        <v>2.3208718444946439E-13</v>
      </c>
      <c r="Q6" s="4">
        <f t="shared" si="0"/>
        <v>2.3269324508549526E-13</v>
      </c>
      <c r="R6" s="4">
        <f t="shared" si="0"/>
        <v>2.3329756203938412E-13</v>
      </c>
      <c r="S6" s="4">
        <f t="shared" si="0"/>
        <v>2.3390049206494931E-13</v>
      </c>
      <c r="T6" s="4">
        <f t="shared" si="0"/>
        <v>2.34502321519071E-13</v>
      </c>
      <c r="U6" s="4">
        <f t="shared" si="0"/>
        <v>2.3510328493522706E-13</v>
      </c>
      <c r="V6" s="4">
        <f t="shared" si="0"/>
        <v>2.3570357767558566E-13</v>
      </c>
      <c r="W6" s="4">
        <f t="shared" si="0"/>
        <v>2.3630336482809002E-13</v>
      </c>
      <c r="X6" s="4">
        <f t="shared" si="0"/>
        <v>2.3690278763400167E-13</v>
      </c>
      <c r="Y6" s="4">
        <f t="shared" si="0"/>
        <v>2.3750196824012249E-13</v>
      </c>
      <c r="Z6" s="4">
        <f t="shared" si="0"/>
        <v>2.3810101328366835E-13</v>
      </c>
      <c r="AA6" s="4">
        <f t="shared" si="0"/>
        <v>2.387000166445629E-13</v>
      </c>
      <c r="AB6" s="4">
        <f t="shared" si="0"/>
        <v>2.3929906159161903E-13</v>
      </c>
      <c r="AC6" s="4">
        <f t="shared" si="0"/>
        <v>2.3989822247939059E-13</v>
      </c>
      <c r="AD6" s="4">
        <f t="shared" si="0"/>
        <v>2.4049756610647939E-13</v>
      </c>
      <c r="AE6" s="4">
        <f t="shared" si="0"/>
        <v>2.4109715281503201E-13</v>
      </c>
      <c r="AF6" s="4">
        <f t="shared" si="0"/>
        <v>2.4169703738976513E-13</v>
      </c>
      <c r="AG6" s="4">
        <f t="shared" si="0"/>
        <v>2.4229726979984873E-13</v>
      </c>
      <c r="AH6" s="4">
        <f t="shared" si="0"/>
        <v>2.4289789581626496E-13</v>
      </c>
      <c r="AI6" s="4">
        <f t="shared" si="0"/>
        <v>2.4349895752950672E-13</v>
      </c>
      <c r="AJ6" s="4">
        <f t="shared" si="0"/>
        <v>2.4410049378678346E-13</v>
      </c>
      <c r="AK6" s="4">
        <f t="shared" si="0"/>
        <v>2.4470254056366596E-13</v>
      </c>
      <c r="AL6" s="4">
        <f t="shared" si="0"/>
        <v>2.4530513128191618E-13</v>
      </c>
      <c r="AM6" s="4">
        <f t="shared" si="0"/>
        <v>2.4590829708282341E-13</v>
      </c>
      <c r="AN6" s="4">
        <f t="shared" si="0"/>
        <v>2.4651206706350556E-13</v>
      </c>
      <c r="AO6" s="4">
        <f t="shared" si="0"/>
        <v>2.471164684821932E-13</v>
      </c>
      <c r="AP6" s="4">
        <f t="shared" si="0"/>
        <v>2.4772152693737983E-13</v>
      </c>
      <c r="AQ6" s="4">
        <f t="shared" si="0"/>
        <v>2.4832726652483766E-13</v>
      </c>
      <c r="AR6" s="4">
        <f t="shared" si="0"/>
        <v>2.4893370997578445E-13</v>
      </c>
      <c r="AS6" s="4">
        <f t="shared" si="0"/>
        <v>2.4954087877892613E-13</v>
      </c>
      <c r="AT6" s="4">
        <f t="shared" si="0"/>
        <v>2.5014879328863911E-13</v>
      </c>
      <c r="AU6" s="4">
        <f t="shared" si="0"/>
        <v>2.5075747282119192E-13</v>
      </c>
      <c r="AV6" s="4">
        <f t="shared" si="0"/>
        <v>2.5136693574059816E-13</v>
      </c>
      <c r="AW6" s="4">
        <f t="shared" si="0"/>
        <v>2.519771995354514E-13</v>
      </c>
      <c r="AX6" s="4">
        <f t="shared" si="0"/>
        <v>2.5258828088788427E-13</v>
      </c>
      <c r="AY6" s="4">
        <f t="shared" si="0"/>
        <v>2.5320019573562816E-13</v>
      </c>
      <c r="AZ6" s="4">
        <f t="shared" si="0"/>
        <v>2.5381295932800731E-13</v>
      </c>
      <c r="BA6" s="4">
        <f t="shared" si="0"/>
        <v>2.5442658627658519E-13</v>
      </c>
      <c r="BB6" s="4">
        <f t="shared" si="0"/>
        <v>2.5504109060108009E-13</v>
      </c>
      <c r="BC6" s="4">
        <f t="shared" si="0"/>
        <v>2.5565648577108613E-13</v>
      </c>
      <c r="BD6" s="4">
        <f t="shared" si="0"/>
        <v>2.5568727914879463E-13</v>
      </c>
      <c r="BE6" s="4">
        <f t="shared" si="0"/>
        <v>2.557180747876969E-13</v>
      </c>
      <c r="BF6" s="4">
        <f t="shared" si="0"/>
        <v>2.5574887268937754E-13</v>
      </c>
      <c r="BG6" s="4">
        <f t="shared" si="0"/>
        <v>2.557796728554178E-13</v>
      </c>
      <c r="BH6" s="4">
        <f t="shared" si="0"/>
        <v>2.5581047528739601E-13</v>
      </c>
      <c r="BI6" s="4">
        <f t="shared" si="0"/>
        <v>2.5584127998688786E-13</v>
      </c>
      <c r="BJ6" s="4">
        <f t="shared" si="0"/>
        <v>2.5587208695546584E-13</v>
      </c>
      <c r="BK6" s="4">
        <f t="shared" si="0"/>
        <v>2.5590289619469954E-13</v>
      </c>
      <c r="BL6" s="4">
        <f t="shared" si="0"/>
        <v>2.5593370770615576E-13</v>
      </c>
      <c r="BM6" s="4">
        <f t="shared" si="0"/>
        <v>2.5596452149139836E-13</v>
      </c>
      <c r="BN6" s="4">
        <f t="shared" si="0"/>
        <v>2.5599533755198818E-13</v>
      </c>
      <c r="BO6" s="4">
        <f t="shared" si="0"/>
        <v>2.5602615588948337E-13</v>
      </c>
      <c r="BP6" s="4">
        <f t="shared" si="0"/>
        <v>2.5605697650543917E-13</v>
      </c>
      <c r="BQ6" s="4">
        <f t="shared" si="0"/>
        <v>2.5608779940140782E-13</v>
      </c>
      <c r="BR6" s="4">
        <f t="shared" si="0"/>
        <v>2.5611862457893875E-13</v>
      </c>
      <c r="BS6" s="4">
        <f t="shared" ref="H6:BS10" si="3">$C6*IF(AND(BS$2=0,$D6=0),1,BS$2^$D6)*EXP($E6*(1-IF(AND(BS$2=0,$F6=0),1,BS$2^$F6)))</f>
        <v>2.561494520395788E-13</v>
      </c>
      <c r="BT6" s="4">
        <f t="shared" si="1"/>
        <v>2.5618028178487166E-13</v>
      </c>
      <c r="BU6" s="4">
        <f t="shared" si="1"/>
        <v>2.5621111381635835E-13</v>
      </c>
      <c r="BV6" s="4">
        <f t="shared" si="1"/>
        <v>2.562419481355771E-13</v>
      </c>
      <c r="BW6" s="4">
        <f t="shared" si="1"/>
        <v>2.5627278474406313E-13</v>
      </c>
      <c r="BX6" s="4">
        <f t="shared" si="1"/>
        <v>2.5630362364334918E-13</v>
      </c>
      <c r="BY6" s="4">
        <f t="shared" si="1"/>
        <v>2.56334464834965E-13</v>
      </c>
      <c r="BZ6" s="4">
        <f t="shared" si="1"/>
        <v>2.5636530832043758E-13</v>
      </c>
      <c r="CA6" s="4">
        <f t="shared" si="1"/>
        <v>2.5639615410129123E-13</v>
      </c>
      <c r="CB6" s="4">
        <f t="shared" si="1"/>
        <v>2.5642700217904747E-13</v>
      </c>
      <c r="CC6" s="4">
        <f t="shared" si="1"/>
        <v>2.56457852555225E-13</v>
      </c>
      <c r="CD6" s="4">
        <f t="shared" si="1"/>
        <v>2.5648870523133991E-13</v>
      </c>
      <c r="CE6" s="4">
        <f t="shared" si="1"/>
        <v>2.5651956020890539E-13</v>
      </c>
      <c r="CF6" s="4">
        <f t="shared" si="1"/>
        <v>2.5655041748943222E-13</v>
      </c>
      <c r="CG6" s="4">
        <f t="shared" si="1"/>
        <v>2.5658127707442805E-13</v>
      </c>
      <c r="CH6" s="4">
        <f t="shared" si="1"/>
        <v>2.5661213896539819E-13</v>
      </c>
      <c r="CI6" s="4">
        <f t="shared" si="1"/>
        <v>2.566430031638451E-13</v>
      </c>
      <c r="CJ6" s="4">
        <f t="shared" si="1"/>
        <v>2.5667386967126859E-13</v>
      </c>
      <c r="CK6" s="4">
        <f t="shared" si="1"/>
        <v>2.5670473848916565E-13</v>
      </c>
      <c r="CL6" s="4">
        <f t="shared" si="1"/>
        <v>2.5673560961903092E-13</v>
      </c>
      <c r="CM6" s="4">
        <f t="shared" si="1"/>
        <v>2.5676648306235612E-13</v>
      </c>
      <c r="CN6" s="4">
        <f t="shared" si="1"/>
        <v>2.5679735882063043E-13</v>
      </c>
      <c r="CO6" s="4">
        <f t="shared" si="1"/>
        <v>2.5682823689534033E-13</v>
      </c>
      <c r="CP6" s="4">
        <f t="shared" si="1"/>
        <v>2.5685911728796975E-13</v>
      </c>
      <c r="CQ6" s="4">
        <f t="shared" si="1"/>
        <v>2.5688999999999998E-13</v>
      </c>
    </row>
    <row r="7" spans="1:95">
      <c r="A7" s="3">
        <v>5</v>
      </c>
      <c r="B7" s="17" t="str">
        <f>データファイル用!$B8</f>
        <v>MEWS Building Membrane II</v>
      </c>
      <c r="C7" s="18">
        <f>データファイル用!G8</f>
        <v>8.2430000000000003E-13</v>
      </c>
      <c r="D7" s="19">
        <f>データファイル用!H8</f>
        <v>2.0187E-2</v>
      </c>
      <c r="E7" s="20">
        <f>データファイル用!I8</f>
        <v>-2.5640999999999998</v>
      </c>
      <c r="F7" s="42">
        <f>データファイル用!J8</f>
        <v>1.3182</v>
      </c>
      <c r="G7" s="4">
        <f t="shared" si="2"/>
        <v>0</v>
      </c>
      <c r="H7" s="4">
        <f t="shared" si="3"/>
        <v>5.9515190804677456E-14</v>
      </c>
      <c r="I7" s="4">
        <f t="shared" si="3"/>
        <v>6.1699908164824063E-14</v>
      </c>
      <c r="J7" s="4">
        <f t="shared" si="3"/>
        <v>6.3846934947325224E-14</v>
      </c>
      <c r="K7" s="4">
        <f t="shared" si="3"/>
        <v>6.6107249618713003E-14</v>
      </c>
      <c r="L7" s="4">
        <f t="shared" si="3"/>
        <v>6.8524237060152962E-14</v>
      </c>
      <c r="M7" s="4">
        <f t="shared" si="3"/>
        <v>7.1118548507065439E-14</v>
      </c>
      <c r="N7" s="4">
        <f t="shared" si="3"/>
        <v>7.390430044149767E-14</v>
      </c>
      <c r="O7" s="4">
        <f t="shared" si="3"/>
        <v>7.6893752532315647E-14</v>
      </c>
      <c r="P7" s="4">
        <f t="shared" si="3"/>
        <v>8.0098996951896731E-14</v>
      </c>
      <c r="Q7" s="4">
        <f t="shared" si="3"/>
        <v>8.3532672317379994E-14</v>
      </c>
      <c r="R7" s="4">
        <f t="shared" si="3"/>
        <v>8.7208311658336014E-14</v>
      </c>
      <c r="S7" s="4">
        <f t="shared" si="3"/>
        <v>9.1140541212953305E-14</v>
      </c>
      <c r="T7" s="4">
        <f t="shared" si="3"/>
        <v>9.5345216530554077E-14</v>
      </c>
      <c r="U7" s="4">
        <f t="shared" si="3"/>
        <v>9.9839533488579849E-14</v>
      </c>
      <c r="V7" s="4">
        <f t="shared" si="3"/>
        <v>1.046421317734009E-13</v>
      </c>
      <c r="W7" s="4">
        <f t="shared" si="3"/>
        <v>1.0977319956281066E-13</v>
      </c>
      <c r="X7" s="4">
        <f t="shared" si="3"/>
        <v>1.1525458408051753E-13</v>
      </c>
      <c r="Y7" s="4">
        <f t="shared" si="3"/>
        <v>1.2110991075465391E-13</v>
      </c>
      <c r="Z7" s="4">
        <f t="shared" si="3"/>
        <v>1.2736471277982042E-13</v>
      </c>
      <c r="AA7" s="4">
        <f t="shared" si="3"/>
        <v>1.3404657244581423E-13</v>
      </c>
      <c r="AB7" s="4">
        <f t="shared" si="3"/>
        <v>1.4118527541425118E-13</v>
      </c>
      <c r="AC7" s="4">
        <f t="shared" si="3"/>
        <v>1.4881297907796341E-13</v>
      </c>
      <c r="AD7" s="4">
        <f t="shared" si="3"/>
        <v>1.569643961673013E-13</v>
      </c>
      <c r="AE7" s="4">
        <f t="shared" si="3"/>
        <v>1.656769948414022E-13</v>
      </c>
      <c r="AF7" s="4">
        <f t="shared" si="3"/>
        <v>1.7499121660511728E-13</v>
      </c>
      <c r="AG7" s="4">
        <f t="shared" si="3"/>
        <v>1.8495071351548221E-13</v>
      </c>
      <c r="AH7" s="4">
        <f t="shared" si="3"/>
        <v>1.9560260628145797E-13</v>
      </c>
      <c r="AI7" s="4">
        <f t="shared" si="3"/>
        <v>2.0699776501561278E-13</v>
      </c>
      <c r="AJ7" s="4">
        <f t="shared" si="3"/>
        <v>2.1919111456624028E-13</v>
      </c>
      <c r="AK7" s="4">
        <f t="shared" si="3"/>
        <v>2.3224196654371529E-13</v>
      </c>
      <c r="AL7" s="4">
        <f t="shared" si="3"/>
        <v>2.4621438035676896E-13</v>
      </c>
      <c r="AM7" s="4">
        <f t="shared" si="3"/>
        <v>2.6117755579428988E-13</v>
      </c>
      <c r="AN7" s="4">
        <f t="shared" si="3"/>
        <v>2.7720625992793682E-13</v>
      </c>
      <c r="AO7" s="4">
        <f t="shared" si="3"/>
        <v>2.9438129137226448E-13</v>
      </c>
      <c r="AP7" s="4">
        <f t="shared" si="3"/>
        <v>3.1278998522438324E-13</v>
      </c>
      <c r="AQ7" s="4">
        <f t="shared" si="3"/>
        <v>3.3252676231681877E-13</v>
      </c>
      <c r="AR7" s="4">
        <f t="shared" si="3"/>
        <v>3.536937267578406E-13</v>
      </c>
      <c r="AS7" s="4">
        <f t="shared" si="3"/>
        <v>3.7640131610600491E-13</v>
      </c>
      <c r="AT7" s="4">
        <f t="shared" si="3"/>
        <v>4.0076900893316726E-13</v>
      </c>
      <c r="AU7" s="4">
        <f t="shared" si="3"/>
        <v>4.2692609497627117E-13</v>
      </c>
      <c r="AV7" s="4">
        <f t="shared" si="3"/>
        <v>4.5501251356661641E-13</v>
      </c>
      <c r="AW7" s="4">
        <f t="shared" si="3"/>
        <v>4.8517976656026634E-13</v>
      </c>
      <c r="AX7" s="4">
        <f t="shared" si="3"/>
        <v>5.1759191257937593E-13</v>
      </c>
      <c r="AY7" s="4">
        <f t="shared" si="3"/>
        <v>5.5242665001656642E-13</v>
      </c>
      <c r="AZ7" s="4">
        <f t="shared" si="3"/>
        <v>5.8987649695863804E-13</v>
      </c>
      <c r="BA7" s="4">
        <f t="shared" si="3"/>
        <v>6.3015007695797946E-13</v>
      </c>
      <c r="BB7" s="4">
        <f t="shared" si="3"/>
        <v>6.7347352042679604E-13</v>
      </c>
      <c r="BC7" s="4">
        <f t="shared" si="3"/>
        <v>7.2009199235809873E-13</v>
      </c>
      <c r="BD7" s="4">
        <f t="shared" si="3"/>
        <v>7.2251408663782088E-13</v>
      </c>
      <c r="BE7" s="4">
        <f t="shared" si="3"/>
        <v>7.2494511312897398E-13</v>
      </c>
      <c r="BF7" s="4">
        <f t="shared" si="3"/>
        <v>7.2738510662438071E-13</v>
      </c>
      <c r="BG7" s="4">
        <f t="shared" si="3"/>
        <v>7.298341020586118E-13</v>
      </c>
      <c r="BH7" s="4">
        <f t="shared" si="3"/>
        <v>7.3229213450858656E-13</v>
      </c>
      <c r="BI7" s="4">
        <f t="shared" si="3"/>
        <v>7.3475923919417238E-13</v>
      </c>
      <c r="BJ7" s="4">
        <f t="shared" si="3"/>
        <v>7.3723545147878911E-13</v>
      </c>
      <c r="BK7" s="4">
        <f t="shared" si="3"/>
        <v>7.3972080687001555E-13</v>
      </c>
      <c r="BL7" s="4">
        <f t="shared" si="3"/>
        <v>7.4221534102019743E-13</v>
      </c>
      <c r="BM7" s="4">
        <f t="shared" si="3"/>
        <v>7.4471908972705996E-13</v>
      </c>
      <c r="BN7" s="4">
        <f t="shared" si="3"/>
        <v>7.4723208893432142E-13</v>
      </c>
      <c r="BO7" s="4">
        <f t="shared" si="3"/>
        <v>7.4975437473231086E-13</v>
      </c>
      <c r="BP7" s="4">
        <f t="shared" si="3"/>
        <v>7.522859833585866E-13</v>
      </c>
      <c r="BQ7" s="4">
        <f t="shared" si="3"/>
        <v>7.5482695119855934E-13</v>
      </c>
      <c r="BR7" s="4">
        <f t="shared" si="3"/>
        <v>7.573773147861169E-13</v>
      </c>
      <c r="BS7" s="4">
        <f t="shared" si="3"/>
        <v>7.5993711080425182E-13</v>
      </c>
      <c r="BT7" s="4">
        <f t="shared" si="1"/>
        <v>7.6250637608569261E-13</v>
      </c>
      <c r="BU7" s="4">
        <f t="shared" si="1"/>
        <v>7.6508514761353582E-13</v>
      </c>
      <c r="BV7" s="4">
        <f t="shared" si="1"/>
        <v>7.6767346252188311E-13</v>
      </c>
      <c r="BW7" s="4">
        <f t="shared" si="1"/>
        <v>7.7027135809647895E-13</v>
      </c>
      <c r="BX7" s="4">
        <f t="shared" si="1"/>
        <v>7.728788717753531E-13</v>
      </c>
      <c r="BY7" s="4">
        <f t="shared" si="1"/>
        <v>7.7549604114946494E-13</v>
      </c>
      <c r="BZ7" s="4">
        <f t="shared" si="1"/>
        <v>7.7812290396334985E-13</v>
      </c>
      <c r="CA7" s="4">
        <f t="shared" si="1"/>
        <v>7.8075949811576982E-13</v>
      </c>
      <c r="CB7" s="4">
        <f t="shared" si="1"/>
        <v>7.8340586166036647E-13</v>
      </c>
      <c r="CC7" s="4">
        <f t="shared" si="1"/>
        <v>7.8606203280631583E-13</v>
      </c>
      <c r="CD7" s="4">
        <f t="shared" si="1"/>
        <v>7.88728049918988E-13</v>
      </c>
      <c r="CE7" s="4">
        <f t="shared" si="1"/>
        <v>7.9140395152060777E-13</v>
      </c>
      <c r="CF7" s="4">
        <f t="shared" si="1"/>
        <v>7.9408977629091952E-13</v>
      </c>
      <c r="CG7" s="4">
        <f t="shared" si="1"/>
        <v>7.9678556306785398E-13</v>
      </c>
      <c r="CH7" s="4">
        <f t="shared" si="1"/>
        <v>7.9949135084819842E-13</v>
      </c>
      <c r="CI7" s="4">
        <f t="shared" si="1"/>
        <v>8.0220717878827007E-13</v>
      </c>
      <c r="CJ7" s="4">
        <f t="shared" si="1"/>
        <v>8.0493308620459149E-13</v>
      </c>
      <c r="CK7" s="4">
        <f t="shared" si="1"/>
        <v>8.0766911257457007E-13</v>
      </c>
      <c r="CL7" s="4">
        <f t="shared" si="1"/>
        <v>8.1041529753718E-13</v>
      </c>
      <c r="CM7" s="4">
        <f t="shared" si="1"/>
        <v>8.1317168089364694E-13</v>
      </c>
      <c r="CN7" s="4">
        <f t="shared" si="1"/>
        <v>8.1593830260813559E-13</v>
      </c>
      <c r="CO7" s="4">
        <f t="shared" si="1"/>
        <v>8.1871520280844098E-13</v>
      </c>
      <c r="CP7" s="4">
        <f t="shared" si="1"/>
        <v>8.2150242178668289E-13</v>
      </c>
      <c r="CQ7" s="4">
        <f t="shared" si="1"/>
        <v>8.2430000000000155E-13</v>
      </c>
    </row>
    <row r="8" spans="1:95">
      <c r="A8" s="3">
        <v>6</v>
      </c>
      <c r="B8" s="17" t="str">
        <f>データファイル用!$B9</f>
        <v>MEWS Building Membrane III</v>
      </c>
      <c r="C8" s="18">
        <f>データファイル用!G9</f>
        <v>1.2228E-12</v>
      </c>
      <c r="D8" s="19">
        <f>データファイル用!H9</f>
        <v>3.2800000000000003E-2</v>
      </c>
      <c r="E8" s="20">
        <f>データファイル用!I9</f>
        <v>-2.222</v>
      </c>
      <c r="F8" s="42">
        <f>データファイル用!J9</f>
        <v>1.0541</v>
      </c>
      <c r="G8" s="4">
        <f t="shared" si="2"/>
        <v>0</v>
      </c>
      <c r="H8" s="4">
        <f t="shared" si="3"/>
        <v>1.2084969158280834E-13</v>
      </c>
      <c r="I8" s="4">
        <f t="shared" si="3"/>
        <v>1.2850843030877613E-13</v>
      </c>
      <c r="J8" s="4">
        <f t="shared" si="3"/>
        <v>1.3551949470376994E-13</v>
      </c>
      <c r="K8" s="4">
        <f t="shared" si="3"/>
        <v>1.4246717620907058E-13</v>
      </c>
      <c r="L8" s="4">
        <f t="shared" si="3"/>
        <v>1.495377660480229E-13</v>
      </c>
      <c r="M8" s="4">
        <f t="shared" si="3"/>
        <v>1.5681984146361664E-13</v>
      </c>
      <c r="N8" s="4">
        <f t="shared" si="3"/>
        <v>1.643668015216305E-13</v>
      </c>
      <c r="O8" s="4">
        <f t="shared" si="3"/>
        <v>1.7221671107366917E-13</v>
      </c>
      <c r="P8" s="4">
        <f t="shared" si="3"/>
        <v>1.8040020935556922E-13</v>
      </c>
      <c r="Q8" s="4">
        <f t="shared" si="3"/>
        <v>1.8894416951518817E-13</v>
      </c>
      <c r="R8" s="4">
        <f t="shared" si="3"/>
        <v>1.9787358695219883E-13</v>
      </c>
      <c r="S8" s="4">
        <f t="shared" si="3"/>
        <v>2.0721264153425834E-13</v>
      </c>
      <c r="T8" s="4">
        <f t="shared" si="3"/>
        <v>2.1698534062004911E-13</v>
      </c>
      <c r="U8" s="4">
        <f t="shared" si="3"/>
        <v>2.272159350831555E-13</v>
      </c>
      <c r="V8" s="4">
        <f t="shared" si="3"/>
        <v>2.3792920601352098E-13</v>
      </c>
      <c r="W8" s="4">
        <f t="shared" si="3"/>
        <v>2.4915067480072822E-13</v>
      </c>
      <c r="X8" s="4">
        <f t="shared" si="3"/>
        <v>2.6090676650059769E-13</v>
      </c>
      <c r="Y8" s="4">
        <f t="shared" si="3"/>
        <v>2.7322494419637612E-13</v>
      </c>
      <c r="Z8" s="4">
        <f t="shared" si="3"/>
        <v>2.8613382525062684E-13</v>
      </c>
      <c r="AA8" s="4">
        <f t="shared" si="3"/>
        <v>2.9966328638505513E-13</v>
      </c>
      <c r="AB8" s="4">
        <f t="shared" si="3"/>
        <v>3.1384456214856498E-13</v>
      </c>
      <c r="AC8" s="4">
        <f t="shared" si="3"/>
        <v>3.2871033986532434E-13</v>
      </c>
      <c r="AD8" s="4">
        <f t="shared" si="3"/>
        <v>3.4429485322460384E-13</v>
      </c>
      <c r="AE8" s="4">
        <f t="shared" si="3"/>
        <v>3.6063397607258362E-13</v>
      </c>
      <c r="AF8" s="4">
        <f t="shared" si="3"/>
        <v>3.7776531757023016E-13</v>
      </c>
      <c r="AG8" s="4">
        <f t="shared" si="3"/>
        <v>3.9572831961682254E-13</v>
      </c>
      <c r="AH8" s="4">
        <f t="shared" si="3"/>
        <v>4.1456435726025561E-13</v>
      </c>
      <c r="AI8" s="4">
        <f t="shared" si="3"/>
        <v>4.3431684269420851E-13</v>
      </c>
      <c r="AJ8" s="4">
        <f t="shared" si="3"/>
        <v>4.5503133336027567E-13</v>
      </c>
      <c r="AK8" s="4">
        <f t="shared" si="3"/>
        <v>4.76755644618194E-13</v>
      </c>
      <c r="AL8" s="4">
        <f t="shared" si="3"/>
        <v>4.9953996741139305E-13</v>
      </c>
      <c r="AM8" s="4">
        <f t="shared" si="3"/>
        <v>5.2343699133286498E-13</v>
      </c>
      <c r="AN8" s="4">
        <f t="shared" si="3"/>
        <v>5.485020334841386E-13</v>
      </c>
      <c r="AO8" s="4">
        <f t="shared" si="3"/>
        <v>5.7479317351539986E-13</v>
      </c>
      <c r="AP8" s="4">
        <f t="shared" si="3"/>
        <v>6.0237139523577398E-13</v>
      </c>
      <c r="AQ8" s="4">
        <f t="shared" si="3"/>
        <v>6.3130073518821867E-13</v>
      </c>
      <c r="AR8" s="4">
        <f t="shared" si="3"/>
        <v>6.6164843859250689E-13</v>
      </c>
      <c r="AS8" s="4">
        <f t="shared" si="3"/>
        <v>6.93485123071758E-13</v>
      </c>
      <c r="AT8" s="4">
        <f t="shared" si="3"/>
        <v>7.2688495059249847E-13</v>
      </c>
      <c r="AU8" s="4">
        <f t="shared" si="3"/>
        <v>7.6192580806493763E-13</v>
      </c>
      <c r="AV8" s="4">
        <f t="shared" si="3"/>
        <v>7.9868949706888158E-13</v>
      </c>
      <c r="AW8" s="4">
        <f t="shared" si="3"/>
        <v>8.3726193319124549E-13</v>
      </c>
      <c r="AX8" s="4">
        <f t="shared" si="3"/>
        <v>8.777333554834704E-13</v>
      </c>
      <c r="AY8" s="4">
        <f t="shared" si="3"/>
        <v>9.2019854657115201E-13</v>
      </c>
      <c r="AZ8" s="4">
        <f t="shared" si="3"/>
        <v>9.6475706397389322E-13</v>
      </c>
      <c r="BA8" s="4">
        <f t="shared" si="3"/>
        <v>1.0115134832207703E-12</v>
      </c>
      <c r="BB8" s="4">
        <f t="shared" si="3"/>
        <v>1.0605776533758737E-12</v>
      </c>
      <c r="BC8" s="4">
        <f t="shared" si="3"/>
        <v>1.1120649656191937E-12</v>
      </c>
      <c r="BD8" s="4">
        <f t="shared" si="3"/>
        <v>1.1147050874445694E-12</v>
      </c>
      <c r="BE8" s="4">
        <f t="shared" si="3"/>
        <v>1.1173515844367157E-12</v>
      </c>
      <c r="BF8" s="4">
        <f t="shared" si="3"/>
        <v>1.120004472178135E-12</v>
      </c>
      <c r="BG8" s="4">
        <f t="shared" si="3"/>
        <v>1.1226637662897598E-12</v>
      </c>
      <c r="BH8" s="4">
        <f t="shared" si="3"/>
        <v>1.1253294824310525E-12</v>
      </c>
      <c r="BI8" s="4">
        <f t="shared" si="3"/>
        <v>1.1280016363000976E-12</v>
      </c>
      <c r="BJ8" s="4">
        <f t="shared" si="3"/>
        <v>1.1306802436337003E-12</v>
      </c>
      <c r="BK8" s="4">
        <f t="shared" si="3"/>
        <v>1.1333653202074815E-12</v>
      </c>
      <c r="BL8" s="4">
        <f t="shared" si="3"/>
        <v>1.1360568818359754E-12</v>
      </c>
      <c r="BM8" s="4">
        <f t="shared" si="3"/>
        <v>1.1387549443727248E-12</v>
      </c>
      <c r="BN8" s="4">
        <f t="shared" si="3"/>
        <v>1.1414595237103802E-12</v>
      </c>
      <c r="BO8" s="4">
        <f t="shared" si="3"/>
        <v>1.1441706357807949E-12</v>
      </c>
      <c r="BP8" s="4">
        <f t="shared" si="3"/>
        <v>1.1468882965551246E-12</v>
      </c>
      <c r="BQ8" s="4">
        <f t="shared" si="3"/>
        <v>1.1496125220439241E-12</v>
      </c>
      <c r="BR8" s="4">
        <f t="shared" si="3"/>
        <v>1.1523433282972449E-12</v>
      </c>
      <c r="BS8" s="4">
        <f t="shared" si="3"/>
        <v>1.1550807314047353E-12</v>
      </c>
      <c r="BT8" s="4">
        <f t="shared" si="1"/>
        <v>1.1578247474957365E-12</v>
      </c>
      <c r="BU8" s="4">
        <f t="shared" si="1"/>
        <v>1.1605753927393837E-12</v>
      </c>
      <c r="BV8" s="4">
        <f t="shared" si="1"/>
        <v>1.1633326833447034E-12</v>
      </c>
      <c r="BW8" s="4">
        <f t="shared" si="1"/>
        <v>1.1660966355607134E-12</v>
      </c>
      <c r="BX8" s="4">
        <f t="shared" si="1"/>
        <v>1.1688672656765223E-12</v>
      </c>
      <c r="BY8" s="4">
        <f t="shared" si="1"/>
        <v>1.1716445900214301E-12</v>
      </c>
      <c r="BZ8" s="4">
        <f t="shared" si="1"/>
        <v>1.1744286249650261E-12</v>
      </c>
      <c r="CA8" s="4">
        <f t="shared" si="1"/>
        <v>1.1772193869172912E-12</v>
      </c>
      <c r="CB8" s="4">
        <f t="shared" si="1"/>
        <v>1.1800168923286976E-12</v>
      </c>
      <c r="CC8" s="4">
        <f t="shared" si="1"/>
        <v>1.1828211576903085E-12</v>
      </c>
      <c r="CD8" s="4">
        <f t="shared" si="1"/>
        <v>1.1856321995338826E-12</v>
      </c>
      <c r="CE8" s="4">
        <f t="shared" si="1"/>
        <v>1.1884500344319708E-12</v>
      </c>
      <c r="CF8" s="4">
        <f t="shared" si="1"/>
        <v>1.1912746789980219E-12</v>
      </c>
      <c r="CG8" s="4">
        <f t="shared" si="1"/>
        <v>1.1941061498864804E-12</v>
      </c>
      <c r="CH8" s="4">
        <f t="shared" si="1"/>
        <v>1.1969444637928923E-12</v>
      </c>
      <c r="CI8" s="4">
        <f t="shared" si="1"/>
        <v>1.1997896374540049E-12</v>
      </c>
      <c r="CJ8" s="4">
        <f t="shared" si="1"/>
        <v>1.2026416876478708E-12</v>
      </c>
      <c r="CK8" s="4">
        <f t="shared" si="1"/>
        <v>1.2055006311939497E-12</v>
      </c>
      <c r="CL8" s="4">
        <f t="shared" si="1"/>
        <v>1.2083664849532111E-12</v>
      </c>
      <c r="CM8" s="4">
        <f t="shared" si="1"/>
        <v>1.2112392658282399E-12</v>
      </c>
      <c r="CN8" s="4">
        <f t="shared" si="1"/>
        <v>1.2141189907633371E-12</v>
      </c>
      <c r="CO8" s="4">
        <f t="shared" si="1"/>
        <v>1.2170056767446263E-12</v>
      </c>
      <c r="CP8" s="4">
        <f t="shared" si="1"/>
        <v>1.2198993408001549E-12</v>
      </c>
      <c r="CQ8" s="4">
        <f t="shared" si="1"/>
        <v>1.222800000000001E-12</v>
      </c>
    </row>
    <row r="9" spans="1:95">
      <c r="A9" s="3">
        <v>7</v>
      </c>
      <c r="B9" s="17" t="str">
        <f>データファイル用!$B10</f>
        <v>MEWS Building Membrane IVA</v>
      </c>
      <c r="C9" s="18">
        <f>データファイル用!G10</f>
        <v>8.9000000000000004E-13</v>
      </c>
      <c r="D9" s="19">
        <f>データファイル用!H10</f>
        <v>0</v>
      </c>
      <c r="E9" s="20">
        <f>データファイル用!I10</f>
        <v>0</v>
      </c>
      <c r="F9" s="42">
        <f>データファイル用!J10</f>
        <v>0</v>
      </c>
      <c r="G9" s="4">
        <f t="shared" si="2"/>
        <v>8.9000000000000004E-13</v>
      </c>
      <c r="H9" s="4">
        <f t="shared" si="3"/>
        <v>8.9000000000000004E-13</v>
      </c>
      <c r="I9" s="4">
        <f t="shared" si="3"/>
        <v>8.9000000000000004E-13</v>
      </c>
      <c r="J9" s="4">
        <f t="shared" si="3"/>
        <v>8.9000000000000004E-13</v>
      </c>
      <c r="K9" s="4">
        <f t="shared" si="3"/>
        <v>8.9000000000000004E-13</v>
      </c>
      <c r="L9" s="4">
        <f t="shared" si="3"/>
        <v>8.9000000000000004E-13</v>
      </c>
      <c r="M9" s="4">
        <f t="shared" si="3"/>
        <v>8.9000000000000004E-13</v>
      </c>
      <c r="N9" s="4">
        <f t="shared" si="3"/>
        <v>8.9000000000000004E-13</v>
      </c>
      <c r="O9" s="4">
        <f t="shared" si="3"/>
        <v>8.9000000000000004E-13</v>
      </c>
      <c r="P9" s="4">
        <f t="shared" si="3"/>
        <v>8.9000000000000004E-13</v>
      </c>
      <c r="Q9" s="4">
        <f t="shared" si="3"/>
        <v>8.9000000000000004E-13</v>
      </c>
      <c r="R9" s="4">
        <f t="shared" si="3"/>
        <v>8.9000000000000004E-13</v>
      </c>
      <c r="S9" s="4">
        <f t="shared" si="3"/>
        <v>8.9000000000000004E-13</v>
      </c>
      <c r="T9" s="4">
        <f t="shared" si="3"/>
        <v>8.9000000000000004E-13</v>
      </c>
      <c r="U9" s="4">
        <f t="shared" si="3"/>
        <v>8.9000000000000004E-13</v>
      </c>
      <c r="V9" s="4">
        <f t="shared" si="3"/>
        <v>8.9000000000000004E-13</v>
      </c>
      <c r="W9" s="4">
        <f t="shared" si="3"/>
        <v>8.9000000000000004E-13</v>
      </c>
      <c r="X9" s="4">
        <f t="shared" si="3"/>
        <v>8.9000000000000004E-13</v>
      </c>
      <c r="Y9" s="4">
        <f t="shared" si="3"/>
        <v>8.9000000000000004E-13</v>
      </c>
      <c r="Z9" s="4">
        <f t="shared" si="3"/>
        <v>8.9000000000000004E-13</v>
      </c>
      <c r="AA9" s="4">
        <f t="shared" si="3"/>
        <v>8.9000000000000004E-13</v>
      </c>
      <c r="AB9" s="4">
        <f t="shared" si="3"/>
        <v>8.9000000000000004E-13</v>
      </c>
      <c r="AC9" s="4">
        <f t="shared" si="3"/>
        <v>8.9000000000000004E-13</v>
      </c>
      <c r="AD9" s="4">
        <f t="shared" si="3"/>
        <v>8.9000000000000004E-13</v>
      </c>
      <c r="AE9" s="4">
        <f t="shared" si="3"/>
        <v>8.9000000000000004E-13</v>
      </c>
      <c r="AF9" s="4">
        <f t="shared" si="3"/>
        <v>8.9000000000000004E-13</v>
      </c>
      <c r="AG9" s="4">
        <f t="shared" si="3"/>
        <v>8.9000000000000004E-13</v>
      </c>
      <c r="AH9" s="4">
        <f t="shared" si="3"/>
        <v>8.9000000000000004E-13</v>
      </c>
      <c r="AI9" s="4">
        <f t="shared" si="3"/>
        <v>8.9000000000000004E-13</v>
      </c>
      <c r="AJ9" s="4">
        <f t="shared" si="3"/>
        <v>8.9000000000000004E-13</v>
      </c>
      <c r="AK9" s="4">
        <f t="shared" si="3"/>
        <v>8.9000000000000004E-13</v>
      </c>
      <c r="AL9" s="4">
        <f t="shared" si="3"/>
        <v>8.9000000000000004E-13</v>
      </c>
      <c r="AM9" s="4">
        <f t="shared" si="3"/>
        <v>8.9000000000000004E-13</v>
      </c>
      <c r="AN9" s="4">
        <f t="shared" si="3"/>
        <v>8.9000000000000004E-13</v>
      </c>
      <c r="AO9" s="4">
        <f t="shared" si="3"/>
        <v>8.9000000000000004E-13</v>
      </c>
      <c r="AP9" s="4">
        <f t="shared" si="3"/>
        <v>8.9000000000000004E-13</v>
      </c>
      <c r="AQ9" s="4">
        <f t="shared" si="3"/>
        <v>8.9000000000000004E-13</v>
      </c>
      <c r="AR9" s="4">
        <f t="shared" si="3"/>
        <v>8.9000000000000004E-13</v>
      </c>
      <c r="AS9" s="4">
        <f t="shared" si="3"/>
        <v>8.9000000000000004E-13</v>
      </c>
      <c r="AT9" s="4">
        <f t="shared" si="3"/>
        <v>8.9000000000000004E-13</v>
      </c>
      <c r="AU9" s="4">
        <f t="shared" si="3"/>
        <v>8.9000000000000004E-13</v>
      </c>
      <c r="AV9" s="4">
        <f t="shared" si="3"/>
        <v>8.9000000000000004E-13</v>
      </c>
      <c r="AW9" s="4">
        <f t="shared" si="3"/>
        <v>8.9000000000000004E-13</v>
      </c>
      <c r="AX9" s="4">
        <f t="shared" si="3"/>
        <v>8.9000000000000004E-13</v>
      </c>
      <c r="AY9" s="4">
        <f t="shared" si="3"/>
        <v>8.9000000000000004E-13</v>
      </c>
      <c r="AZ9" s="4">
        <f t="shared" si="3"/>
        <v>8.9000000000000004E-13</v>
      </c>
      <c r="BA9" s="4">
        <f t="shared" si="3"/>
        <v>8.9000000000000004E-13</v>
      </c>
      <c r="BB9" s="4">
        <f t="shared" si="3"/>
        <v>8.9000000000000004E-13</v>
      </c>
      <c r="BC9" s="4">
        <f t="shared" si="3"/>
        <v>8.9000000000000004E-13</v>
      </c>
      <c r="BD9" s="4">
        <f t="shared" si="3"/>
        <v>8.9000000000000004E-13</v>
      </c>
      <c r="BE9" s="4">
        <f t="shared" si="3"/>
        <v>8.9000000000000004E-13</v>
      </c>
      <c r="BF9" s="4">
        <f t="shared" si="3"/>
        <v>8.9000000000000004E-13</v>
      </c>
      <c r="BG9" s="4">
        <f t="shared" si="3"/>
        <v>8.9000000000000004E-13</v>
      </c>
      <c r="BH9" s="4">
        <f t="shared" si="3"/>
        <v>8.9000000000000004E-13</v>
      </c>
      <c r="BI9" s="4">
        <f t="shared" si="3"/>
        <v>8.9000000000000004E-13</v>
      </c>
      <c r="BJ9" s="4">
        <f t="shared" si="3"/>
        <v>8.9000000000000004E-13</v>
      </c>
      <c r="BK9" s="4">
        <f t="shared" si="3"/>
        <v>8.9000000000000004E-13</v>
      </c>
      <c r="BL9" s="4">
        <f t="shared" si="3"/>
        <v>8.9000000000000004E-13</v>
      </c>
      <c r="BM9" s="4">
        <f t="shared" si="3"/>
        <v>8.9000000000000004E-13</v>
      </c>
      <c r="BN9" s="4">
        <f t="shared" si="3"/>
        <v>8.9000000000000004E-13</v>
      </c>
      <c r="BO9" s="4">
        <f t="shared" si="3"/>
        <v>8.9000000000000004E-13</v>
      </c>
      <c r="BP9" s="4">
        <f t="shared" si="3"/>
        <v>8.9000000000000004E-13</v>
      </c>
      <c r="BQ9" s="4">
        <f t="shared" si="3"/>
        <v>8.9000000000000004E-13</v>
      </c>
      <c r="BR9" s="4">
        <f t="shared" si="3"/>
        <v>8.9000000000000004E-13</v>
      </c>
      <c r="BS9" s="4">
        <f t="shared" si="3"/>
        <v>8.9000000000000004E-13</v>
      </c>
      <c r="BT9" s="4">
        <f t="shared" si="1"/>
        <v>8.9000000000000004E-13</v>
      </c>
      <c r="BU9" s="4">
        <f t="shared" si="1"/>
        <v>8.9000000000000004E-13</v>
      </c>
      <c r="BV9" s="4">
        <f t="shared" si="1"/>
        <v>8.9000000000000004E-13</v>
      </c>
      <c r="BW9" s="4">
        <f t="shared" si="1"/>
        <v>8.9000000000000004E-13</v>
      </c>
      <c r="BX9" s="4">
        <f t="shared" si="1"/>
        <v>8.9000000000000004E-13</v>
      </c>
      <c r="BY9" s="4">
        <f t="shared" si="1"/>
        <v>8.9000000000000004E-13</v>
      </c>
      <c r="BZ9" s="4">
        <f t="shared" si="1"/>
        <v>8.9000000000000004E-13</v>
      </c>
      <c r="CA9" s="4">
        <f t="shared" si="1"/>
        <v>8.9000000000000004E-13</v>
      </c>
      <c r="CB9" s="4">
        <f t="shared" si="1"/>
        <v>8.9000000000000004E-13</v>
      </c>
      <c r="CC9" s="4">
        <f t="shared" si="1"/>
        <v>8.9000000000000004E-13</v>
      </c>
      <c r="CD9" s="4">
        <f t="shared" si="1"/>
        <v>8.9000000000000004E-13</v>
      </c>
      <c r="CE9" s="4">
        <f t="shared" si="1"/>
        <v>8.9000000000000004E-13</v>
      </c>
      <c r="CF9" s="4">
        <f t="shared" si="1"/>
        <v>8.9000000000000004E-13</v>
      </c>
      <c r="CG9" s="4">
        <f t="shared" si="1"/>
        <v>8.9000000000000004E-13</v>
      </c>
      <c r="CH9" s="4">
        <f t="shared" si="1"/>
        <v>8.9000000000000004E-13</v>
      </c>
      <c r="CI9" s="4">
        <f t="shared" si="1"/>
        <v>8.9000000000000004E-13</v>
      </c>
      <c r="CJ9" s="4">
        <f t="shared" si="1"/>
        <v>8.9000000000000004E-13</v>
      </c>
      <c r="CK9" s="4">
        <f t="shared" si="1"/>
        <v>8.9000000000000004E-13</v>
      </c>
      <c r="CL9" s="4">
        <f t="shared" si="1"/>
        <v>8.9000000000000004E-13</v>
      </c>
      <c r="CM9" s="4">
        <f t="shared" si="1"/>
        <v>8.9000000000000004E-13</v>
      </c>
      <c r="CN9" s="4">
        <f t="shared" si="1"/>
        <v>8.9000000000000004E-13</v>
      </c>
      <c r="CO9" s="4">
        <f t="shared" si="1"/>
        <v>8.9000000000000004E-13</v>
      </c>
      <c r="CP9" s="4">
        <f t="shared" si="1"/>
        <v>8.9000000000000004E-13</v>
      </c>
      <c r="CQ9" s="4">
        <f t="shared" si="1"/>
        <v>8.9000000000000004E-13</v>
      </c>
    </row>
    <row r="10" spans="1:95">
      <c r="A10" s="3">
        <v>8</v>
      </c>
      <c r="B10" s="17" t="str">
        <f>データファイル用!$B11</f>
        <v>MEWS Building Membrane V A</v>
      </c>
      <c r="C10" s="18">
        <f>データファイル用!G11</f>
        <v>2.1925000000000002E-12</v>
      </c>
      <c r="D10" s="19">
        <f>データファイル用!H11</f>
        <v>0.68618999999999997</v>
      </c>
      <c r="E10" s="20">
        <f>データファイル用!I11</f>
        <v>-2.2595999999999998</v>
      </c>
      <c r="F10" s="42">
        <f>データファイル用!J11</f>
        <v>4.6009000000000002</v>
      </c>
      <c r="G10" s="4">
        <f t="shared" si="2"/>
        <v>0</v>
      </c>
      <c r="H10" s="4">
        <f t="shared" si="3"/>
        <v>1.5623976548882426E-14</v>
      </c>
      <c r="I10" s="4">
        <f t="shared" si="3"/>
        <v>2.5139445792317482E-14</v>
      </c>
      <c r="J10" s="4">
        <f t="shared" si="3"/>
        <v>3.3203949342071642E-14</v>
      </c>
      <c r="K10" s="4">
        <f t="shared" si="3"/>
        <v>4.0450874991258425E-14</v>
      </c>
      <c r="L10" s="4">
        <f t="shared" si="3"/>
        <v>4.7145732707466374E-14</v>
      </c>
      <c r="M10" s="4">
        <f t="shared" si="3"/>
        <v>5.3432818626068549E-14</v>
      </c>
      <c r="N10" s="4">
        <f t="shared" si="3"/>
        <v>5.9402546328306655E-14</v>
      </c>
      <c r="O10" s="4">
        <f t="shared" si="3"/>
        <v>6.5117347735468372E-14</v>
      </c>
      <c r="P10" s="4">
        <f t="shared" si="3"/>
        <v>7.0623762503291324E-14</v>
      </c>
      <c r="Q10" s="4">
        <f t="shared" si="3"/>
        <v>7.5958870000985067E-14</v>
      </c>
      <c r="R10" s="4">
        <f t="shared" si="3"/>
        <v>8.1154067706472417E-14</v>
      </c>
      <c r="S10" s="4">
        <f t="shared" si="3"/>
        <v>8.6237480048858327E-14</v>
      </c>
      <c r="T10" s="4">
        <f t="shared" si="3"/>
        <v>9.1235610181597364E-14</v>
      </c>
      <c r="U10" s="4">
        <f t="shared" si="3"/>
        <v>9.6174553490314832E-14</v>
      </c>
      <c r="V10" s="4">
        <f t="shared" si="3"/>
        <v>1.0108095185924917E-13</v>
      </c>
      <c r="W10" s="4">
        <f t="shared" si="3"/>
        <v>1.0598279691265337E-13</v>
      </c>
      <c r="X10" s="4">
        <f t="shared" si="3"/>
        <v>1.109101531030754E-13</v>
      </c>
      <c r="Y10" s="4">
        <f t="shared" si="3"/>
        <v>1.1589585160576012E-13</v>
      </c>
      <c r="Z10" s="4">
        <f t="shared" si="3"/>
        <v>1.2097619582145418E-13</v>
      </c>
      <c r="AA10" s="4">
        <f t="shared" si="3"/>
        <v>1.2619171506986987E-13</v>
      </c>
      <c r="AB10" s="4">
        <f t="shared" si="3"/>
        <v>1.3158800286429667E-13</v>
      </c>
      <c r="AC10" s="4">
        <f t="shared" si="3"/>
        <v>1.3721667910931329E-13</v>
      </c>
      <c r="AD10" s="4">
        <f t="shared" si="3"/>
        <v>1.4313652138330592E-13</v>
      </c>
      <c r="AE10" s="4">
        <f t="shared" si="3"/>
        <v>1.4941481930446213E-13</v>
      </c>
      <c r="AF10" s="4">
        <f t="shared" si="3"/>
        <v>1.5612901834021786E-13</v>
      </c>
      <c r="AG10" s="4">
        <f t="shared" si="3"/>
        <v>1.6336873618070031E-13</v>
      </c>
      <c r="AH10" s="4">
        <f t="shared" si="3"/>
        <v>1.71238257267653E-13</v>
      </c>
      <c r="AI10" s="4">
        <f t="shared" si="3"/>
        <v>1.7985964112734864E-13</v>
      </c>
      <c r="AJ10" s="4">
        <f t="shared" si="3"/>
        <v>1.8937662044073283E-13</v>
      </c>
      <c r="AK10" s="4">
        <f t="shared" si="3"/>
        <v>1.999595190051534E-13</v>
      </c>
      <c r="AL10" s="4">
        <f t="shared" si="3"/>
        <v>2.1181149311857671E-13</v>
      </c>
      <c r="AM10" s="4">
        <f t="shared" si="3"/>
        <v>2.2517649983129951E-13</v>
      </c>
      <c r="AN10" s="4">
        <f t="shared" si="3"/>
        <v>2.403495324715977E-13</v>
      </c>
      <c r="AO10" s="4">
        <f t="shared" si="3"/>
        <v>2.5768985293260458E-13</v>
      </c>
      <c r="AP10" s="4">
        <f t="shared" si="3"/>
        <v>2.7763821319275704E-13</v>
      </c>
      <c r="AQ10" s="4">
        <f t="shared" si="3"/>
        <v>3.0073942717833492E-13</v>
      </c>
      <c r="AR10" s="4">
        <f t="shared" si="3"/>
        <v>3.2767217502639708E-13</v>
      </c>
      <c r="AS10" s="4">
        <f t="shared" si="3"/>
        <v>3.5928866426733955E-13</v>
      </c>
      <c r="AT10" s="4">
        <f t="shared" si="3"/>
        <v>3.9666783998275421E-13</v>
      </c>
      <c r="AU10" s="4">
        <f t="shared" si="3"/>
        <v>4.4118738509069764E-13</v>
      </c>
      <c r="AV10" s="4">
        <f t="shared" si="3"/>
        <v>4.9462202136007282E-13</v>
      </c>
      <c r="AW10" s="4">
        <f t="shared" si="3"/>
        <v>5.5927897970364394E-13</v>
      </c>
      <c r="AX10" s="4">
        <f t="shared" si="3"/>
        <v>6.3818652836651407E-13</v>
      </c>
      <c r="AY10" s="4">
        <f t="shared" si="3"/>
        <v>7.3535903348609675E-13</v>
      </c>
      <c r="AZ10" s="4">
        <f t="shared" si="3"/>
        <v>8.5617361812328371E-13</v>
      </c>
      <c r="BA10" s="4">
        <f t="shared" si="3"/>
        <v>1.0079114051358809E-12</v>
      </c>
      <c r="BB10" s="4">
        <f t="shared" si="3"/>
        <v>1.2005443663934559E-12</v>
      </c>
      <c r="BC10" s="4">
        <f t="shared" si="3"/>
        <v>1.4478932223099933E-12</v>
      </c>
      <c r="BD10" s="4">
        <f t="shared" si="3"/>
        <v>1.4620152826202214E-12</v>
      </c>
      <c r="BE10" s="4">
        <f t="shared" si="3"/>
        <v>1.4763238198104923E-12</v>
      </c>
      <c r="BF10" s="4">
        <f t="shared" si="3"/>
        <v>1.4908217468921626E-12</v>
      </c>
      <c r="BG10" s="4">
        <f t="shared" si="3"/>
        <v>1.5055120285965194E-12</v>
      </c>
      <c r="BH10" s="4">
        <f t="shared" si="3"/>
        <v>1.5203976823937332E-12</v>
      </c>
      <c r="BI10" s="4">
        <f t="shared" si="3"/>
        <v>1.5354817795337318E-12</v>
      </c>
      <c r="BJ10" s="4">
        <f t="shared" si="3"/>
        <v>1.5507674461094949E-12</v>
      </c>
      <c r="BK10" s="4">
        <f t="shared" si="3"/>
        <v>1.5662578641433001E-12</v>
      </c>
      <c r="BL10" s="4">
        <f t="shared" si="3"/>
        <v>1.5819562726964485E-12</v>
      </c>
      <c r="BM10" s="4">
        <f t="shared" si="3"/>
        <v>1.5978659690030157E-12</v>
      </c>
      <c r="BN10" s="4">
        <f t="shared" si="3"/>
        <v>1.6139903096282002E-12</v>
      </c>
      <c r="BO10" s="4">
        <f t="shared" si="3"/>
        <v>1.6303327116518302E-12</v>
      </c>
      <c r="BP10" s="4">
        <f t="shared" si="3"/>
        <v>1.6468966538776309E-12</v>
      </c>
      <c r="BQ10" s="4">
        <f t="shared" si="3"/>
        <v>1.6636856780688511E-12</v>
      </c>
      <c r="BR10" s="4">
        <f t="shared" ref="BR10:CG30" si="4">$C10*IF(AND(BR$2=0,$D10=0),1,BR$2^$D10)*EXP($E10*(1-IF(AND(BR$2=0,$F10=0),1,BR$2^$F10)))</f>
        <v>1.6807033902108664E-12</v>
      </c>
      <c r="BS10" s="4">
        <f t="shared" si="4"/>
        <v>1.6979534618014032E-12</v>
      </c>
      <c r="BT10" s="4">
        <f t="shared" si="1"/>
        <v>1.7154396311690243E-12</v>
      </c>
      <c r="BU10" s="4">
        <f t="shared" si="1"/>
        <v>1.7331657048205516E-12</v>
      </c>
      <c r="BV10" s="4">
        <f t="shared" si="1"/>
        <v>1.7511355588181082E-12</v>
      </c>
      <c r="BW10" s="4">
        <f t="shared" si="1"/>
        <v>1.7693531401864818E-12</v>
      </c>
      <c r="BX10" s="4">
        <f t="shared" si="1"/>
        <v>1.7878224683515233E-12</v>
      </c>
      <c r="BY10" s="4">
        <f t="shared" si="1"/>
        <v>1.8065476366103356E-12</v>
      </c>
      <c r="BZ10" s="4">
        <f t="shared" si="1"/>
        <v>1.8255328136339877E-12</v>
      </c>
      <c r="CA10" s="4">
        <f t="shared" si="1"/>
        <v>1.8447822450035442E-12</v>
      </c>
      <c r="CB10" s="4">
        <f t="shared" si="1"/>
        <v>1.8643002547802038E-12</v>
      </c>
      <c r="CC10" s="4">
        <f t="shared" si="1"/>
        <v>1.8840912471103623E-12</v>
      </c>
      <c r="CD10" s="4">
        <f t="shared" si="1"/>
        <v>1.9041597078664311E-12</v>
      </c>
      <c r="CE10" s="4">
        <f t="shared" si="1"/>
        <v>1.9245102063242808E-12</v>
      </c>
      <c r="CF10" s="4">
        <f t="shared" si="1"/>
        <v>1.9451473968781805E-12</v>
      </c>
      <c r="CG10" s="4">
        <f t="shared" si="1"/>
        <v>1.9660760207941454E-12</v>
      </c>
      <c r="CH10" s="4">
        <f t="shared" si="1"/>
        <v>1.987300908002604E-12</v>
      </c>
      <c r="CI10" s="4">
        <f t="shared" si="1"/>
        <v>2.0088269789313567E-12</v>
      </c>
      <c r="CJ10" s="4">
        <f t="shared" si="1"/>
        <v>2.0306592463797791E-12</v>
      </c>
      <c r="CK10" s="4">
        <f t="shared" si="1"/>
        <v>2.0528028174352822E-12</v>
      </c>
      <c r="CL10" s="4">
        <f t="shared" si="1"/>
        <v>2.0752628954330561E-12</v>
      </c>
      <c r="CM10" s="4">
        <f t="shared" si="1"/>
        <v>2.0980447819601422E-12</v>
      </c>
      <c r="CN10" s="4">
        <f t="shared" si="1"/>
        <v>2.1211538789049148E-12</v>
      </c>
      <c r="CO10" s="4">
        <f t="shared" si="1"/>
        <v>2.1445956905530908E-12</v>
      </c>
      <c r="CP10" s="4">
        <f t="shared" si="1"/>
        <v>2.1683758257313885E-12</v>
      </c>
      <c r="CQ10" s="4">
        <f t="shared" si="1"/>
        <v>2.1925000000000103E-12</v>
      </c>
    </row>
    <row r="11" spans="1:95">
      <c r="A11" s="3">
        <v>9</v>
      </c>
      <c r="B11" s="17" t="str">
        <f>データファイル用!$B12</f>
        <v>MEWS Building Membrane V C</v>
      </c>
      <c r="C11" s="18">
        <f>データファイル用!G12</f>
        <v>2.6193999999999999E-12</v>
      </c>
      <c r="D11" s="19">
        <f>データファイル用!H12</f>
        <v>0.83333000000000002</v>
      </c>
      <c r="E11" s="20">
        <f>データファイル用!I12</f>
        <v>-3.5642</v>
      </c>
      <c r="F11" s="42">
        <f>データファイル用!J12</f>
        <v>6.6021000000000001</v>
      </c>
      <c r="G11" s="4">
        <f t="shared" si="2"/>
        <v>0</v>
      </c>
      <c r="H11" s="4">
        <f t="shared" si="2"/>
        <v>2.84765096553632E-15</v>
      </c>
      <c r="I11" s="4">
        <f t="shared" si="2"/>
        <v>5.0739254770995162E-15</v>
      </c>
      <c r="J11" s="4">
        <f t="shared" si="2"/>
        <v>7.1135473316185338E-15</v>
      </c>
      <c r="K11" s="4">
        <f t="shared" si="2"/>
        <v>9.040688345621176E-15</v>
      </c>
      <c r="L11" s="4">
        <f t="shared" si="2"/>
        <v>1.0888293467884926E-14</v>
      </c>
      <c r="M11" s="4">
        <f t="shared" si="2"/>
        <v>1.2674908358746522E-14</v>
      </c>
      <c r="N11" s="4">
        <f t="shared" si="2"/>
        <v>1.4412385649085259E-14</v>
      </c>
      <c r="O11" s="4">
        <f t="shared" si="2"/>
        <v>1.6108954363203522E-14</v>
      </c>
      <c r="P11" s="4">
        <f t="shared" si="2"/>
        <v>1.7770695142242133E-14</v>
      </c>
      <c r="Q11" s="4">
        <f t="shared" si="2"/>
        <v>1.9402350573935163E-14</v>
      </c>
      <c r="R11" s="4">
        <f t="shared" si="2"/>
        <v>2.100782303412086E-14</v>
      </c>
      <c r="S11" s="4">
        <f t="shared" si="2"/>
        <v>2.2590515040936359E-14</v>
      </c>
      <c r="T11" s="4">
        <f t="shared" si="2"/>
        <v>2.4153588471106616E-14</v>
      </c>
      <c r="U11" s="4">
        <f t="shared" si="2"/>
        <v>2.5700184015238125E-14</v>
      </c>
      <c r="V11" s="4">
        <f t="shared" si="2"/>
        <v>2.7233625406454663E-14</v>
      </c>
      <c r="W11" s="4">
        <f t="shared" ref="W11:AL27" si="5">$C11*IF(AND(W$2=0,$D11=0),1,W$2^$D11)*EXP($E11*(1-IF(AND(W$2=0,$F11=0),1,W$2^$F11)))</f>
        <v>2.8757624421167089E-14</v>
      </c>
      <c r="X11" s="4">
        <f t="shared" si="5"/>
        <v>3.0276498292177782E-14</v>
      </c>
      <c r="Y11" s="4">
        <f t="shared" si="5"/>
        <v>3.1795409154244061E-14</v>
      </c>
      <c r="Z11" s="4">
        <f t="shared" si="5"/>
        <v>3.3320634637879305E-14</v>
      </c>
      <c r="AA11" s="4">
        <f t="shared" si="5"/>
        <v>3.4859879416049166E-14</v>
      </c>
      <c r="AB11" s="4">
        <f t="shared" si="5"/>
        <v>3.6422639352815253E-14</v>
      </c>
      <c r="AC11" s="4">
        <f t="shared" si="5"/>
        <v>3.8020633065721553E-14</v>
      </c>
      <c r="AD11" s="4">
        <f t="shared" si="5"/>
        <v>3.9668320540972469E-14</v>
      </c>
      <c r="AE11" s="4">
        <f t="shared" si="5"/>
        <v>4.1383535489207115E-14</v>
      </c>
      <c r="AF11" s="4">
        <f t="shared" si="5"/>
        <v>4.3188268237729519E-14</v>
      </c>
      <c r="AG11" s="4">
        <f t="shared" si="5"/>
        <v>4.5109650364718981E-14</v>
      </c>
      <c r="AH11" s="4">
        <f t="shared" si="5"/>
        <v>4.7181212841580887E-14</v>
      </c>
      <c r="AI11" s="4">
        <f t="shared" si="5"/>
        <v>4.9444518943575559E-14</v>
      </c>
      <c r="AJ11" s="4">
        <f t="shared" si="5"/>
        <v>5.1951315856596168E-14</v>
      </c>
      <c r="AK11" s="4">
        <f t="shared" si="5"/>
        <v>5.4766411300541281E-14</v>
      </c>
      <c r="AL11" s="4">
        <f t="shared" si="5"/>
        <v>5.7971573869515084E-14</v>
      </c>
      <c r="AM11" s="4">
        <f t="shared" ref="AM11:BB26" si="6">$C11*IF(AND(AM$2=0,$D11=0),1,AM$2^$D11)*EXP($E11*(1-IF(AND(AM$2=0,$F11=0),1,AM$2^$F11)))</f>
        <v>6.1670894462290862E-14</v>
      </c>
      <c r="AN11" s="4">
        <f t="shared" si="6"/>
        <v>6.5998257436792082E-14</v>
      </c>
      <c r="AO11" s="4">
        <f t="shared" si="6"/>
        <v>7.112789702879422E-14</v>
      </c>
      <c r="AP11" s="4">
        <f t="shared" si="6"/>
        <v>7.7289528805131396E-14</v>
      </c>
      <c r="AQ11" s="4">
        <f t="shared" si="6"/>
        <v>8.4790368886000714E-14</v>
      </c>
      <c r="AR11" s="4">
        <f t="shared" si="6"/>
        <v>9.4047694863964678E-14</v>
      </c>
      <c r="AS11" s="4">
        <f t="shared" si="6"/>
        <v>1.0563783044878225E-13</v>
      </c>
      <c r="AT11" s="4">
        <f t="shared" si="6"/>
        <v>1.2037121345376478E-13</v>
      </c>
      <c r="AU11" s="4">
        <f t="shared" si="6"/>
        <v>1.3940975144161533E-13</v>
      </c>
      <c r="AV11" s="4">
        <f t="shared" si="6"/>
        <v>1.6445427261929295E-13</v>
      </c>
      <c r="AW11" s="4">
        <f t="shared" si="6"/>
        <v>1.9805096416306333E-13</v>
      </c>
      <c r="AX11" s="4">
        <f t="shared" si="6"/>
        <v>2.441050257398953E-13</v>
      </c>
      <c r="AY11" s="4">
        <f t="shared" si="6"/>
        <v>3.0876524906390412E-13</v>
      </c>
      <c r="AZ11" s="4">
        <f t="shared" si="6"/>
        <v>4.0199252634458661E-13</v>
      </c>
      <c r="BA11" s="4">
        <f t="shared" si="6"/>
        <v>5.4043029368240638E-13</v>
      </c>
      <c r="BB11" s="4">
        <f t="shared" si="6"/>
        <v>7.5284011856116434E-13</v>
      </c>
      <c r="BC11" s="4">
        <f t="shared" ref="BC11:BR40" si="7">$C11*IF(AND(BC$2=0,$D11=0),1,BC$2^$D11)*EXP($E11*(1-IF(AND(BC$2=0,$F11=0),1,BC$2^$F11)))</f>
        <v>1.0907825768663095E-12</v>
      </c>
      <c r="BD11" s="4">
        <f t="shared" si="7"/>
        <v>1.1124208334264745E-12</v>
      </c>
      <c r="BE11" s="4">
        <f t="shared" si="7"/>
        <v>1.1346118528302263E-12</v>
      </c>
      <c r="BF11" s="4">
        <f t="shared" si="7"/>
        <v>1.1573721537941662E-12</v>
      </c>
      <c r="BG11" s="4">
        <f t="shared" si="7"/>
        <v>1.1807188125226137E-12</v>
      </c>
      <c r="BH11" s="4">
        <f t="shared" si="7"/>
        <v>1.2046694835030696E-12</v>
      </c>
      <c r="BI11" s="4">
        <f t="shared" si="7"/>
        <v>1.2292424211466852E-12</v>
      </c>
      <c r="BJ11" s="4">
        <f t="shared" si="7"/>
        <v>1.2544565023107406E-12</v>
      </c>
      <c r="BK11" s="4">
        <f t="shared" si="7"/>
        <v>1.2803312497418821E-12</v>
      </c>
      <c r="BL11" s="4">
        <f t="shared" si="7"/>
        <v>1.3068868564806811E-12</v>
      </c>
      <c r="BM11" s="4">
        <f t="shared" si="7"/>
        <v>1.3341442112699837E-12</v>
      </c>
      <c r="BN11" s="4">
        <f t="shared" si="7"/>
        <v>1.3621249250115335E-12</v>
      </c>
      <c r="BO11" s="4">
        <f t="shared" si="7"/>
        <v>1.3908513583174526E-12</v>
      </c>
      <c r="BP11" s="4">
        <f t="shared" si="7"/>
        <v>1.4203466502053754E-12</v>
      </c>
      <c r="BQ11" s="4">
        <f t="shared" si="7"/>
        <v>1.4506347479883623E-12</v>
      </c>
      <c r="BR11" s="4">
        <f t="shared" si="7"/>
        <v>1.4817404384131514E-12</v>
      </c>
      <c r="BS11" s="4">
        <f t="shared" si="4"/>
        <v>1.5136893801028809E-12</v>
      </c>
      <c r="BT11" s="4">
        <f t="shared" si="1"/>
        <v>1.5465081373630996E-12</v>
      </c>
      <c r="BU11" s="4">
        <f t="shared" si="1"/>
        <v>1.5802242154127319E-12</v>
      </c>
      <c r="BV11" s="4">
        <f t="shared" si="1"/>
        <v>1.6148660971046259E-12</v>
      </c>
      <c r="BW11" s="4">
        <f t="shared" si="1"/>
        <v>1.6504632812034496E-12</v>
      </c>
      <c r="BX11" s="4">
        <f t="shared" si="1"/>
        <v>1.6870463222919992E-12</v>
      </c>
      <c r="BY11" s="4">
        <f t="shared" si="1"/>
        <v>1.7246468723804268E-12</v>
      </c>
      <c r="BZ11" s="4">
        <f t="shared" si="1"/>
        <v>1.7632977242965595E-12</v>
      </c>
      <c r="CA11" s="4">
        <f t="shared" si="1"/>
        <v>1.8030328569392829E-12</v>
      </c>
      <c r="CB11" s="4">
        <f t="shared" si="1"/>
        <v>1.8438874824810165E-12</v>
      </c>
      <c r="CC11" s="4">
        <f t="shared" si="1"/>
        <v>1.8858980956095196E-12</v>
      </c>
      <c r="CD11" s="4">
        <f t="shared" si="1"/>
        <v>1.9291025249037544E-12</v>
      </c>
      <c r="CE11" s="4">
        <f t="shared" si="1"/>
        <v>1.973539986443192E-12</v>
      </c>
      <c r="CF11" s="4">
        <f t="shared" si="1"/>
        <v>2.01925113975492E-12</v>
      </c>
      <c r="CG11" s="4">
        <f t="shared" si="1"/>
        <v>2.0662781462080846E-12</v>
      </c>
      <c r="CH11" s="4">
        <f t="shared" si="1"/>
        <v>2.1146647299706847E-12</v>
      </c>
      <c r="CI11" s="4">
        <f t="shared" si="1"/>
        <v>2.1644562416494935E-12</v>
      </c>
      <c r="CJ11" s="4">
        <f t="shared" si="1"/>
        <v>2.2156997247399702E-12</v>
      </c>
      <c r="CK11" s="4">
        <f t="shared" si="1"/>
        <v>2.2684439850193926E-12</v>
      </c>
      <c r="CL11" s="4">
        <f t="shared" si="1"/>
        <v>2.3227396630231918E-12</v>
      </c>
      <c r="CM11" s="4">
        <f t="shared" si="1"/>
        <v>2.3786393097515612E-12</v>
      </c>
      <c r="CN11" s="4">
        <f t="shared" si="1"/>
        <v>2.4361974657609045E-12</v>
      </c>
      <c r="CO11" s="4">
        <f t="shared" si="1"/>
        <v>2.4954707438025287E-12</v>
      </c>
      <c r="CP11" s="4">
        <f t="shared" si="1"/>
        <v>2.5565179151793431E-12</v>
      </c>
      <c r="CQ11" s="4">
        <f t="shared" si="1"/>
        <v>2.6194000000000278E-12</v>
      </c>
    </row>
    <row r="12" spans="1:95">
      <c r="A12" s="3">
        <v>10</v>
      </c>
      <c r="B12" s="17" t="str">
        <f>データファイル用!$B13</f>
        <v>MEWS Building Membrane VI</v>
      </c>
      <c r="C12" s="18">
        <f>データファイル用!G13</f>
        <v>2.4912E-13</v>
      </c>
      <c r="D12" s="19">
        <f>データファイル用!H13</f>
        <v>2.5028999999999999</v>
      </c>
      <c r="E12" s="20">
        <f>データファイル用!I13</f>
        <v>-2.2913000000000001</v>
      </c>
      <c r="F12" s="42">
        <f>データファイル用!J13</f>
        <v>9.0327000000000002</v>
      </c>
      <c r="G12" s="4">
        <f t="shared" si="2"/>
        <v>0</v>
      </c>
      <c r="H12" s="4">
        <f t="shared" si="2"/>
        <v>1.4091512978986085E-18</v>
      </c>
      <c r="I12" s="4">
        <f t="shared" si="2"/>
        <v>7.9874030746885582E-18</v>
      </c>
      <c r="J12" s="4">
        <f t="shared" si="2"/>
        <v>2.203659111260397E-17</v>
      </c>
      <c r="K12" s="4">
        <f t="shared" si="2"/>
        <v>4.5274491100195868E-17</v>
      </c>
      <c r="L12" s="4">
        <f t="shared" si="2"/>
        <v>7.9142479018671665E-17</v>
      </c>
      <c r="M12" s="4">
        <f t="shared" si="2"/>
        <v>1.2490861542597613E-16</v>
      </c>
      <c r="N12" s="4">
        <f t="shared" si="2"/>
        <v>1.837187697759551E-16</v>
      </c>
      <c r="O12" s="4">
        <f t="shared" si="2"/>
        <v>2.5662656911564888E-16</v>
      </c>
      <c r="P12" s="4">
        <f t="shared" si="2"/>
        <v>3.4461278731602865E-16</v>
      </c>
      <c r="Q12" s="4">
        <f t="shared" si="2"/>
        <v>4.4859880087205275E-16</v>
      </c>
      <c r="R12" s="4">
        <f t="shared" si="2"/>
        <v>5.6945645471751881E-16</v>
      </c>
      <c r="S12" s="4">
        <f t="shared" si="2"/>
        <v>7.0801567814274563E-16</v>
      </c>
      <c r="T12" s="4">
        <f t="shared" si="2"/>
        <v>8.6507071764014335E-16</v>
      </c>
      <c r="U12" s="4">
        <f t="shared" si="2"/>
        <v>1.0413856355754152E-15</v>
      </c>
      <c r="V12" s="4">
        <f t="shared" si="2"/>
        <v>1.2376996486920975E-15</v>
      </c>
      <c r="W12" s="4">
        <f t="shared" si="5"/>
        <v>1.4547329003538857E-15</v>
      </c>
      <c r="X12" s="4">
        <f t="shared" si="5"/>
        <v>1.6931933552174953E-15</v>
      </c>
      <c r="Y12" s="4">
        <f t="shared" si="5"/>
        <v>1.9537856688719566E-15</v>
      </c>
      <c r="Z12" s="4">
        <f t="shared" si="5"/>
        <v>2.2372231200591933E-15</v>
      </c>
      <c r="AA12" s="4">
        <f t="shared" si="5"/>
        <v>2.5442440071971565E-15</v>
      </c>
      <c r="AB12" s="4">
        <f t="shared" si="5"/>
        <v>2.8756343170104524E-15</v>
      </c>
      <c r="AC12" s="4">
        <f t="shared" si="5"/>
        <v>3.2322589902404042E-15</v>
      </c>
      <c r="AD12" s="4">
        <f t="shared" si="5"/>
        <v>3.6151047654595097E-15</v>
      </c>
      <c r="AE12" s="4">
        <f t="shared" si="5"/>
        <v>4.0253384180481265E-15</v>
      </c>
      <c r="AF12" s="4">
        <f t="shared" si="5"/>
        <v>4.4643852893967912E-15</v>
      </c>
      <c r="AG12" s="4">
        <f t="shared" si="5"/>
        <v>4.934034416450093E-15</v>
      </c>
      <c r="AH12" s="4">
        <f t="shared" si="5"/>
        <v>5.4365784711800515E-15</v>
      </c>
      <c r="AI12" s="4">
        <f t="shared" si="5"/>
        <v>5.9749993333255926E-15</v>
      </c>
      <c r="AJ12" s="4">
        <f t="shared" si="5"/>
        <v>6.5532138076241726E-15</v>
      </c>
      <c r="AK12" s="4">
        <f t="shared" si="5"/>
        <v>7.176399324129375E-15</v>
      </c>
      <c r="AL12" s="4">
        <f t="shared" si="5"/>
        <v>7.8514273192994737E-15</v>
      </c>
      <c r="AM12" s="4">
        <f t="shared" si="6"/>
        <v>8.5874438043135915E-15</v>
      </c>
      <c r="AN12" s="4">
        <f t="shared" si="6"/>
        <v>9.3966546611281525E-15</v>
      </c>
      <c r="AO12" s="4">
        <f t="shared" si="6"/>
        <v>1.0295401165451667E-14</v>
      </c>
      <c r="AP12" s="4">
        <f t="shared" si="6"/>
        <v>1.1305655228772262E-14</v>
      </c>
      <c r="AQ12" s="4">
        <f t="shared" si="6"/>
        <v>1.2457134156920665E-14</v>
      </c>
      <c r="AR12" s="4">
        <f t="shared" si="6"/>
        <v>1.3790348990688545E-14</v>
      </c>
      <c r="AS12" s="4">
        <f t="shared" si="6"/>
        <v>1.536108972223283E-14</v>
      </c>
      <c r="AT12" s="4">
        <f t="shared" si="6"/>
        <v>1.7247170630723255E-14</v>
      </c>
      <c r="AU12" s="4">
        <f t="shared" si="6"/>
        <v>1.9558812560849224E-14</v>
      </c>
      <c r="AV12" s="4">
        <f t="shared" si="6"/>
        <v>2.2455021350358539E-14</v>
      </c>
      <c r="AW12" s="4">
        <f t="shared" si="6"/>
        <v>2.6170113913686997E-14</v>
      </c>
      <c r="AX12" s="4">
        <f t="shared" si="6"/>
        <v>3.105791364990635E-14</v>
      </c>
      <c r="AY12" s="4">
        <f t="shared" si="6"/>
        <v>3.7667685626116533E-14</v>
      </c>
      <c r="AZ12" s="4">
        <f t="shared" si="6"/>
        <v>4.6879071127480498E-14</v>
      </c>
      <c r="BA12" s="4">
        <f t="shared" si="6"/>
        <v>6.0150902298079035E-14</v>
      </c>
      <c r="BB12" s="4">
        <f t="shared" si="6"/>
        <v>7.9999149686800576E-14</v>
      </c>
      <c r="BC12" s="4">
        <f t="shared" si="7"/>
        <v>1.1095755105295798E-13</v>
      </c>
      <c r="BD12" s="4">
        <f t="shared" si="7"/>
        <v>1.1292529366397338E-13</v>
      </c>
      <c r="BE12" s="4">
        <f t="shared" si="7"/>
        <v>1.1494206598425041E-13</v>
      </c>
      <c r="BF12" s="4">
        <f t="shared" si="7"/>
        <v>1.1700935272538122E-13</v>
      </c>
      <c r="BG12" s="4">
        <f t="shared" si="7"/>
        <v>1.1912869058233612E-13</v>
      </c>
      <c r="BH12" s="4">
        <f t="shared" si="7"/>
        <v>1.2130167028189099E-13</v>
      </c>
      <c r="BI12" s="4">
        <f t="shared" si="7"/>
        <v>1.2352993872024452E-13</v>
      </c>
      <c r="BJ12" s="4">
        <f t="shared" si="7"/>
        <v>1.2581520119405997E-13</v>
      </c>
      <c r="BK12" s="4">
        <f t="shared" si="7"/>
        <v>1.2815922372938443E-13</v>
      </c>
      <c r="BL12" s="4">
        <f t="shared" si="7"/>
        <v>1.3056383551312643E-13</v>
      </c>
      <c r="BM12" s="4">
        <f t="shared" si="7"/>
        <v>1.3303093143201553E-13</v>
      </c>
      <c r="BN12" s="4">
        <f t="shared" si="7"/>
        <v>1.3556247472422164E-13</v>
      </c>
      <c r="BO12" s="4">
        <f t="shared" si="7"/>
        <v>1.3816049974908228E-13</v>
      </c>
      <c r="BP12" s="4">
        <f t="shared" si="7"/>
        <v>1.4082711488066929E-13</v>
      </c>
      <c r="BQ12" s="4">
        <f t="shared" si="7"/>
        <v>1.4356450553122667E-13</v>
      </c>
      <c r="BR12" s="4">
        <f t="shared" si="7"/>
        <v>1.4637493731082957E-13</v>
      </c>
      <c r="BS12" s="4">
        <f t="shared" si="4"/>
        <v>1.4926075932994733E-13</v>
      </c>
      <c r="BT12" s="4">
        <f t="shared" si="1"/>
        <v>1.5222440765194876E-13</v>
      </c>
      <c r="BU12" s="4">
        <f t="shared" si="1"/>
        <v>1.55268408902961E-13</v>
      </c>
      <c r="BV12" s="4">
        <f t="shared" si="1"/>
        <v>1.5839538404688808E-13</v>
      </c>
      <c r="BW12" s="4">
        <f t="shared" si="1"/>
        <v>1.6160805233381458E-13</v>
      </c>
      <c r="BX12" s="4">
        <f t="shared" si="1"/>
        <v>1.6490923543045791E-13</v>
      </c>
      <c r="BY12" s="4">
        <f t="shared" si="1"/>
        <v>1.6830186174180353E-13</v>
      </c>
      <c r="BZ12" s="4">
        <f t="shared" si="1"/>
        <v>1.7178897093354869E-13</v>
      </c>
      <c r="CA12" s="4">
        <f t="shared" si="1"/>
        <v>1.7537371866550309E-13</v>
      </c>
      <c r="CB12" s="4">
        <f t="shared" si="1"/>
        <v>1.7905938154664804E-13</v>
      </c>
      <c r="CC12" s="4">
        <f t="shared" si="1"/>
        <v>1.8284936232314022E-13</v>
      </c>
      <c r="CD12" s="4">
        <f t="shared" si="1"/>
        <v>1.8674719531116521E-13</v>
      </c>
      <c r="CE12" s="4">
        <f t="shared" si="1"/>
        <v>1.9075655208720129E-13</v>
      </c>
      <c r="CF12" s="4">
        <f t="shared" si="1"/>
        <v>1.9488124744894822E-13</v>
      </c>
      <c r="CG12" s="4">
        <f t="shared" si="1"/>
        <v>1.9912524566091016E-13</v>
      </c>
      <c r="CH12" s="4">
        <f t="shared" si="1"/>
        <v>2.0349266699940072E-13</v>
      </c>
      <c r="CI12" s="4">
        <f t="shared" si="1"/>
        <v>2.0798779461256358E-13</v>
      </c>
      <c r="CJ12" s="4">
        <f t="shared" si="1"/>
        <v>2.1261508171187394E-13</v>
      </c>
      <c r="CK12" s="4">
        <f t="shared" si="1"/>
        <v>2.1737915911251571E-13</v>
      </c>
      <c r="CL12" s="4">
        <f t="shared" si="1"/>
        <v>2.2228484314100878E-13</v>
      </c>
      <c r="CM12" s="4">
        <f t="shared" si="1"/>
        <v>2.2733714392950315E-13</v>
      </c>
      <c r="CN12" s="4">
        <f t="shared" si="1"/>
        <v>2.3254127411726083E-13</v>
      </c>
      <c r="CO12" s="4">
        <f t="shared" si="1"/>
        <v>2.3790265798101906E-13</v>
      </c>
      <c r="CP12" s="4">
        <f t="shared" si="1"/>
        <v>2.4342694101716853E-13</v>
      </c>
      <c r="CQ12" s="4">
        <f t="shared" si="1"/>
        <v>2.4912000000000253E-13</v>
      </c>
    </row>
    <row r="13" spans="1:95">
      <c r="A13" s="3">
        <v>11</v>
      </c>
      <c r="B13" s="17" t="str">
        <f>データファイル用!$B14</f>
        <v>MEWS Building Membrane VII</v>
      </c>
      <c r="C13" s="18">
        <f>データファイル用!G14</f>
        <v>2.6E-13</v>
      </c>
      <c r="D13" s="19">
        <f>データファイル用!H14</f>
        <v>0</v>
      </c>
      <c r="E13" s="20">
        <f>データファイル用!I14</f>
        <v>0</v>
      </c>
      <c r="F13" s="42">
        <f>データファイル用!J14</f>
        <v>0</v>
      </c>
      <c r="G13" s="4">
        <f t="shared" si="2"/>
        <v>2.6E-13</v>
      </c>
      <c r="H13" s="4">
        <f t="shared" si="2"/>
        <v>2.6E-13</v>
      </c>
      <c r="I13" s="4">
        <f t="shared" si="2"/>
        <v>2.6E-13</v>
      </c>
      <c r="J13" s="4">
        <f t="shared" si="2"/>
        <v>2.6E-13</v>
      </c>
      <c r="K13" s="4">
        <f t="shared" si="2"/>
        <v>2.6E-13</v>
      </c>
      <c r="L13" s="4">
        <f t="shared" si="2"/>
        <v>2.6E-13</v>
      </c>
      <c r="M13" s="4">
        <f t="shared" si="2"/>
        <v>2.6E-13</v>
      </c>
      <c r="N13" s="4">
        <f t="shared" si="2"/>
        <v>2.6E-13</v>
      </c>
      <c r="O13" s="4">
        <f t="shared" si="2"/>
        <v>2.6E-13</v>
      </c>
      <c r="P13" s="4">
        <f t="shared" si="2"/>
        <v>2.6E-13</v>
      </c>
      <c r="Q13" s="4">
        <f t="shared" si="2"/>
        <v>2.6E-13</v>
      </c>
      <c r="R13" s="4">
        <f t="shared" si="2"/>
        <v>2.6E-13</v>
      </c>
      <c r="S13" s="4">
        <f t="shared" si="2"/>
        <v>2.6E-13</v>
      </c>
      <c r="T13" s="4">
        <f t="shared" si="2"/>
        <v>2.6E-13</v>
      </c>
      <c r="U13" s="4">
        <f t="shared" si="2"/>
        <v>2.6E-13</v>
      </c>
      <c r="V13" s="4">
        <f t="shared" si="2"/>
        <v>2.6E-13</v>
      </c>
      <c r="W13" s="4">
        <f t="shared" si="5"/>
        <v>2.6E-13</v>
      </c>
      <c r="X13" s="4">
        <f t="shared" si="5"/>
        <v>2.6E-13</v>
      </c>
      <c r="Y13" s="4">
        <f t="shared" si="5"/>
        <v>2.6E-13</v>
      </c>
      <c r="Z13" s="4">
        <f t="shared" si="5"/>
        <v>2.6E-13</v>
      </c>
      <c r="AA13" s="4">
        <f t="shared" si="5"/>
        <v>2.6E-13</v>
      </c>
      <c r="AB13" s="4">
        <f t="shared" si="5"/>
        <v>2.6E-13</v>
      </c>
      <c r="AC13" s="4">
        <f t="shared" si="5"/>
        <v>2.6E-13</v>
      </c>
      <c r="AD13" s="4">
        <f t="shared" si="5"/>
        <v>2.6E-13</v>
      </c>
      <c r="AE13" s="4">
        <f t="shared" si="5"/>
        <v>2.6E-13</v>
      </c>
      <c r="AF13" s="4">
        <f t="shared" si="5"/>
        <v>2.6E-13</v>
      </c>
      <c r="AG13" s="4">
        <f t="shared" si="5"/>
        <v>2.6E-13</v>
      </c>
      <c r="AH13" s="4">
        <f t="shared" si="5"/>
        <v>2.6E-13</v>
      </c>
      <c r="AI13" s="4">
        <f t="shared" si="5"/>
        <v>2.6E-13</v>
      </c>
      <c r="AJ13" s="4">
        <f t="shared" si="5"/>
        <v>2.6E-13</v>
      </c>
      <c r="AK13" s="4">
        <f t="shared" si="5"/>
        <v>2.6E-13</v>
      </c>
      <c r="AL13" s="4">
        <f t="shared" si="5"/>
        <v>2.6E-13</v>
      </c>
      <c r="AM13" s="4">
        <f t="shared" si="6"/>
        <v>2.6E-13</v>
      </c>
      <c r="AN13" s="4">
        <f t="shared" si="6"/>
        <v>2.6E-13</v>
      </c>
      <c r="AO13" s="4">
        <f t="shared" si="6"/>
        <v>2.6E-13</v>
      </c>
      <c r="AP13" s="4">
        <f t="shared" si="6"/>
        <v>2.6E-13</v>
      </c>
      <c r="AQ13" s="4">
        <f t="shared" si="6"/>
        <v>2.6E-13</v>
      </c>
      <c r="AR13" s="4">
        <f t="shared" si="6"/>
        <v>2.6E-13</v>
      </c>
      <c r="AS13" s="4">
        <f t="shared" si="6"/>
        <v>2.6E-13</v>
      </c>
      <c r="AT13" s="4">
        <f t="shared" si="6"/>
        <v>2.6E-13</v>
      </c>
      <c r="AU13" s="4">
        <f t="shared" si="6"/>
        <v>2.6E-13</v>
      </c>
      <c r="AV13" s="4">
        <f t="shared" si="6"/>
        <v>2.6E-13</v>
      </c>
      <c r="AW13" s="4">
        <f t="shared" si="6"/>
        <v>2.6E-13</v>
      </c>
      <c r="AX13" s="4">
        <f t="shared" si="6"/>
        <v>2.6E-13</v>
      </c>
      <c r="AY13" s="4">
        <f t="shared" si="6"/>
        <v>2.6E-13</v>
      </c>
      <c r="AZ13" s="4">
        <f t="shared" si="6"/>
        <v>2.6E-13</v>
      </c>
      <c r="BA13" s="4">
        <f t="shared" si="6"/>
        <v>2.6E-13</v>
      </c>
      <c r="BB13" s="4">
        <f t="shared" si="6"/>
        <v>2.6E-13</v>
      </c>
      <c r="BC13" s="4">
        <f t="shared" si="7"/>
        <v>2.6E-13</v>
      </c>
      <c r="BD13" s="4">
        <f t="shared" si="7"/>
        <v>2.6E-13</v>
      </c>
      <c r="BE13" s="4">
        <f t="shared" si="7"/>
        <v>2.6E-13</v>
      </c>
      <c r="BF13" s="4">
        <f t="shared" si="7"/>
        <v>2.6E-13</v>
      </c>
      <c r="BG13" s="4">
        <f t="shared" si="7"/>
        <v>2.6E-13</v>
      </c>
      <c r="BH13" s="4">
        <f t="shared" si="7"/>
        <v>2.6E-13</v>
      </c>
      <c r="BI13" s="4">
        <f t="shared" si="7"/>
        <v>2.6E-13</v>
      </c>
      <c r="BJ13" s="4">
        <f t="shared" si="7"/>
        <v>2.6E-13</v>
      </c>
      <c r="BK13" s="4">
        <f t="shared" si="7"/>
        <v>2.6E-13</v>
      </c>
      <c r="BL13" s="4">
        <f t="shared" si="7"/>
        <v>2.6E-13</v>
      </c>
      <c r="BM13" s="4">
        <f t="shared" si="7"/>
        <v>2.6E-13</v>
      </c>
      <c r="BN13" s="4">
        <f t="shared" si="7"/>
        <v>2.6E-13</v>
      </c>
      <c r="BO13" s="4">
        <f t="shared" si="7"/>
        <v>2.6E-13</v>
      </c>
      <c r="BP13" s="4">
        <f t="shared" si="7"/>
        <v>2.6E-13</v>
      </c>
      <c r="BQ13" s="4">
        <f t="shared" si="7"/>
        <v>2.6E-13</v>
      </c>
      <c r="BR13" s="4">
        <f t="shared" si="7"/>
        <v>2.6E-13</v>
      </c>
      <c r="BS13" s="4">
        <f t="shared" si="4"/>
        <v>2.6E-13</v>
      </c>
      <c r="BT13" s="4">
        <f t="shared" si="1"/>
        <v>2.6E-13</v>
      </c>
      <c r="BU13" s="4">
        <f t="shared" si="1"/>
        <v>2.6E-13</v>
      </c>
      <c r="BV13" s="4">
        <f t="shared" si="1"/>
        <v>2.6E-13</v>
      </c>
      <c r="BW13" s="4">
        <f t="shared" si="1"/>
        <v>2.6E-13</v>
      </c>
      <c r="BX13" s="4">
        <f t="shared" si="1"/>
        <v>2.6E-13</v>
      </c>
      <c r="BY13" s="4">
        <f t="shared" si="1"/>
        <v>2.6E-13</v>
      </c>
      <c r="BZ13" s="4">
        <f t="shared" si="1"/>
        <v>2.6E-13</v>
      </c>
      <c r="CA13" s="4">
        <f t="shared" si="1"/>
        <v>2.6E-13</v>
      </c>
      <c r="CB13" s="4">
        <f t="shared" si="1"/>
        <v>2.6E-13</v>
      </c>
      <c r="CC13" s="4">
        <f t="shared" si="1"/>
        <v>2.6E-13</v>
      </c>
      <c r="CD13" s="4">
        <f t="shared" si="1"/>
        <v>2.6E-13</v>
      </c>
      <c r="CE13" s="4">
        <f t="shared" si="1"/>
        <v>2.6E-13</v>
      </c>
      <c r="CF13" s="4">
        <f t="shared" si="1"/>
        <v>2.6E-13</v>
      </c>
      <c r="CG13" s="4">
        <f t="shared" si="1"/>
        <v>2.6E-13</v>
      </c>
      <c r="CH13" s="4">
        <f t="shared" si="1"/>
        <v>2.6E-13</v>
      </c>
      <c r="CI13" s="4">
        <f t="shared" ref="CI13:CQ13" si="8">$C13*IF(AND(CI$2=0,$D13=0),1,CI$2^$D13)*EXP($E13*(1-IF(AND(CI$2=0,$F13=0),1,CI$2^$F13)))</f>
        <v>2.6E-13</v>
      </c>
      <c r="CJ13" s="4">
        <f t="shared" si="8"/>
        <v>2.6E-13</v>
      </c>
      <c r="CK13" s="4">
        <f t="shared" si="8"/>
        <v>2.6E-13</v>
      </c>
      <c r="CL13" s="4">
        <f t="shared" si="8"/>
        <v>2.6E-13</v>
      </c>
      <c r="CM13" s="4">
        <f t="shared" si="8"/>
        <v>2.6E-13</v>
      </c>
      <c r="CN13" s="4">
        <f t="shared" si="8"/>
        <v>2.6E-13</v>
      </c>
      <c r="CO13" s="4">
        <f t="shared" si="8"/>
        <v>2.6E-13</v>
      </c>
      <c r="CP13" s="4">
        <f t="shared" si="8"/>
        <v>2.6E-13</v>
      </c>
      <c r="CQ13" s="4">
        <f t="shared" si="8"/>
        <v>2.6E-13</v>
      </c>
    </row>
    <row r="14" spans="1:95">
      <c r="A14" s="3">
        <v>12</v>
      </c>
      <c r="B14" s="17" t="str">
        <f>データファイル用!$B15</f>
        <v>MEWS Building Membrane VIII</v>
      </c>
      <c r="C14" s="18">
        <f>データファイル用!G15</f>
        <v>1.6E-13</v>
      </c>
      <c r="D14" s="19">
        <f>データファイル用!H15</f>
        <v>0</v>
      </c>
      <c r="E14" s="20">
        <f>データファイル用!I15</f>
        <v>0</v>
      </c>
      <c r="F14" s="42">
        <f>データファイル用!J15</f>
        <v>0</v>
      </c>
      <c r="G14" s="4">
        <f t="shared" si="2"/>
        <v>1.6E-13</v>
      </c>
      <c r="H14" s="4">
        <f t="shared" si="2"/>
        <v>1.6E-13</v>
      </c>
      <c r="I14" s="4">
        <f t="shared" si="2"/>
        <v>1.6E-13</v>
      </c>
      <c r="J14" s="4">
        <f t="shared" si="2"/>
        <v>1.6E-13</v>
      </c>
      <c r="K14" s="4">
        <f t="shared" si="2"/>
        <v>1.6E-13</v>
      </c>
      <c r="L14" s="4">
        <f t="shared" si="2"/>
        <v>1.6E-13</v>
      </c>
      <c r="M14" s="4">
        <f t="shared" si="2"/>
        <v>1.6E-13</v>
      </c>
      <c r="N14" s="4">
        <f t="shared" si="2"/>
        <v>1.6E-13</v>
      </c>
      <c r="O14" s="4">
        <f t="shared" si="2"/>
        <v>1.6E-13</v>
      </c>
      <c r="P14" s="4">
        <f t="shared" si="2"/>
        <v>1.6E-13</v>
      </c>
      <c r="Q14" s="4">
        <f t="shared" si="2"/>
        <v>1.6E-13</v>
      </c>
      <c r="R14" s="4">
        <f t="shared" si="2"/>
        <v>1.6E-13</v>
      </c>
      <c r="S14" s="4">
        <f t="shared" si="2"/>
        <v>1.6E-13</v>
      </c>
      <c r="T14" s="4">
        <f t="shared" si="2"/>
        <v>1.6E-13</v>
      </c>
      <c r="U14" s="4">
        <f t="shared" si="2"/>
        <v>1.6E-13</v>
      </c>
      <c r="V14" s="4">
        <f t="shared" si="2"/>
        <v>1.6E-13</v>
      </c>
      <c r="W14" s="4">
        <f t="shared" si="5"/>
        <v>1.6E-13</v>
      </c>
      <c r="X14" s="4">
        <f t="shared" si="5"/>
        <v>1.6E-13</v>
      </c>
      <c r="Y14" s="4">
        <f t="shared" si="5"/>
        <v>1.6E-13</v>
      </c>
      <c r="Z14" s="4">
        <f t="shared" si="5"/>
        <v>1.6E-13</v>
      </c>
      <c r="AA14" s="4">
        <f t="shared" si="5"/>
        <v>1.6E-13</v>
      </c>
      <c r="AB14" s="4">
        <f t="shared" si="5"/>
        <v>1.6E-13</v>
      </c>
      <c r="AC14" s="4">
        <f t="shared" si="5"/>
        <v>1.6E-13</v>
      </c>
      <c r="AD14" s="4">
        <f t="shared" si="5"/>
        <v>1.6E-13</v>
      </c>
      <c r="AE14" s="4">
        <f t="shared" si="5"/>
        <v>1.6E-13</v>
      </c>
      <c r="AF14" s="4">
        <f t="shared" si="5"/>
        <v>1.6E-13</v>
      </c>
      <c r="AG14" s="4">
        <f t="shared" si="5"/>
        <v>1.6E-13</v>
      </c>
      <c r="AH14" s="4">
        <f t="shared" si="5"/>
        <v>1.6E-13</v>
      </c>
      <c r="AI14" s="4">
        <f t="shared" si="5"/>
        <v>1.6E-13</v>
      </c>
      <c r="AJ14" s="4">
        <f t="shared" si="5"/>
        <v>1.6E-13</v>
      </c>
      <c r="AK14" s="4">
        <f t="shared" si="5"/>
        <v>1.6E-13</v>
      </c>
      <c r="AL14" s="4">
        <f t="shared" si="5"/>
        <v>1.6E-13</v>
      </c>
      <c r="AM14" s="4">
        <f t="shared" si="6"/>
        <v>1.6E-13</v>
      </c>
      <c r="AN14" s="4">
        <f t="shared" si="6"/>
        <v>1.6E-13</v>
      </c>
      <c r="AO14" s="4">
        <f t="shared" si="6"/>
        <v>1.6E-13</v>
      </c>
      <c r="AP14" s="4">
        <f t="shared" si="6"/>
        <v>1.6E-13</v>
      </c>
      <c r="AQ14" s="4">
        <f t="shared" si="6"/>
        <v>1.6E-13</v>
      </c>
      <c r="AR14" s="4">
        <f t="shared" si="6"/>
        <v>1.6E-13</v>
      </c>
      <c r="AS14" s="4">
        <f t="shared" si="6"/>
        <v>1.6E-13</v>
      </c>
      <c r="AT14" s="4">
        <f t="shared" si="6"/>
        <v>1.6E-13</v>
      </c>
      <c r="AU14" s="4">
        <f t="shared" si="6"/>
        <v>1.6E-13</v>
      </c>
      <c r="AV14" s="4">
        <f t="shared" si="6"/>
        <v>1.6E-13</v>
      </c>
      <c r="AW14" s="4">
        <f t="shared" si="6"/>
        <v>1.6E-13</v>
      </c>
      <c r="AX14" s="4">
        <f t="shared" si="6"/>
        <v>1.6E-13</v>
      </c>
      <c r="AY14" s="4">
        <f t="shared" si="6"/>
        <v>1.6E-13</v>
      </c>
      <c r="AZ14" s="4">
        <f t="shared" si="6"/>
        <v>1.6E-13</v>
      </c>
      <c r="BA14" s="4">
        <f t="shared" si="6"/>
        <v>1.6E-13</v>
      </c>
      <c r="BB14" s="4">
        <f t="shared" si="6"/>
        <v>1.6E-13</v>
      </c>
      <c r="BC14" s="4">
        <f t="shared" si="7"/>
        <v>1.6E-13</v>
      </c>
      <c r="BD14" s="4">
        <f t="shared" si="7"/>
        <v>1.6E-13</v>
      </c>
      <c r="BE14" s="4">
        <f t="shared" si="7"/>
        <v>1.6E-13</v>
      </c>
      <c r="BF14" s="4">
        <f t="shared" si="7"/>
        <v>1.6E-13</v>
      </c>
      <c r="BG14" s="4">
        <f t="shared" si="7"/>
        <v>1.6E-13</v>
      </c>
      <c r="BH14" s="4">
        <f t="shared" si="7"/>
        <v>1.6E-13</v>
      </c>
      <c r="BI14" s="4">
        <f t="shared" si="7"/>
        <v>1.6E-13</v>
      </c>
      <c r="BJ14" s="4">
        <f t="shared" si="7"/>
        <v>1.6E-13</v>
      </c>
      <c r="BK14" s="4">
        <f t="shared" si="7"/>
        <v>1.6E-13</v>
      </c>
      <c r="BL14" s="4">
        <f t="shared" si="7"/>
        <v>1.6E-13</v>
      </c>
      <c r="BM14" s="4">
        <f t="shared" si="7"/>
        <v>1.6E-13</v>
      </c>
      <c r="BN14" s="4">
        <f t="shared" si="7"/>
        <v>1.6E-13</v>
      </c>
      <c r="BO14" s="4">
        <f t="shared" si="7"/>
        <v>1.6E-13</v>
      </c>
      <c r="BP14" s="4">
        <f t="shared" si="7"/>
        <v>1.6E-13</v>
      </c>
      <c r="BQ14" s="4">
        <f t="shared" si="7"/>
        <v>1.6E-13</v>
      </c>
      <c r="BR14" s="4">
        <f t="shared" si="7"/>
        <v>1.6E-13</v>
      </c>
      <c r="BS14" s="4">
        <f t="shared" si="4"/>
        <v>1.6E-13</v>
      </c>
      <c r="BT14" s="4">
        <f t="shared" si="4"/>
        <v>1.6E-13</v>
      </c>
      <c r="BU14" s="4">
        <f t="shared" si="4"/>
        <v>1.6E-13</v>
      </c>
      <c r="BV14" s="4">
        <f t="shared" si="4"/>
        <v>1.6E-13</v>
      </c>
      <c r="BW14" s="4">
        <f t="shared" si="4"/>
        <v>1.6E-13</v>
      </c>
      <c r="BX14" s="4">
        <f t="shared" si="4"/>
        <v>1.6E-13</v>
      </c>
      <c r="BY14" s="4">
        <f t="shared" si="4"/>
        <v>1.6E-13</v>
      </c>
      <c r="BZ14" s="4">
        <f t="shared" si="4"/>
        <v>1.6E-13</v>
      </c>
      <c r="CA14" s="4">
        <f t="shared" si="4"/>
        <v>1.6E-13</v>
      </c>
      <c r="CB14" s="4">
        <f t="shared" si="4"/>
        <v>1.6E-13</v>
      </c>
      <c r="CC14" s="4">
        <f t="shared" si="4"/>
        <v>1.6E-13</v>
      </c>
      <c r="CD14" s="4">
        <f t="shared" si="4"/>
        <v>1.6E-13</v>
      </c>
      <c r="CE14" s="4">
        <f t="shared" si="4"/>
        <v>1.6E-13</v>
      </c>
      <c r="CF14" s="4">
        <f t="shared" si="4"/>
        <v>1.6E-13</v>
      </c>
      <c r="CG14" s="4">
        <f t="shared" si="4"/>
        <v>1.6E-13</v>
      </c>
      <c r="CH14" s="4">
        <f t="shared" ref="CH14:CQ29" si="9">$C14*IF(AND(CH$2=0,$D14=0),1,CH$2^$D14)*EXP($E14*(1-IF(AND(CH$2=0,$F14=0),1,CH$2^$F14)))</f>
        <v>1.6E-13</v>
      </c>
      <c r="CI14" s="4">
        <f t="shared" si="9"/>
        <v>1.6E-13</v>
      </c>
      <c r="CJ14" s="4">
        <f t="shared" si="9"/>
        <v>1.6E-13</v>
      </c>
      <c r="CK14" s="4">
        <f t="shared" si="9"/>
        <v>1.6E-13</v>
      </c>
      <c r="CL14" s="4">
        <f t="shared" si="9"/>
        <v>1.6E-13</v>
      </c>
      <c r="CM14" s="4">
        <f t="shared" si="9"/>
        <v>1.6E-13</v>
      </c>
      <c r="CN14" s="4">
        <f t="shared" si="9"/>
        <v>1.6E-13</v>
      </c>
      <c r="CO14" s="4">
        <f t="shared" si="9"/>
        <v>1.6E-13</v>
      </c>
      <c r="CP14" s="4">
        <f t="shared" si="9"/>
        <v>1.6E-13</v>
      </c>
      <c r="CQ14" s="4">
        <f t="shared" si="9"/>
        <v>1.6E-13</v>
      </c>
    </row>
    <row r="15" spans="1:95">
      <c r="A15" s="3">
        <v>13</v>
      </c>
      <c r="B15" s="17" t="str">
        <f>データファイル用!$B16</f>
        <v>MEWS Building Membrane IX</v>
      </c>
      <c r="C15" s="18">
        <f>データファイル用!G16</f>
        <v>3.2999999999999998E-14</v>
      </c>
      <c r="D15" s="19">
        <f>データファイル用!H16</f>
        <v>0</v>
      </c>
      <c r="E15" s="20">
        <f>データファイル用!I16</f>
        <v>0</v>
      </c>
      <c r="F15" s="42">
        <f>データファイル用!J16</f>
        <v>0</v>
      </c>
      <c r="G15" s="4">
        <f t="shared" si="2"/>
        <v>3.2999999999999998E-14</v>
      </c>
      <c r="H15" s="4">
        <f t="shared" si="2"/>
        <v>3.2999999999999998E-14</v>
      </c>
      <c r="I15" s="4">
        <f t="shared" si="2"/>
        <v>3.2999999999999998E-14</v>
      </c>
      <c r="J15" s="4">
        <f t="shared" si="2"/>
        <v>3.2999999999999998E-14</v>
      </c>
      <c r="K15" s="4">
        <f t="shared" si="2"/>
        <v>3.2999999999999998E-14</v>
      </c>
      <c r="L15" s="4">
        <f t="shared" si="2"/>
        <v>3.2999999999999998E-14</v>
      </c>
      <c r="M15" s="4">
        <f t="shared" si="2"/>
        <v>3.2999999999999998E-14</v>
      </c>
      <c r="N15" s="4">
        <f t="shared" si="2"/>
        <v>3.2999999999999998E-14</v>
      </c>
      <c r="O15" s="4">
        <f t="shared" si="2"/>
        <v>3.2999999999999998E-14</v>
      </c>
      <c r="P15" s="4">
        <f t="shared" si="2"/>
        <v>3.2999999999999998E-14</v>
      </c>
      <c r="Q15" s="4">
        <f t="shared" si="2"/>
        <v>3.2999999999999998E-14</v>
      </c>
      <c r="R15" s="4">
        <f t="shared" si="2"/>
        <v>3.2999999999999998E-14</v>
      </c>
      <c r="S15" s="4">
        <f t="shared" si="2"/>
        <v>3.2999999999999998E-14</v>
      </c>
      <c r="T15" s="4">
        <f t="shared" si="2"/>
        <v>3.2999999999999998E-14</v>
      </c>
      <c r="U15" s="4">
        <f t="shared" si="2"/>
        <v>3.2999999999999998E-14</v>
      </c>
      <c r="V15" s="4">
        <f t="shared" si="2"/>
        <v>3.2999999999999998E-14</v>
      </c>
      <c r="W15" s="4">
        <f t="shared" si="5"/>
        <v>3.2999999999999998E-14</v>
      </c>
      <c r="X15" s="4">
        <f t="shared" si="5"/>
        <v>3.2999999999999998E-14</v>
      </c>
      <c r="Y15" s="4">
        <f t="shared" si="5"/>
        <v>3.2999999999999998E-14</v>
      </c>
      <c r="Z15" s="4">
        <f t="shared" si="5"/>
        <v>3.2999999999999998E-14</v>
      </c>
      <c r="AA15" s="4">
        <f t="shared" si="5"/>
        <v>3.2999999999999998E-14</v>
      </c>
      <c r="AB15" s="4">
        <f t="shared" si="5"/>
        <v>3.2999999999999998E-14</v>
      </c>
      <c r="AC15" s="4">
        <f t="shared" si="5"/>
        <v>3.2999999999999998E-14</v>
      </c>
      <c r="AD15" s="4">
        <f t="shared" si="5"/>
        <v>3.2999999999999998E-14</v>
      </c>
      <c r="AE15" s="4">
        <f t="shared" si="5"/>
        <v>3.2999999999999998E-14</v>
      </c>
      <c r="AF15" s="4">
        <f t="shared" si="5"/>
        <v>3.2999999999999998E-14</v>
      </c>
      <c r="AG15" s="4">
        <f t="shared" si="5"/>
        <v>3.2999999999999998E-14</v>
      </c>
      <c r="AH15" s="4">
        <f t="shared" si="5"/>
        <v>3.2999999999999998E-14</v>
      </c>
      <c r="AI15" s="4">
        <f t="shared" si="5"/>
        <v>3.2999999999999998E-14</v>
      </c>
      <c r="AJ15" s="4">
        <f t="shared" si="5"/>
        <v>3.2999999999999998E-14</v>
      </c>
      <c r="AK15" s="4">
        <f t="shared" si="5"/>
        <v>3.2999999999999998E-14</v>
      </c>
      <c r="AL15" s="4">
        <f t="shared" si="5"/>
        <v>3.2999999999999998E-14</v>
      </c>
      <c r="AM15" s="4">
        <f t="shared" si="6"/>
        <v>3.2999999999999998E-14</v>
      </c>
      <c r="AN15" s="4">
        <f t="shared" si="6"/>
        <v>3.2999999999999998E-14</v>
      </c>
      <c r="AO15" s="4">
        <f t="shared" si="6"/>
        <v>3.2999999999999998E-14</v>
      </c>
      <c r="AP15" s="4">
        <f t="shared" si="6"/>
        <v>3.2999999999999998E-14</v>
      </c>
      <c r="AQ15" s="4">
        <f t="shared" si="6"/>
        <v>3.2999999999999998E-14</v>
      </c>
      <c r="AR15" s="4">
        <f t="shared" si="6"/>
        <v>3.2999999999999998E-14</v>
      </c>
      <c r="AS15" s="4">
        <f t="shared" si="6"/>
        <v>3.2999999999999998E-14</v>
      </c>
      <c r="AT15" s="4">
        <f t="shared" si="6"/>
        <v>3.2999999999999998E-14</v>
      </c>
      <c r="AU15" s="4">
        <f t="shared" si="6"/>
        <v>3.2999999999999998E-14</v>
      </c>
      <c r="AV15" s="4">
        <f t="shared" si="6"/>
        <v>3.2999999999999998E-14</v>
      </c>
      <c r="AW15" s="4">
        <f t="shared" si="6"/>
        <v>3.2999999999999998E-14</v>
      </c>
      <c r="AX15" s="4">
        <f t="shared" si="6"/>
        <v>3.2999999999999998E-14</v>
      </c>
      <c r="AY15" s="4">
        <f t="shared" si="6"/>
        <v>3.2999999999999998E-14</v>
      </c>
      <c r="AZ15" s="4">
        <f t="shared" si="6"/>
        <v>3.2999999999999998E-14</v>
      </c>
      <c r="BA15" s="4">
        <f t="shared" si="6"/>
        <v>3.2999999999999998E-14</v>
      </c>
      <c r="BB15" s="4">
        <f t="shared" si="6"/>
        <v>3.2999999999999998E-14</v>
      </c>
      <c r="BC15" s="4">
        <f t="shared" si="7"/>
        <v>3.2999999999999998E-14</v>
      </c>
      <c r="BD15" s="4">
        <f t="shared" si="7"/>
        <v>3.2999999999999998E-14</v>
      </c>
      <c r="BE15" s="4">
        <f t="shared" si="7"/>
        <v>3.2999999999999998E-14</v>
      </c>
      <c r="BF15" s="4">
        <f t="shared" si="7"/>
        <v>3.2999999999999998E-14</v>
      </c>
      <c r="BG15" s="4">
        <f t="shared" si="7"/>
        <v>3.2999999999999998E-14</v>
      </c>
      <c r="BH15" s="4">
        <f t="shared" si="7"/>
        <v>3.2999999999999998E-14</v>
      </c>
      <c r="BI15" s="4">
        <f t="shared" si="7"/>
        <v>3.2999999999999998E-14</v>
      </c>
      <c r="BJ15" s="4">
        <f t="shared" si="7"/>
        <v>3.2999999999999998E-14</v>
      </c>
      <c r="BK15" s="4">
        <f t="shared" si="7"/>
        <v>3.2999999999999998E-14</v>
      </c>
      <c r="BL15" s="4">
        <f t="shared" si="7"/>
        <v>3.2999999999999998E-14</v>
      </c>
      <c r="BM15" s="4">
        <f t="shared" si="7"/>
        <v>3.2999999999999998E-14</v>
      </c>
      <c r="BN15" s="4">
        <f t="shared" si="7"/>
        <v>3.2999999999999998E-14</v>
      </c>
      <c r="BO15" s="4">
        <f t="shared" si="7"/>
        <v>3.2999999999999998E-14</v>
      </c>
      <c r="BP15" s="4">
        <f t="shared" si="7"/>
        <v>3.2999999999999998E-14</v>
      </c>
      <c r="BQ15" s="4">
        <f t="shared" si="7"/>
        <v>3.2999999999999998E-14</v>
      </c>
      <c r="BR15" s="4">
        <f t="shared" si="7"/>
        <v>3.2999999999999998E-14</v>
      </c>
      <c r="BS15" s="4">
        <f t="shared" si="4"/>
        <v>3.2999999999999998E-14</v>
      </c>
      <c r="BT15" s="4">
        <f t="shared" si="4"/>
        <v>3.2999999999999998E-14</v>
      </c>
      <c r="BU15" s="4">
        <f t="shared" si="4"/>
        <v>3.2999999999999998E-14</v>
      </c>
      <c r="BV15" s="4">
        <f t="shared" si="4"/>
        <v>3.2999999999999998E-14</v>
      </c>
      <c r="BW15" s="4">
        <f t="shared" si="4"/>
        <v>3.2999999999999998E-14</v>
      </c>
      <c r="BX15" s="4">
        <f t="shared" si="4"/>
        <v>3.2999999999999998E-14</v>
      </c>
      <c r="BY15" s="4">
        <f t="shared" si="4"/>
        <v>3.2999999999999998E-14</v>
      </c>
      <c r="BZ15" s="4">
        <f t="shared" si="4"/>
        <v>3.2999999999999998E-14</v>
      </c>
      <c r="CA15" s="4">
        <f t="shared" si="4"/>
        <v>3.2999999999999998E-14</v>
      </c>
      <c r="CB15" s="4">
        <f t="shared" si="4"/>
        <v>3.2999999999999998E-14</v>
      </c>
      <c r="CC15" s="4">
        <f t="shared" si="4"/>
        <v>3.2999999999999998E-14</v>
      </c>
      <c r="CD15" s="4">
        <f t="shared" si="4"/>
        <v>3.2999999999999998E-14</v>
      </c>
      <c r="CE15" s="4">
        <f t="shared" si="4"/>
        <v>3.2999999999999998E-14</v>
      </c>
      <c r="CF15" s="4">
        <f t="shared" si="4"/>
        <v>3.2999999999999998E-14</v>
      </c>
      <c r="CG15" s="4">
        <f t="shared" si="4"/>
        <v>3.2999999999999998E-14</v>
      </c>
      <c r="CH15" s="4">
        <f t="shared" si="9"/>
        <v>3.2999999999999998E-14</v>
      </c>
      <c r="CI15" s="4">
        <f t="shared" si="9"/>
        <v>3.2999999999999998E-14</v>
      </c>
      <c r="CJ15" s="4">
        <f t="shared" si="9"/>
        <v>3.2999999999999998E-14</v>
      </c>
      <c r="CK15" s="4">
        <f t="shared" si="9"/>
        <v>3.2999999999999998E-14</v>
      </c>
      <c r="CL15" s="4">
        <f t="shared" si="9"/>
        <v>3.2999999999999998E-14</v>
      </c>
      <c r="CM15" s="4">
        <f t="shared" si="9"/>
        <v>3.2999999999999998E-14</v>
      </c>
      <c r="CN15" s="4">
        <f t="shared" si="9"/>
        <v>3.2999999999999998E-14</v>
      </c>
      <c r="CO15" s="4">
        <f t="shared" si="9"/>
        <v>3.2999999999999998E-14</v>
      </c>
      <c r="CP15" s="4">
        <f t="shared" si="9"/>
        <v>3.2999999999999998E-14</v>
      </c>
      <c r="CQ15" s="4">
        <f t="shared" si="9"/>
        <v>3.2999999999999998E-14</v>
      </c>
    </row>
    <row r="16" spans="1:95">
      <c r="A16" s="3">
        <v>14</v>
      </c>
      <c r="B16" s="17" t="str">
        <f>データファイル用!$B17</f>
        <v>MEWS Brick I - White Concrete Brick</v>
      </c>
      <c r="C16" s="18">
        <f>データファイル用!G17</f>
        <v>2.7256E-12</v>
      </c>
      <c r="D16" s="19">
        <f>データファイル用!H17</f>
        <v>8.1136E-2</v>
      </c>
      <c r="E16" s="20">
        <f>データファイル用!I17</f>
        <v>-0.62329000000000001</v>
      </c>
      <c r="F16" s="42">
        <f>データファイル用!J17</f>
        <v>1.2963</v>
      </c>
      <c r="G16" s="4">
        <f t="shared" si="2"/>
        <v>0</v>
      </c>
      <c r="H16" s="4">
        <f t="shared" si="2"/>
        <v>1.0681241047029792E-12</v>
      </c>
      <c r="I16" s="4">
        <f t="shared" si="2"/>
        <v>1.1363687061978963E-12</v>
      </c>
      <c r="J16" s="4">
        <f t="shared" si="2"/>
        <v>1.1822010340323976E-12</v>
      </c>
      <c r="K16" s="4">
        <f t="shared" si="2"/>
        <v>1.2190393367586481E-12</v>
      </c>
      <c r="L16" s="4">
        <f t="shared" si="2"/>
        <v>1.2511733833453948E-12</v>
      </c>
      <c r="M16" s="4">
        <f t="shared" si="2"/>
        <v>1.2805304291203704E-12</v>
      </c>
      <c r="N16" s="4">
        <f t="shared" si="2"/>
        <v>1.3081425692460196E-12</v>
      </c>
      <c r="O16" s="4">
        <f t="shared" si="2"/>
        <v>1.3346270803861291E-12</v>
      </c>
      <c r="P16" s="4">
        <f t="shared" si="2"/>
        <v>1.360382760023243E-12</v>
      </c>
      <c r="Q16" s="4">
        <f t="shared" si="2"/>
        <v>1.3856825698633815E-12</v>
      </c>
      <c r="R16" s="4">
        <f t="shared" si="2"/>
        <v>1.4107220309329344E-12</v>
      </c>
      <c r="S16" s="4">
        <f t="shared" si="2"/>
        <v>1.4356465094324306E-12</v>
      </c>
      <c r="T16" s="4">
        <f t="shared" si="2"/>
        <v>1.4605675456720989E-12</v>
      </c>
      <c r="U16" s="4">
        <f t="shared" si="2"/>
        <v>1.4855731058245138E-12</v>
      </c>
      <c r="V16" s="4">
        <f t="shared" si="2"/>
        <v>1.5107342773386935E-12</v>
      </c>
      <c r="W16" s="4">
        <f t="shared" si="5"/>
        <v>1.53610978888534E-12</v>
      </c>
      <c r="X16" s="4">
        <f t="shared" si="5"/>
        <v>1.5617491489764147E-12</v>
      </c>
      <c r="Y16" s="4">
        <f t="shared" si="5"/>
        <v>1.5876948791444968E-12</v>
      </c>
      <c r="Z16" s="4">
        <f t="shared" si="5"/>
        <v>1.613984137078013E-12</v>
      </c>
      <c r="AA16" s="4">
        <f t="shared" si="5"/>
        <v>1.6406499187590037E-12</v>
      </c>
      <c r="AB16" s="4">
        <f t="shared" si="5"/>
        <v>1.6677219638675767E-12</v>
      </c>
      <c r="AC16" s="4">
        <f t="shared" si="5"/>
        <v>1.6952274480863738E-12</v>
      </c>
      <c r="AD16" s="4">
        <f t="shared" si="5"/>
        <v>1.7231915197883012E-12</v>
      </c>
      <c r="AE16" s="4">
        <f t="shared" si="5"/>
        <v>1.7516377213682804E-12</v>
      </c>
      <c r="AF16" s="4">
        <f t="shared" si="5"/>
        <v>1.7805883239000506E-12</v>
      </c>
      <c r="AG16" s="4">
        <f t="shared" si="5"/>
        <v>1.8100645958665693E-12</v>
      </c>
      <c r="AH16" s="4">
        <f t="shared" si="5"/>
        <v>1.8400870211857914E-12</v>
      </c>
      <c r="AI16" s="4">
        <f t="shared" si="5"/>
        <v>1.8706754778430118E-12</v>
      </c>
      <c r="AJ16" s="4">
        <f t="shared" si="5"/>
        <v>1.9018493856345701E-12</v>
      </c>
      <c r="AK16" s="4">
        <f t="shared" si="5"/>
        <v>1.933627829487425E-12</v>
      </c>
      <c r="AL16" s="4">
        <f t="shared" si="5"/>
        <v>1.9660296633179028E-12</v>
      </c>
      <c r="AM16" s="4">
        <f t="shared" si="6"/>
        <v>1.9990735982760905E-12</v>
      </c>
      <c r="AN16" s="4">
        <f t="shared" si="6"/>
        <v>2.0327782783828896E-12</v>
      </c>
      <c r="AO16" s="4">
        <f t="shared" si="6"/>
        <v>2.0671623459296877E-12</v>
      </c>
      <c r="AP16" s="4">
        <f t="shared" si="6"/>
        <v>2.1022444985228928E-12</v>
      </c>
      <c r="AQ16" s="4">
        <f t="shared" si="6"/>
        <v>2.1380435392790042E-12</v>
      </c>
      <c r="AR16" s="4">
        <f t="shared" si="6"/>
        <v>2.1745784213829061E-12</v>
      </c>
      <c r="AS16" s="4">
        <f t="shared" si="6"/>
        <v>2.2118682879924489E-12</v>
      </c>
      <c r="AT16" s="4">
        <f t="shared" si="6"/>
        <v>2.2499325082911598E-12</v>
      </c>
      <c r="AU16" s="4">
        <f t="shared" si="6"/>
        <v>2.2887907103469842E-12</v>
      </c>
      <c r="AV16" s="4">
        <f t="shared" si="6"/>
        <v>2.3284628113199683E-12</v>
      </c>
      <c r="AW16" s="4">
        <f t="shared" si="6"/>
        <v>2.368969045469323E-12</v>
      </c>
      <c r="AX16" s="4">
        <f t="shared" si="6"/>
        <v>2.4103299903356651E-12</v>
      </c>
      <c r="AY16" s="4">
        <f t="shared" si="6"/>
        <v>2.4525665914135486E-12</v>
      </c>
      <c r="AZ16" s="4">
        <f t="shared" si="6"/>
        <v>2.4957001855799184E-12</v>
      </c>
      <c r="BA16" s="4">
        <f t="shared" si="6"/>
        <v>2.5397525235035659E-12</v>
      </c>
      <c r="BB16" s="4">
        <f t="shared" si="6"/>
        <v>2.5847457912272466E-12</v>
      </c>
      <c r="BC16" s="4">
        <f t="shared" si="7"/>
        <v>2.630702631086571E-12</v>
      </c>
      <c r="BD16" s="4">
        <f t="shared" si="7"/>
        <v>2.6330261794625925E-12</v>
      </c>
      <c r="BE16" s="4">
        <f t="shared" si="7"/>
        <v>2.6353521973851461E-12</v>
      </c>
      <c r="BF16" s="4">
        <f t="shared" si="7"/>
        <v>2.6376806877791974E-12</v>
      </c>
      <c r="BG16" s="4">
        <f t="shared" si="7"/>
        <v>2.6400116535728297E-12</v>
      </c>
      <c r="BH16" s="4">
        <f t="shared" si="7"/>
        <v>2.6423450976972495E-12</v>
      </c>
      <c r="BI16" s="4">
        <f t="shared" si="7"/>
        <v>2.644681023086792E-12</v>
      </c>
      <c r="BJ16" s="4">
        <f t="shared" si="7"/>
        <v>2.6470194326789287E-12</v>
      </c>
      <c r="BK16" s="4">
        <f t="shared" si="7"/>
        <v>2.6493603294142725E-12</v>
      </c>
      <c r="BL16" s="4">
        <f t="shared" si="7"/>
        <v>2.6517037162365831E-12</v>
      </c>
      <c r="BM16" s="4">
        <f t="shared" si="7"/>
        <v>2.6540495960927758E-12</v>
      </c>
      <c r="BN16" s="4">
        <f t="shared" si="7"/>
        <v>2.6563979719329253E-12</v>
      </c>
      <c r="BO16" s="4">
        <f t="shared" si="7"/>
        <v>2.6587488467102723E-12</v>
      </c>
      <c r="BP16" s="4">
        <f t="shared" si="7"/>
        <v>2.6611022233812307E-12</v>
      </c>
      <c r="BQ16" s="4">
        <f t="shared" si="7"/>
        <v>2.663458104905392E-12</v>
      </c>
      <c r="BR16" s="4">
        <f t="shared" si="7"/>
        <v>2.6658164942455335E-12</v>
      </c>
      <c r="BS16" s="4">
        <f t="shared" si="4"/>
        <v>2.6681773943676228E-12</v>
      </c>
      <c r="BT16" s="4">
        <f t="shared" si="4"/>
        <v>2.6705408082408253E-12</v>
      </c>
      <c r="BU16" s="4">
        <f t="shared" si="4"/>
        <v>2.6729067388375085E-12</v>
      </c>
      <c r="BV16" s="4">
        <f t="shared" si="4"/>
        <v>2.6752751891332483E-12</v>
      </c>
      <c r="BW16" s="4">
        <f t="shared" si="4"/>
        <v>2.677646162106839E-12</v>
      </c>
      <c r="BX16" s="4">
        <f t="shared" si="4"/>
        <v>2.6800196607402943E-12</v>
      </c>
      <c r="BY16" s="4">
        <f t="shared" si="4"/>
        <v>2.6823956880188558E-12</v>
      </c>
      <c r="BZ16" s="4">
        <f t="shared" si="4"/>
        <v>2.6847742469309989E-12</v>
      </c>
      <c r="CA16" s="4">
        <f t="shared" si="4"/>
        <v>2.6871553404684392E-12</v>
      </c>
      <c r="CB16" s="4">
        <f t="shared" si="4"/>
        <v>2.689538971626138E-12</v>
      </c>
      <c r="CC16" s="4">
        <f t="shared" si="4"/>
        <v>2.6919251434023083E-12</v>
      </c>
      <c r="CD16" s="4">
        <f t="shared" si="4"/>
        <v>2.6943138587984228E-12</v>
      </c>
      <c r="CE16" s="4">
        <f t="shared" si="4"/>
        <v>2.6967051208192165E-12</v>
      </c>
      <c r="CF16" s="4">
        <f t="shared" si="4"/>
        <v>2.6990989324726958E-12</v>
      </c>
      <c r="CG16" s="4">
        <f t="shared" si="4"/>
        <v>2.7014952967701443E-12</v>
      </c>
      <c r="CH16" s="4">
        <f t="shared" si="9"/>
        <v>2.7038942167261264E-12</v>
      </c>
      <c r="CI16" s="4">
        <f t="shared" si="9"/>
        <v>2.7062956953584972E-12</v>
      </c>
      <c r="CJ16" s="4">
        <f t="shared" si="9"/>
        <v>2.708699735688404E-12</v>
      </c>
      <c r="CK16" s="4">
        <f t="shared" si="9"/>
        <v>2.7111063407402983E-12</v>
      </c>
      <c r="CL16" s="4">
        <f t="shared" si="9"/>
        <v>2.7135155135419351E-12</v>
      </c>
      <c r="CM16" s="4">
        <f t="shared" si="9"/>
        <v>2.7159272571243856E-12</v>
      </c>
      <c r="CN16" s="4">
        <f t="shared" si="9"/>
        <v>2.718341574522037E-12</v>
      </c>
      <c r="CO16" s="4">
        <f t="shared" si="9"/>
        <v>2.7207584687726036E-12</v>
      </c>
      <c r="CP16" s="4">
        <f t="shared" si="9"/>
        <v>2.7231779429171312E-12</v>
      </c>
      <c r="CQ16" s="4">
        <f t="shared" si="9"/>
        <v>2.7256000000000012E-12</v>
      </c>
    </row>
    <row r="17" spans="1:95">
      <c r="A17" s="3">
        <v>15</v>
      </c>
      <c r="B17" s="17" t="str">
        <f>データファイル用!$B18</f>
        <v>MEWS Brick II - Red Matt Clay Brick</v>
      </c>
      <c r="C17" s="18">
        <f>データファイル用!G18</f>
        <v>2.4549E-12</v>
      </c>
      <c r="D17" s="19">
        <f>データファイル用!H18</f>
        <v>1.9824999999999999E-3</v>
      </c>
      <c r="E17" s="20">
        <f>データファイル用!I18</f>
        <v>-2.1107</v>
      </c>
      <c r="F17" s="42">
        <f>データファイル用!J18</f>
        <v>2.113</v>
      </c>
      <c r="G17" s="4">
        <f t="shared" si="2"/>
        <v>0</v>
      </c>
      <c r="H17" s="4">
        <f t="shared" si="2"/>
        <v>2.9528126697091656E-13</v>
      </c>
      <c r="I17" s="4">
        <f t="shared" si="2"/>
        <v>2.9622142809986469E-13</v>
      </c>
      <c r="J17" s="4">
        <f t="shared" si="2"/>
        <v>2.9740441864042467E-13</v>
      </c>
      <c r="K17" s="4">
        <f t="shared" si="2"/>
        <v>2.9895363113893644E-13</v>
      </c>
      <c r="L17" s="4">
        <f t="shared" si="2"/>
        <v>3.0092103579373222E-13</v>
      </c>
      <c r="M17" s="4">
        <f t="shared" si="2"/>
        <v>3.0334067801395715E-13</v>
      </c>
      <c r="N17" s="4">
        <f t="shared" si="2"/>
        <v>3.0624072468313962E-13</v>
      </c>
      <c r="O17" s="4">
        <f t="shared" si="2"/>
        <v>3.0964771961184757E-13</v>
      </c>
      <c r="P17" s="4">
        <f t="shared" si="2"/>
        <v>3.1358855095965997E-13</v>
      </c>
      <c r="Q17" s="4">
        <f t="shared" si="2"/>
        <v>3.180915666876379E-13</v>
      </c>
      <c r="R17" s="4">
        <f t="shared" si="2"/>
        <v>3.2318732559094934E-13</v>
      </c>
      <c r="S17" s="4">
        <f t="shared" si="2"/>
        <v>3.2890918208160065E-13</v>
      </c>
      <c r="T17" s="4">
        <f t="shared" si="2"/>
        <v>3.3529379736009246E-13</v>
      </c>
      <c r="U17" s="4">
        <f t="shared" si="2"/>
        <v>3.4238162591046451E-13</v>
      </c>
      <c r="V17" s="4">
        <f t="shared" si="2"/>
        <v>3.5021740642281695E-13</v>
      </c>
      <c r="W17" s="4">
        <f t="shared" si="5"/>
        <v>3.5885067669895448E-13</v>
      </c>
      <c r="X17" s="4">
        <f t="shared" si="5"/>
        <v>3.6833632740367061E-13</v>
      </c>
      <c r="Y17" s="4">
        <f t="shared" si="5"/>
        <v>3.7873520732597923E-13</v>
      </c>
      <c r="Z17" s="4">
        <f t="shared" si="5"/>
        <v>3.9011479201337947E-13</v>
      </c>
      <c r="AA17" s="4">
        <f t="shared" si="5"/>
        <v>4.025499277019423E-13</v>
      </c>
      <c r="AB17" s="4">
        <f t="shared" si="5"/>
        <v>4.1612366311729286E-13</v>
      </c>
      <c r="AC17" s="4">
        <f t="shared" si="5"/>
        <v>4.3092818283426718E-13</v>
      </c>
      <c r="AD17" s="4">
        <f t="shared" si="5"/>
        <v>4.4706585739808652E-13</v>
      </c>
      <c r="AE17" s="4">
        <f t="shared" si="5"/>
        <v>4.6465042731295702E-13</v>
      </c>
      <c r="AF17" s="4">
        <f t="shared" si="5"/>
        <v>4.8380834030913877E-13</v>
      </c>
      <c r="AG17" s="4">
        <f t="shared" si="5"/>
        <v>5.0468026404171378E-13</v>
      </c>
      <c r="AH17" s="4">
        <f t="shared" si="5"/>
        <v>5.2742279960596899E-13</v>
      </c>
      <c r="AI17" s="4">
        <f t="shared" si="5"/>
        <v>5.5221042504443326E-13</v>
      </c>
      <c r="AJ17" s="4">
        <f t="shared" si="5"/>
        <v>5.7923770245504707E-13</v>
      </c>
      <c r="AK17" s="4">
        <f t="shared" si="5"/>
        <v>6.0872178749315534E-13</v>
      </c>
      <c r="AL17" s="4">
        <f t="shared" si="5"/>
        <v>6.4090528611754577E-13</v>
      </c>
      <c r="AM17" s="4">
        <f t="shared" si="6"/>
        <v>6.7605951051254709E-13</v>
      </c>
      <c r="AN17" s="4">
        <f t="shared" si="6"/>
        <v>7.1448819440296477E-13</v>
      </c>
      <c r="AO17" s="4">
        <f t="shared" si="6"/>
        <v>7.5653173767902503E-13</v>
      </c>
      <c r="AP17" s="4">
        <f t="shared" si="6"/>
        <v>8.0257206161759565E-13</v>
      </c>
      <c r="AQ17" s="4">
        <f t="shared" si="6"/>
        <v>8.5303816932512662E-13</v>
      </c>
      <c r="AR17" s="4">
        <f t="shared" si="6"/>
        <v>9.0841252169595842E-13</v>
      </c>
      <c r="AS17" s="4">
        <f t="shared" si="6"/>
        <v>9.6923835760511801E-13</v>
      </c>
      <c r="AT17" s="4">
        <f t="shared" si="6"/>
        <v>1.0361281087485488E-12</v>
      </c>
      <c r="AU17" s="4">
        <f t="shared" si="6"/>
        <v>1.1097730851168597E-12</v>
      </c>
      <c r="AV17" s="4">
        <f t="shared" si="6"/>
        <v>1.1909546372720996E-12</v>
      </c>
      <c r="AW17" s="4">
        <f t="shared" si="6"/>
        <v>1.2805570372665417E-12</v>
      </c>
      <c r="AX17" s="4">
        <f t="shared" si="6"/>
        <v>1.3795823622484002E-12</v>
      </c>
      <c r="AY17" s="4">
        <f t="shared" si="6"/>
        <v>1.4891677148033493E-12</v>
      </c>
      <c r="AZ17" s="4">
        <f t="shared" si="6"/>
        <v>1.610605173399663E-12</v>
      </c>
      <c r="BA17" s="4">
        <f t="shared" si="6"/>
        <v>1.7453649367651481E-12</v>
      </c>
      <c r="BB17" s="4">
        <f t="shared" si="6"/>
        <v>1.895122209827712E-12</v>
      </c>
      <c r="BC17" s="4">
        <f t="shared" si="7"/>
        <v>2.0617884786562277E-12</v>
      </c>
      <c r="BD17" s="4">
        <f t="shared" si="7"/>
        <v>2.0706035656720298E-12</v>
      </c>
      <c r="BE17" s="4">
        <f t="shared" si="7"/>
        <v>2.0794666126433663E-12</v>
      </c>
      <c r="BF17" s="4">
        <f t="shared" si="7"/>
        <v>2.0883779138261778E-12</v>
      </c>
      <c r="BG17" s="4">
        <f t="shared" si="7"/>
        <v>2.0973377654678266E-12</v>
      </c>
      <c r="BH17" s="4">
        <f t="shared" si="7"/>
        <v>2.1063464658216546E-12</v>
      </c>
      <c r="BI17" s="4">
        <f t="shared" si="7"/>
        <v>2.1154043151616456E-12</v>
      </c>
      <c r="BJ17" s="4">
        <f t="shared" si="7"/>
        <v>2.1245116157972081E-12</v>
      </c>
      <c r="BK17" s="4">
        <f t="shared" si="7"/>
        <v>2.1336686720880752E-12</v>
      </c>
      <c r="BL17" s="4">
        <f t="shared" si="7"/>
        <v>2.1428757904593168E-12</v>
      </c>
      <c r="BM17" s="4">
        <f t="shared" si="7"/>
        <v>2.1521332794164699E-12</v>
      </c>
      <c r="BN17" s="4">
        <f t="shared" si="7"/>
        <v>2.1614414495607883E-12</v>
      </c>
      <c r="BO17" s="4">
        <f t="shared" si="7"/>
        <v>2.1708006136046116E-12</v>
      </c>
      <c r="BP17" s="4">
        <f t="shared" si="7"/>
        <v>2.1802110863868559E-12</v>
      </c>
      <c r="BQ17" s="4">
        <f t="shared" si="7"/>
        <v>2.1896731848886216E-12</v>
      </c>
      <c r="BR17" s="4">
        <f t="shared" si="7"/>
        <v>2.199187228248928E-12</v>
      </c>
      <c r="BS17" s="4">
        <f t="shared" si="4"/>
        <v>2.2087535377805676E-12</v>
      </c>
      <c r="BT17" s="4">
        <f t="shared" si="4"/>
        <v>2.2183724369860888E-12</v>
      </c>
      <c r="BU17" s="4">
        <f t="shared" si="4"/>
        <v>2.2280442515738992E-12</v>
      </c>
      <c r="BV17" s="4">
        <f t="shared" si="4"/>
        <v>2.2377693094745018E-12</v>
      </c>
      <c r="BW17" s="4">
        <f t="shared" si="4"/>
        <v>2.247547940856848E-12</v>
      </c>
      <c r="BX17" s="4">
        <f t="shared" si="4"/>
        <v>2.257380478144835E-12</v>
      </c>
      <c r="BY17" s="4">
        <f t="shared" si="4"/>
        <v>2.2672672560339137E-12</v>
      </c>
      <c r="BZ17" s="4">
        <f t="shared" si="4"/>
        <v>2.2772086115078463E-12</v>
      </c>
      <c r="CA17" s="4">
        <f t="shared" si="4"/>
        <v>2.2872048838555805E-12</v>
      </c>
      <c r="CB17" s="4">
        <f t="shared" si="4"/>
        <v>2.2972564146882669E-12</v>
      </c>
      <c r="CC17" s="4">
        <f t="shared" si="4"/>
        <v>2.3073635479564018E-12</v>
      </c>
      <c r="CD17" s="4">
        <f t="shared" si="4"/>
        <v>2.3175266299671135E-12</v>
      </c>
      <c r="CE17" s="4">
        <f t="shared" si="4"/>
        <v>2.3277460094015795E-12</v>
      </c>
      <c r="CF17" s="4">
        <f t="shared" si="4"/>
        <v>2.3380220373325813E-12</v>
      </c>
      <c r="CG17" s="4">
        <f t="shared" si="4"/>
        <v>2.3483550672422001E-12</v>
      </c>
      <c r="CH17" s="4">
        <f t="shared" si="9"/>
        <v>2.3587454550396516E-12</v>
      </c>
      <c r="CI17" s="4">
        <f t="shared" si="9"/>
        <v>2.369193559079258E-12</v>
      </c>
      <c r="CJ17" s="4">
        <f t="shared" si="9"/>
        <v>2.3796997401785678E-12</v>
      </c>
      <c r="CK17" s="4">
        <f t="shared" si="9"/>
        <v>2.3902643616366137E-12</v>
      </c>
      <c r="CL17" s="4">
        <f t="shared" si="9"/>
        <v>2.4008877892523201E-12</v>
      </c>
      <c r="CM17" s="4">
        <f t="shared" si="9"/>
        <v>2.4115703913430474E-12</v>
      </c>
      <c r="CN17" s="4">
        <f t="shared" si="9"/>
        <v>2.4223125387632973E-12</v>
      </c>
      <c r="CO17" s="4">
        <f t="shared" si="9"/>
        <v>2.4331146049235496E-12</v>
      </c>
      <c r="CP17" s="4">
        <f t="shared" si="9"/>
        <v>2.4439769658092606E-12</v>
      </c>
      <c r="CQ17" s="4">
        <f t="shared" si="9"/>
        <v>2.4549000000000044E-12</v>
      </c>
    </row>
    <row r="18" spans="1:95">
      <c r="A18" s="3">
        <v>16</v>
      </c>
      <c r="B18" s="17" t="str">
        <f>データファイル用!$B19</f>
        <v>MEWS Brick III - Buff Matt Clay Brick</v>
      </c>
      <c r="C18" s="18">
        <f>データファイル用!G19</f>
        <v>9.6645000000000003E-12</v>
      </c>
      <c r="D18" s="19">
        <f>データファイル用!H19</f>
        <v>2.9963E-4</v>
      </c>
      <c r="E18" s="20">
        <f>データファイル用!I19</f>
        <v>-0.34594999999999998</v>
      </c>
      <c r="F18" s="42">
        <f>データファイル用!J19</f>
        <v>0.99553000000000003</v>
      </c>
      <c r="G18" s="4">
        <f t="shared" si="2"/>
        <v>0</v>
      </c>
      <c r="H18" s="4">
        <f t="shared" si="2"/>
        <v>6.8783463960527402E-12</v>
      </c>
      <c r="I18" s="4">
        <f t="shared" si="2"/>
        <v>6.9280850824354225E-12</v>
      </c>
      <c r="J18" s="4">
        <f t="shared" si="2"/>
        <v>6.9774678812488884E-12</v>
      </c>
      <c r="K18" s="4">
        <f t="shared" si="2"/>
        <v>7.026880223858705E-12</v>
      </c>
      <c r="L18" s="4">
        <f t="shared" si="2"/>
        <v>7.0764499636423988E-12</v>
      </c>
      <c r="M18" s="4">
        <f t="shared" si="2"/>
        <v>7.1262375782596094E-12</v>
      </c>
      <c r="N18" s="4">
        <f t="shared" si="2"/>
        <v>7.1762775561700488E-12</v>
      </c>
      <c r="O18" s="4">
        <f t="shared" si="2"/>
        <v>7.2265920864777168E-12</v>
      </c>
      <c r="P18" s="4">
        <f t="shared" si="2"/>
        <v>7.277196731787976E-12</v>
      </c>
      <c r="Q18" s="4">
        <f t="shared" si="2"/>
        <v>7.3281031471179291E-12</v>
      </c>
      <c r="R18" s="4">
        <f t="shared" si="2"/>
        <v>7.3793205243972479E-12</v>
      </c>
      <c r="S18" s="4">
        <f t="shared" si="2"/>
        <v>7.430856421498536E-12</v>
      </c>
      <c r="T18" s="4">
        <f t="shared" si="2"/>
        <v>7.482717267569802E-12</v>
      </c>
      <c r="U18" s="4">
        <f t="shared" si="2"/>
        <v>7.5349086863273995E-12</v>
      </c>
      <c r="V18" s="4">
        <f t="shared" si="2"/>
        <v>7.5874357112789608E-12</v>
      </c>
      <c r="W18" s="4">
        <f t="shared" si="5"/>
        <v>7.6403029338540671E-12</v>
      </c>
      <c r="X18" s="4">
        <f t="shared" si="5"/>
        <v>7.6935146082858515E-12</v>
      </c>
      <c r="Y18" s="4">
        <f t="shared" si="5"/>
        <v>7.7470747277040917E-12</v>
      </c>
      <c r="Z18" s="4">
        <f t="shared" si="5"/>
        <v>7.8009870805267945E-12</v>
      </c>
      <c r="AA18" s="4">
        <f t="shared" si="5"/>
        <v>7.8552552930389976E-12</v>
      </c>
      <c r="AB18" s="4">
        <f t="shared" si="5"/>
        <v>7.9098828620790134E-12</v>
      </c>
      <c r="AC18" s="4">
        <f t="shared" si="5"/>
        <v>7.9648731805046143E-12</v>
      </c>
      <c r="AD18" s="4">
        <f t="shared" si="5"/>
        <v>8.0202295573000888E-12</v>
      </c>
      <c r="AE18" s="4">
        <f t="shared" si="5"/>
        <v>8.0759552336446416E-12</v>
      </c>
      <c r="AF18" s="4">
        <f t="shared" si="5"/>
        <v>8.1320533958952905E-12</v>
      </c>
      <c r="AG18" s="4">
        <f t="shared" si="5"/>
        <v>8.1885271861829875E-12</v>
      </c>
      <c r="AH18" s="4">
        <f t="shared" si="5"/>
        <v>8.2453797111413611E-12</v>
      </c>
      <c r="AI18" s="4">
        <f t="shared" si="5"/>
        <v>8.302614049159308E-12</v>
      </c>
      <c r="AJ18" s="4">
        <f t="shared" si="5"/>
        <v>8.3602332564553414E-12</v>
      </c>
      <c r="AK18" s="4">
        <f t="shared" si="5"/>
        <v>8.4182403722033957E-12</v>
      </c>
      <c r="AL18" s="4">
        <f t="shared" si="5"/>
        <v>8.4766384228886005E-12</v>
      </c>
      <c r="AM18" s="4">
        <f t="shared" si="6"/>
        <v>8.5354304260333149E-12</v>
      </c>
      <c r="AN18" s="4">
        <f t="shared" si="6"/>
        <v>8.5946193934045049E-12</v>
      </c>
      <c r="AO18" s="4">
        <f t="shared" si="6"/>
        <v>8.6542083337911616E-12</v>
      </c>
      <c r="AP18" s="4">
        <f t="shared" si="6"/>
        <v>8.7142002554231152E-12</v>
      </c>
      <c r="AQ18" s="4">
        <f t="shared" si="6"/>
        <v>8.7745981680890772E-12</v>
      </c>
      <c r="AR18" s="4">
        <f t="shared" si="6"/>
        <v>8.8354050850010157E-12</v>
      </c>
      <c r="AS18" s="4">
        <f t="shared" si="6"/>
        <v>8.896624024443574E-12</v>
      </c>
      <c r="AT18" s="4">
        <f t="shared" si="6"/>
        <v>8.9582580112404635E-12</v>
      </c>
      <c r="AU18" s="4">
        <f t="shared" si="6"/>
        <v>9.0203100780643136E-12</v>
      </c>
      <c r="AV18" s="4">
        <f t="shared" si="6"/>
        <v>9.082783266612097E-12</v>
      </c>
      <c r="AW18" s="4">
        <f t="shared" si="6"/>
        <v>9.145680628664645E-12</v>
      </c>
      <c r="AX18" s="4">
        <f t="shared" si="6"/>
        <v>9.2090052270458792E-12</v>
      </c>
      <c r="AY18" s="4">
        <f t="shared" si="6"/>
        <v>9.2727601364949609E-12</v>
      </c>
      <c r="AZ18" s="4">
        <f t="shared" si="6"/>
        <v>9.3369484444625763E-12</v>
      </c>
      <c r="BA18" s="4">
        <f t="shared" si="6"/>
        <v>9.4015732518408918E-12</v>
      </c>
      <c r="BB18" s="4">
        <f t="shared" si="6"/>
        <v>9.4666376736354582E-12</v>
      </c>
      <c r="BC18" s="4">
        <f t="shared" si="7"/>
        <v>9.5321448395860019E-12</v>
      </c>
      <c r="BD18" s="4">
        <f t="shared" si="7"/>
        <v>9.5354318762653058E-12</v>
      </c>
      <c r="BE18" s="4">
        <f t="shared" si="7"/>
        <v>9.5387200280584845E-12</v>
      </c>
      <c r="BF18" s="4">
        <f t="shared" si="7"/>
        <v>9.5420092953597915E-12</v>
      </c>
      <c r="BG18" s="4">
        <f t="shared" si="7"/>
        <v>9.5452996785635849E-12</v>
      </c>
      <c r="BH18" s="4">
        <f t="shared" si="7"/>
        <v>9.5485911780643137E-12</v>
      </c>
      <c r="BI18" s="4">
        <f t="shared" si="7"/>
        <v>9.55188379425653E-12</v>
      </c>
      <c r="BJ18" s="4">
        <f t="shared" si="7"/>
        <v>9.5551775275348896E-12</v>
      </c>
      <c r="BK18" s="4">
        <f t="shared" si="7"/>
        <v>9.5584723782941433E-12</v>
      </c>
      <c r="BL18" s="4">
        <f t="shared" si="7"/>
        <v>9.5617683469291455E-12</v>
      </c>
      <c r="BM18" s="4">
        <f t="shared" si="7"/>
        <v>9.5650654338348491E-12</v>
      </c>
      <c r="BN18" s="4">
        <f t="shared" si="7"/>
        <v>9.5683636394063071E-12</v>
      </c>
      <c r="BO18" s="4">
        <f t="shared" si="7"/>
        <v>9.5716629640386744E-12</v>
      </c>
      <c r="BP18" s="4">
        <f t="shared" si="7"/>
        <v>9.5749634081272076E-12</v>
      </c>
      <c r="BQ18" s="4">
        <f t="shared" si="7"/>
        <v>9.5782649720672619E-12</v>
      </c>
      <c r="BR18" s="4">
        <f t="shared" si="7"/>
        <v>9.5815676562542942E-12</v>
      </c>
      <c r="BS18" s="4">
        <f t="shared" si="4"/>
        <v>9.5848714610838633E-12</v>
      </c>
      <c r="BT18" s="4">
        <f t="shared" si="4"/>
        <v>9.588176386951633E-12</v>
      </c>
      <c r="BU18" s="4">
        <f t="shared" si="4"/>
        <v>9.5914824342533589E-12</v>
      </c>
      <c r="BV18" s="4">
        <f t="shared" si="4"/>
        <v>9.5947896033849102E-12</v>
      </c>
      <c r="BW18" s="4">
        <f t="shared" si="4"/>
        <v>9.5980978947422478E-12</v>
      </c>
      <c r="BX18" s="4">
        <f t="shared" si="4"/>
        <v>9.6014073087214426E-12</v>
      </c>
      <c r="BY18" s="4">
        <f t="shared" si="4"/>
        <v>9.6047178457186625E-12</v>
      </c>
      <c r="BZ18" s="4">
        <f t="shared" si="4"/>
        <v>9.6080295061301801E-12</v>
      </c>
      <c r="CA18" s="4">
        <f t="shared" si="4"/>
        <v>9.6113422903523686E-12</v>
      </c>
      <c r="CB18" s="4">
        <f t="shared" si="4"/>
        <v>9.6146561987817091E-12</v>
      </c>
      <c r="CC18" s="4">
        <f t="shared" si="4"/>
        <v>9.6179712318147767E-12</v>
      </c>
      <c r="CD18" s="4">
        <f t="shared" si="4"/>
        <v>9.6212873898482561E-12</v>
      </c>
      <c r="CE18" s="4">
        <f t="shared" si="4"/>
        <v>9.6246046732789339E-12</v>
      </c>
      <c r="CF18" s="4">
        <f t="shared" si="4"/>
        <v>9.6279230825036984E-12</v>
      </c>
      <c r="CG18" s="4">
        <f t="shared" si="4"/>
        <v>9.6312426179195431E-12</v>
      </c>
      <c r="CH18" s="4">
        <f t="shared" si="9"/>
        <v>9.6345632799235631E-12</v>
      </c>
      <c r="CI18" s="4">
        <f t="shared" si="9"/>
        <v>9.6378850689129619E-12</v>
      </c>
      <c r="CJ18" s="4">
        <f t="shared" si="9"/>
        <v>9.641207985285038E-12</v>
      </c>
      <c r="CK18" s="4">
        <f t="shared" si="9"/>
        <v>9.6445320294372035E-12</v>
      </c>
      <c r="CL18" s="4">
        <f t="shared" si="9"/>
        <v>9.6478572017669685E-12</v>
      </c>
      <c r="CM18" s="4">
        <f t="shared" si="9"/>
        <v>9.6511835026719486E-12</v>
      </c>
      <c r="CN18" s="4">
        <f t="shared" si="9"/>
        <v>9.654510932549864E-12</v>
      </c>
      <c r="CO18" s="4">
        <f t="shared" si="9"/>
        <v>9.6578394917985403E-12</v>
      </c>
      <c r="CP18" s="4">
        <f t="shared" si="9"/>
        <v>9.6611691808159094E-12</v>
      </c>
      <c r="CQ18" s="4">
        <f t="shared" si="9"/>
        <v>9.6645000000000019E-12</v>
      </c>
    </row>
    <row r="19" spans="1:95">
      <c r="A19" s="3">
        <v>17</v>
      </c>
      <c r="B19" s="17" t="str">
        <f>データファイル用!$B20</f>
        <v>MEWS Brick IV - Textured Coated Clay Brick</v>
      </c>
      <c r="C19" s="18">
        <f>データファイル用!G20</f>
        <v>4.1484999999999999E-12</v>
      </c>
      <c r="D19" s="19">
        <f>データファイル用!H20</f>
        <v>6.3920999999999997E-4</v>
      </c>
      <c r="E19" s="20">
        <f>データファイル用!I20</f>
        <v>-0.33810000000000001</v>
      </c>
      <c r="F19" s="42">
        <f>データファイル用!J20</f>
        <v>1.0492999999999999</v>
      </c>
      <c r="G19" s="4">
        <f t="shared" si="2"/>
        <v>0</v>
      </c>
      <c r="H19" s="4">
        <f t="shared" si="2"/>
        <v>2.9675067772853719E-12</v>
      </c>
      <c r="I19" s="4">
        <f t="shared" si="2"/>
        <v>2.9865795766313978E-12</v>
      </c>
      <c r="J19" s="4">
        <f t="shared" si="2"/>
        <v>3.0056900789283954E-12</v>
      </c>
      <c r="K19" s="4">
        <f t="shared" si="2"/>
        <v>3.0250076677110421E-12</v>
      </c>
      <c r="L19" s="4">
        <f t="shared" si="2"/>
        <v>3.0445612133031249E-12</v>
      </c>
      <c r="M19" s="4">
        <f t="shared" si="2"/>
        <v>3.0643537687932674E-12</v>
      </c>
      <c r="N19" s="4">
        <f t="shared" si="2"/>
        <v>3.0843821279747845E-12</v>
      </c>
      <c r="O19" s="4">
        <f t="shared" si="2"/>
        <v>3.1046417294266213E-12</v>
      </c>
      <c r="P19" s="4">
        <f t="shared" si="2"/>
        <v>3.1251280903560617E-12</v>
      </c>
      <c r="Q19" s="4">
        <f t="shared" si="2"/>
        <v>3.1458372244942674E-12</v>
      </c>
      <c r="R19" s="4">
        <f t="shared" si="2"/>
        <v>3.1667657285846888E-12</v>
      </c>
      <c r="S19" s="4">
        <f t="shared" si="2"/>
        <v>3.1879107579884099E-12</v>
      </c>
      <c r="T19" s="4">
        <f t="shared" si="2"/>
        <v>3.2092699687348594E-12</v>
      </c>
      <c r="U19" s="4">
        <f t="shared" si="2"/>
        <v>3.2308414540833343E-12</v>
      </c>
      <c r="V19" s="4">
        <f t="shared" si="2"/>
        <v>3.2526236854767857E-12</v>
      </c>
      <c r="W19" s="4">
        <f t="shared" si="5"/>
        <v>3.2746154608051544E-12</v>
      </c>
      <c r="X19" s="4">
        <f t="shared" si="5"/>
        <v>3.2968158602345871E-12</v>
      </c>
      <c r="Y19" s="4">
        <f t="shared" si="5"/>
        <v>3.3192242089102576E-12</v>
      </c>
      <c r="Z19" s="4">
        <f t="shared" si="5"/>
        <v>3.3418400455804377E-12</v>
      </c>
      <c r="AA19" s="4">
        <f t="shared" si="5"/>
        <v>3.3646630961989093E-12</v>
      </c>
      <c r="AB19" s="4">
        <f t="shared" si="5"/>
        <v>3.387693251667029E-12</v>
      </c>
      <c r="AC19" s="4">
        <f t="shared" si="5"/>
        <v>3.4109305490037609E-12</v>
      </c>
      <c r="AD19" s="4">
        <f t="shared" si="5"/>
        <v>3.4343751553532409E-12</v>
      </c>
      <c r="AE19" s="4">
        <f t="shared" si="5"/>
        <v>3.4580273543452703E-12</v>
      </c>
      <c r="AF19" s="4">
        <f t="shared" si="5"/>
        <v>3.4818875344128299E-12</v>
      </c>
      <c r="AG19" s="4">
        <f t="shared" si="5"/>
        <v>3.5059561787433719E-12</v>
      </c>
      <c r="AH19" s="4">
        <f t="shared" si="5"/>
        <v>3.5302338565996849E-12</v>
      </c>
      <c r="AI19" s="4">
        <f t="shared" si="5"/>
        <v>3.5547212157937802E-12</v>
      </c>
      <c r="AJ19" s="4">
        <f t="shared" si="5"/>
        <v>3.5794189761357314E-12</v>
      </c>
      <c r="AK19" s="4">
        <f t="shared" si="5"/>
        <v>3.6043279237104742E-12</v>
      </c>
      <c r="AL19" s="4">
        <f t="shared" si="5"/>
        <v>3.6294489058607186E-12</v>
      </c>
      <c r="AM19" s="4">
        <f t="shared" si="6"/>
        <v>3.6547828267745681E-12</v>
      </c>
      <c r="AN19" s="4">
        <f t="shared" si="6"/>
        <v>3.6803306435930789E-12</v>
      </c>
      <c r="AO19" s="4">
        <f t="shared" si="6"/>
        <v>3.706093362966609E-12</v>
      </c>
      <c r="AP19" s="4">
        <f t="shared" si="6"/>
        <v>3.7320720379999982E-12</v>
      </c>
      <c r="AQ19" s="4">
        <f t="shared" si="6"/>
        <v>3.7582677655358407E-12</v>
      </c>
      <c r="AR19" s="4">
        <f t="shared" si="6"/>
        <v>3.7846816837327486E-12</v>
      </c>
      <c r="AS19" s="4">
        <f t="shared" si="6"/>
        <v>3.8113149699018556E-12</v>
      </c>
      <c r="AT19" s="4">
        <f t="shared" si="6"/>
        <v>3.8381688385701146E-12</v>
      </c>
      <c r="AU19" s="4">
        <f t="shared" si="6"/>
        <v>3.8652445397433837E-12</v>
      </c>
      <c r="AV19" s="4">
        <f t="shared" si="6"/>
        <v>3.8925433573460176E-12</v>
      </c>
      <c r="AW19" s="4">
        <f t="shared" si="6"/>
        <v>3.9200666078168559E-12</v>
      </c>
      <c r="AX19" s="4">
        <f t="shared" si="6"/>
        <v>3.9478156388441624E-12</v>
      </c>
      <c r="AY19" s="4">
        <f t="shared" si="6"/>
        <v>3.97579182822433E-12</v>
      </c>
      <c r="AZ19" s="4">
        <f t="shared" si="6"/>
        <v>4.0039965828311151E-12</v>
      </c>
      <c r="BA19" s="4">
        <f t="shared" si="6"/>
        <v>4.0324313376838364E-12</v>
      </c>
      <c r="BB19" s="4">
        <f t="shared" si="6"/>
        <v>4.0610975551043518E-12</v>
      </c>
      <c r="BC19" s="4">
        <f t="shared" si="7"/>
        <v>4.0899967239539019E-12</v>
      </c>
      <c r="BD19" s="4">
        <f t="shared" si="7"/>
        <v>4.0914478244330536E-12</v>
      </c>
      <c r="BE19" s="4">
        <f t="shared" si="7"/>
        <v>4.092899511263324E-12</v>
      </c>
      <c r="BF19" s="4">
        <f t="shared" si="7"/>
        <v>4.0943517846358839E-12</v>
      </c>
      <c r="BG19" s="4">
        <f t="shared" si="7"/>
        <v>4.0958046447420594E-12</v>
      </c>
      <c r="BH19" s="4">
        <f t="shared" si="7"/>
        <v>4.0972580917733337E-12</v>
      </c>
      <c r="BI19" s="4">
        <f t="shared" si="7"/>
        <v>4.0987121259213496E-12</v>
      </c>
      <c r="BJ19" s="4">
        <f t="shared" si="7"/>
        <v>4.1001667473779029E-12</v>
      </c>
      <c r="BK19" s="4">
        <f t="shared" si="7"/>
        <v>4.1016219563349481E-12</v>
      </c>
      <c r="BL19" s="4">
        <f t="shared" si="7"/>
        <v>4.1030777529845955E-12</v>
      </c>
      <c r="BM19" s="4">
        <f t="shared" si="7"/>
        <v>4.104534137519112E-12</v>
      </c>
      <c r="BN19" s="4">
        <f t="shared" si="7"/>
        <v>4.1059911101309206E-12</v>
      </c>
      <c r="BO19" s="4">
        <f t="shared" si="7"/>
        <v>4.1074486710125975E-12</v>
      </c>
      <c r="BP19" s="4">
        <f t="shared" si="7"/>
        <v>4.1089068203568768E-12</v>
      </c>
      <c r="BQ19" s="4">
        <f t="shared" si="7"/>
        <v>4.1103655583566497E-12</v>
      </c>
      <c r="BR19" s="4">
        <f t="shared" si="7"/>
        <v>4.111824885204958E-12</v>
      </c>
      <c r="BS19" s="4">
        <f t="shared" si="4"/>
        <v>4.1132848010950017E-12</v>
      </c>
      <c r="BT19" s="4">
        <f t="shared" si="4"/>
        <v>4.1147453062201366E-12</v>
      </c>
      <c r="BU19" s="4">
        <f t="shared" si="4"/>
        <v>4.1162064007738697E-12</v>
      </c>
      <c r="BV19" s="4">
        <f t="shared" si="4"/>
        <v>4.1176680849498671E-12</v>
      </c>
      <c r="BW19" s="4">
        <f t="shared" si="4"/>
        <v>4.119130358941945E-12</v>
      </c>
      <c r="BX19" s="4">
        <f t="shared" si="4"/>
        <v>4.1205932229440751E-12</v>
      </c>
      <c r="BY19" s="4">
        <f t="shared" si="4"/>
        <v>4.1220566771503844E-12</v>
      </c>
      <c r="BZ19" s="4">
        <f t="shared" si="4"/>
        <v>4.1235207217551532E-12</v>
      </c>
      <c r="CA19" s="4">
        <f t="shared" si="4"/>
        <v>4.1249853569528149E-12</v>
      </c>
      <c r="CB19" s="4">
        <f t="shared" si="4"/>
        <v>4.1264505829379563E-12</v>
      </c>
      <c r="CC19" s="4">
        <f t="shared" si="4"/>
        <v>4.1279163999053205E-12</v>
      </c>
      <c r="CD19" s="4">
        <f t="shared" si="4"/>
        <v>4.1293828080497973E-12</v>
      </c>
      <c r="CE19" s="4">
        <f t="shared" si="4"/>
        <v>4.1308498075664373E-12</v>
      </c>
      <c r="CF19" s="4">
        <f t="shared" si="4"/>
        <v>4.1323173986504383E-12</v>
      </c>
      <c r="CG19" s="4">
        <f t="shared" si="4"/>
        <v>4.1337855814971529E-12</v>
      </c>
      <c r="CH19" s="4">
        <f t="shared" si="9"/>
        <v>4.1352543563020874E-12</v>
      </c>
      <c r="CI19" s="4">
        <f t="shared" si="9"/>
        <v>4.1367237232608975E-12</v>
      </c>
      <c r="CJ19" s="4">
        <f t="shared" si="9"/>
        <v>4.1381936825693956E-12</v>
      </c>
      <c r="CK19" s="4">
        <f t="shared" si="9"/>
        <v>4.139664234423541E-12</v>
      </c>
      <c r="CL19" s="4">
        <f t="shared" si="9"/>
        <v>4.1411353790194475E-12</v>
      </c>
      <c r="CM19" s="4">
        <f t="shared" si="9"/>
        <v>4.1426071165533815E-12</v>
      </c>
      <c r="CN19" s="4">
        <f t="shared" si="9"/>
        <v>4.1440794472217596E-12</v>
      </c>
      <c r="CO19" s="4">
        <f t="shared" si="9"/>
        <v>4.1455523712211502E-12</v>
      </c>
      <c r="CP19" s="4">
        <f t="shared" si="9"/>
        <v>4.1470258887482737E-12</v>
      </c>
      <c r="CQ19" s="4">
        <f t="shared" si="9"/>
        <v>4.1485000000000008E-12</v>
      </c>
    </row>
    <row r="20" spans="1:95">
      <c r="A20" s="3">
        <v>18</v>
      </c>
      <c r="B20" s="17" t="str">
        <f>データファイル用!$B21</f>
        <v>MEWS Brick V - Concrete Brick</v>
      </c>
      <c r="C20" s="18">
        <f>データファイル用!G21</f>
        <v>5.7909000000000003E-12</v>
      </c>
      <c r="D20" s="19">
        <f>データファイル用!H21</f>
        <v>2.7619999999999999E-4</v>
      </c>
      <c r="E20" s="20">
        <f>データファイル用!I21</f>
        <v>-1.8344</v>
      </c>
      <c r="F20" s="42">
        <f>データファイル用!J21</f>
        <v>0.97748000000000002</v>
      </c>
      <c r="G20" s="4">
        <f t="shared" si="2"/>
        <v>0</v>
      </c>
      <c r="H20" s="4">
        <f t="shared" si="2"/>
        <v>9.6162957091868174E-13</v>
      </c>
      <c r="I20" s="4">
        <f t="shared" si="2"/>
        <v>9.9989115845178895E-13</v>
      </c>
      <c r="J20" s="4">
        <f t="shared" si="2"/>
        <v>1.039119524668158E-12</v>
      </c>
      <c r="K20" s="4">
        <f t="shared" si="2"/>
        <v>1.0795359115925046E-12</v>
      </c>
      <c r="L20" s="4">
        <f t="shared" si="2"/>
        <v>1.1212619860236381E-12</v>
      </c>
      <c r="M20" s="4">
        <f t="shared" si="2"/>
        <v>1.164388231512644E-12</v>
      </c>
      <c r="N20" s="4">
        <f t="shared" si="2"/>
        <v>1.208992271470164E-12</v>
      </c>
      <c r="O20" s="4">
        <f t="shared" si="2"/>
        <v>1.2551458914047109E-12</v>
      </c>
      <c r="P20" s="4">
        <f t="shared" si="2"/>
        <v>1.3029183195106139E-12</v>
      </c>
      <c r="Q20" s="4">
        <f t="shared" si="2"/>
        <v>1.352377977443499E-12</v>
      </c>
      <c r="R20" s="4">
        <f t="shared" si="2"/>
        <v>1.4035935133128157E-12</v>
      </c>
      <c r="S20" s="4">
        <f t="shared" si="2"/>
        <v>1.4566344633790967E-12</v>
      </c>
      <c r="T20" s="4">
        <f t="shared" si="2"/>
        <v>1.5115717072609102E-12</v>
      </c>
      <c r="U20" s="4">
        <f t="shared" si="2"/>
        <v>1.5684778018099771E-12</v>
      </c>
      <c r="V20" s="4">
        <f t="shared" si="2"/>
        <v>1.627427240644798E-12</v>
      </c>
      <c r="W20" s="4">
        <f t="shared" si="5"/>
        <v>1.6884966667016694E-12</v>
      </c>
      <c r="X20" s="4">
        <f t="shared" si="5"/>
        <v>1.7517650544650903E-12</v>
      </c>
      <c r="Y20" s="4">
        <f t="shared" si="5"/>
        <v>1.8173138724243699E-12</v>
      </c>
      <c r="Z20" s="4">
        <f t="shared" si="5"/>
        <v>1.885227232662515E-12</v>
      </c>
      <c r="AA20" s="4">
        <f t="shared" si="5"/>
        <v>1.9555920322392308E-12</v>
      </c>
      <c r="AB20" s="4">
        <f t="shared" si="5"/>
        <v>2.0284980896043949E-12</v>
      </c>
      <c r="AC20" s="4">
        <f t="shared" si="5"/>
        <v>2.1040382783488643E-12</v>
      </c>
      <c r="AD20" s="4">
        <f t="shared" si="5"/>
        <v>2.1823086599795268E-12</v>
      </c>
      <c r="AE20" s="4">
        <f t="shared" si="5"/>
        <v>2.2634086169836476E-12</v>
      </c>
      <c r="AF20" s="4">
        <f t="shared" si="5"/>
        <v>2.3474409871555157E-12</v>
      </c>
      <c r="AG20" s="4">
        <f t="shared" si="5"/>
        <v>2.4345121999532251E-12</v>
      </c>
      <c r="AH20" s="4">
        <f t="shared" si="5"/>
        <v>2.5247324155074474E-12</v>
      </c>
      <c r="AI20" s="4">
        <f t="shared" si="5"/>
        <v>2.6182156667992143E-12</v>
      </c>
      <c r="AJ20" s="4">
        <f t="shared" si="5"/>
        <v>2.7150800054478149E-12</v>
      </c>
      <c r="AK20" s="4">
        <f t="shared" si="5"/>
        <v>2.8154476514948211E-12</v>
      </c>
      <c r="AL20" s="4">
        <f t="shared" si="5"/>
        <v>2.919445147530151E-12</v>
      </c>
      <c r="AM20" s="4">
        <f t="shared" si="6"/>
        <v>3.0272035174771234E-12</v>
      </c>
      <c r="AN20" s="4">
        <f t="shared" si="6"/>
        <v>3.1388584303327467E-12</v>
      </c>
      <c r="AO20" s="4">
        <f t="shared" si="6"/>
        <v>3.2545503691450241E-12</v>
      </c>
      <c r="AP20" s="4">
        <f t="shared" si="6"/>
        <v>3.3744248054993649E-12</v>
      </c>
      <c r="AQ20" s="4">
        <f t="shared" si="6"/>
        <v>3.4986323797802567E-12</v>
      </c>
      <c r="AR20" s="4">
        <f t="shared" si="6"/>
        <v>3.627329087471234E-12</v>
      </c>
      <c r="AS20" s="4">
        <f t="shared" si="6"/>
        <v>3.7606764717555243E-12</v>
      </c>
      <c r="AT20" s="4">
        <f t="shared" si="6"/>
        <v>3.8988418226807958E-12</v>
      </c>
      <c r="AU20" s="4">
        <f t="shared" si="6"/>
        <v>4.0419983831541936E-12</v>
      </c>
      <c r="AV20" s="4">
        <f t="shared" si="6"/>
        <v>4.1903255620377674E-12</v>
      </c>
      <c r="AW20" s="4">
        <f t="shared" si="6"/>
        <v>4.3440091546194787E-12</v>
      </c>
      <c r="AX20" s="4">
        <f t="shared" si="6"/>
        <v>4.5032415707409611E-12</v>
      </c>
      <c r="AY20" s="4">
        <f t="shared" si="6"/>
        <v>4.6682220708700565E-12</v>
      </c>
      <c r="AZ20" s="4">
        <f t="shared" si="6"/>
        <v>4.8391570104137128E-12</v>
      </c>
      <c r="BA20" s="4">
        <f t="shared" si="6"/>
        <v>5.0162600925751003E-12</v>
      </c>
      <c r="BB20" s="4">
        <f t="shared" si="6"/>
        <v>5.1997526300676564E-12</v>
      </c>
      <c r="BC20" s="4">
        <f t="shared" si="7"/>
        <v>5.3898638160082721E-12</v>
      </c>
      <c r="BD20" s="4">
        <f t="shared" si="7"/>
        <v>5.3995473368509738E-12</v>
      </c>
      <c r="BE20" s="4">
        <f t="shared" si="7"/>
        <v>5.4092480261582874E-12</v>
      </c>
      <c r="BF20" s="4">
        <f t="shared" si="7"/>
        <v>5.4189659141977417E-12</v>
      </c>
      <c r="BG20" s="4">
        <f t="shared" si="7"/>
        <v>5.4287010312898659E-12</v>
      </c>
      <c r="BH20" s="4">
        <f t="shared" si="7"/>
        <v>5.4384534078082732E-12</v>
      </c>
      <c r="BI20" s="4">
        <f t="shared" si="7"/>
        <v>5.4482230741797532E-12</v>
      </c>
      <c r="BJ20" s="4">
        <f t="shared" si="7"/>
        <v>5.4580100608843702E-12</v>
      </c>
      <c r="BK20" s="4">
        <f t="shared" si="7"/>
        <v>5.467814398455552E-12</v>
      </c>
      <c r="BL20" s="4">
        <f t="shared" si="7"/>
        <v>5.4776361174801857E-12</v>
      </c>
      <c r="BM20" s="4">
        <f t="shared" si="7"/>
        <v>5.4874752485987092E-12</v>
      </c>
      <c r="BN20" s="4">
        <f t="shared" si="7"/>
        <v>5.4973318225052069E-12</v>
      </c>
      <c r="BO20" s="4">
        <f t="shared" si="7"/>
        <v>5.5072058699475032E-12</v>
      </c>
      <c r="BP20" s="4">
        <f t="shared" si="7"/>
        <v>5.5170974217272523E-12</v>
      </c>
      <c r="BQ20" s="4">
        <f t="shared" si="7"/>
        <v>5.5270065087000384E-12</v>
      </c>
      <c r="BR20" s="4">
        <f t="shared" si="7"/>
        <v>5.5369331617754658E-12</v>
      </c>
      <c r="BS20" s="4">
        <f t="shared" si="4"/>
        <v>5.5468774119172581E-12</v>
      </c>
      <c r="BT20" s="4">
        <f t="shared" si="4"/>
        <v>5.5568392901433449E-12</v>
      </c>
      <c r="BU20" s="4">
        <f t="shared" si="4"/>
        <v>5.5668188275259636E-12</v>
      </c>
      <c r="BV20" s="4">
        <f t="shared" si="4"/>
        <v>5.5768160551917521E-12</v>
      </c>
      <c r="BW20" s="4">
        <f t="shared" si="4"/>
        <v>5.5868310043218447E-12</v>
      </c>
      <c r="BX20" s="4">
        <f t="shared" si="4"/>
        <v>5.5968637061519613E-12</v>
      </c>
      <c r="BY20" s="4">
        <f t="shared" si="4"/>
        <v>5.6069141919725155E-12</v>
      </c>
      <c r="BZ20" s="4">
        <f t="shared" si="4"/>
        <v>5.6169824931286951E-12</v>
      </c>
      <c r="CA20" s="4">
        <f t="shared" si="4"/>
        <v>5.6270686410205718E-12</v>
      </c>
      <c r="CB20" s="4">
        <f t="shared" si="4"/>
        <v>5.637172667103186E-12</v>
      </c>
      <c r="CC20" s="4">
        <f t="shared" si="4"/>
        <v>5.6472946028866496E-12</v>
      </c>
      <c r="CD20" s="4">
        <f t="shared" si="4"/>
        <v>5.6574344799362417E-12</v>
      </c>
      <c r="CE20" s="4">
        <f t="shared" si="4"/>
        <v>5.6675923298724995E-12</v>
      </c>
      <c r="CF20" s="4">
        <f t="shared" si="4"/>
        <v>5.6777681843713207E-12</v>
      </c>
      <c r="CG20" s="4">
        <f t="shared" si="4"/>
        <v>5.6879620751640612E-12</v>
      </c>
      <c r="CH20" s="4">
        <f t="shared" si="9"/>
        <v>5.6981740340376272E-12</v>
      </c>
      <c r="CI20" s="4">
        <f t="shared" si="9"/>
        <v>5.7084040928345723E-12</v>
      </c>
      <c r="CJ20" s="4">
        <f t="shared" si="9"/>
        <v>5.7186522834531992E-12</v>
      </c>
      <c r="CK20" s="4">
        <f t="shared" si="9"/>
        <v>5.7289186378476548E-12</v>
      </c>
      <c r="CL20" s="4">
        <f t="shared" si="9"/>
        <v>5.7392031880280291E-12</v>
      </c>
      <c r="CM20" s="4">
        <f t="shared" si="9"/>
        <v>5.7495059660604478E-12</v>
      </c>
      <c r="CN20" s="4">
        <f t="shared" si="9"/>
        <v>5.7598270040671768E-12</v>
      </c>
      <c r="CO20" s="4">
        <f t="shared" si="9"/>
        <v>5.7701663342267188E-12</v>
      </c>
      <c r="CP20" s="4">
        <f t="shared" si="9"/>
        <v>5.780523988773905E-12</v>
      </c>
      <c r="CQ20" s="4">
        <f t="shared" si="9"/>
        <v>5.7909000000000051E-12</v>
      </c>
    </row>
    <row r="21" spans="1:95">
      <c r="A21" s="3">
        <v>19</v>
      </c>
      <c r="B21" s="17" t="str">
        <f>データファイル用!$B22</f>
        <v>MEWS Brick VI - Calcium Silicate Brick</v>
      </c>
      <c r="C21" s="18">
        <f>データファイル用!G22</f>
        <v>7.9644000000000004E-11</v>
      </c>
      <c r="D21" s="19">
        <f>データファイル用!H22</f>
        <v>1.1521999999999999</v>
      </c>
      <c r="E21" s="20">
        <f>データファイル用!I22</f>
        <v>-2.0116999999999998</v>
      </c>
      <c r="F21" s="42">
        <f>データファイル用!J22</f>
        <v>2.7654000000000001</v>
      </c>
      <c r="G21" s="4">
        <f t="shared" si="2"/>
        <v>0</v>
      </c>
      <c r="H21" s="4">
        <f t="shared" si="2"/>
        <v>1.1747544925730356E-13</v>
      </c>
      <c r="I21" s="4">
        <f t="shared" si="2"/>
        <v>2.6115320450951847E-13</v>
      </c>
      <c r="J21" s="4">
        <f t="shared" si="2"/>
        <v>4.169018810906097E-13</v>
      </c>
      <c r="K21" s="4">
        <f t="shared" si="2"/>
        <v>5.8134259514991161E-13</v>
      </c>
      <c r="L21" s="4">
        <f t="shared" si="2"/>
        <v>7.5297812245821506E-13</v>
      </c>
      <c r="M21" s="4">
        <f t="shared" si="2"/>
        <v>9.311038775748888E-13</v>
      </c>
      <c r="N21" s="4">
        <f t="shared" si="2"/>
        <v>1.1154597626052747E-12</v>
      </c>
      <c r="O21" s="4">
        <f t="shared" si="2"/>
        <v>1.3060825769821076E-12</v>
      </c>
      <c r="P21" s="4">
        <f t="shared" si="2"/>
        <v>1.5032336413176685E-12</v>
      </c>
      <c r="Q21" s="4">
        <f t="shared" si="2"/>
        <v>1.7073607288574091E-12</v>
      </c>
      <c r="R21" s="4">
        <f t="shared" si="2"/>
        <v>1.9190780702989626E-12</v>
      </c>
      <c r="S21" s="4">
        <f t="shared" si="2"/>
        <v>2.1391571203319495E-12</v>
      </c>
      <c r="T21" s="4">
        <f t="shared" si="2"/>
        <v>2.3685245134110799E-12</v>
      </c>
      <c r="U21" s="4">
        <f t="shared" si="2"/>
        <v>2.608265390739049E-12</v>
      </c>
      <c r="V21" s="4">
        <f t="shared" si="2"/>
        <v>2.8596311868960878E-12</v>
      </c>
      <c r="W21" s="4">
        <f t="shared" si="5"/>
        <v>3.1240514784451978E-12</v>
      </c>
      <c r="X21" s="4">
        <f t="shared" si="5"/>
        <v>3.403149818964988E-12</v>
      </c>
      <c r="Y21" s="4">
        <f t="shared" si="5"/>
        <v>3.6987637113962923E-12</v>
      </c>
      <c r="Z21" s="4">
        <f t="shared" si="5"/>
        <v>4.0129690490087814E-12</v>
      </c>
      <c r="AA21" s="4">
        <f t="shared" si="5"/>
        <v>4.3481095186273794E-12</v>
      </c>
      <c r="AB21" s="4">
        <f t="shared" si="5"/>
        <v>4.7068316213964674E-12</v>
      </c>
      <c r="AC21" s="4">
        <f t="shared" si="5"/>
        <v>5.0921261396144572E-12</v>
      </c>
      <c r="AD21" s="4">
        <f t="shared" si="5"/>
        <v>5.5073770731327838E-12</v>
      </c>
      <c r="AE21" s="4">
        <f t="shared" si="5"/>
        <v>5.9564192949942468E-12</v>
      </c>
      <c r="AF21" s="4">
        <f t="shared" si="5"/>
        <v>6.4436064433906987E-12</v>
      </c>
      <c r="AG21" s="4">
        <f t="shared" si="5"/>
        <v>6.9738908869671579E-12</v>
      </c>
      <c r="AH21" s="4">
        <f t="shared" si="5"/>
        <v>7.5529179863630699E-12</v>
      </c>
      <c r="AI21" s="4">
        <f t="shared" si="5"/>
        <v>8.1871373428717645E-12</v>
      </c>
      <c r="AJ21" s="4">
        <f t="shared" si="5"/>
        <v>8.8839342951502794E-12</v>
      </c>
      <c r="AK21" s="4">
        <f t="shared" si="5"/>
        <v>9.65178562176061E-12</v>
      </c>
      <c r="AL21" s="4">
        <f t="shared" si="5"/>
        <v>1.0500444261846655E-11</v>
      </c>
      <c r="AM21" s="4">
        <f t="shared" si="6"/>
        <v>1.1441158917157653E-11</v>
      </c>
      <c r="AN21" s="4">
        <f t="shared" si="6"/>
        <v>1.2486935694619643E-11</v>
      </c>
      <c r="AO21" s="4">
        <f t="shared" si="6"/>
        <v>1.3652850551188344E-11</v>
      </c>
      <c r="AP21" s="4">
        <f t="shared" si="6"/>
        <v>1.4956423289575417E-11</v>
      </c>
      <c r="AQ21" s="4">
        <f t="shared" si="6"/>
        <v>1.6418066323342589E-11</v>
      </c>
      <c r="AR21" s="4">
        <f t="shared" si="6"/>
        <v>1.8061624508438755E-11</v>
      </c>
      <c r="AS21" s="4">
        <f t="shared" si="6"/>
        <v>1.9915026185834692E-11</v>
      </c>
      <c r="AT21" s="4">
        <f t="shared" si="6"/>
        <v>2.201107040164092E-11</v>
      </c>
      <c r="AU21" s="4">
        <f t="shared" si="6"/>
        <v>2.4388381330222073E-11</v>
      </c>
      <c r="AV21" s="4">
        <f t="shared" si="6"/>
        <v>2.7092568561085201E-11</v>
      </c>
      <c r="AW21" s="4">
        <f t="shared" si="6"/>
        <v>3.0177641558838363E-11</v>
      </c>
      <c r="AX21" s="4">
        <f t="shared" si="6"/>
        <v>3.3707738832985603E-11</v>
      </c>
      <c r="AY21" s="4">
        <f t="shared" si="6"/>
        <v>3.7759247894966014E-11</v>
      </c>
      <c r="AZ21" s="4">
        <f t="shared" si="6"/>
        <v>4.2423411889432576E-11</v>
      </c>
      <c r="BA21" s="4">
        <f t="shared" si="6"/>
        <v>4.780954411319468E-11</v>
      </c>
      <c r="BB21" s="4">
        <f t="shared" si="6"/>
        <v>5.4049004112765155E-11</v>
      </c>
      <c r="BC21" s="4">
        <f t="shared" si="7"/>
        <v>6.130013082684874E-11</v>
      </c>
      <c r="BD21" s="4">
        <f t="shared" si="7"/>
        <v>6.1692518148350528E-11</v>
      </c>
      <c r="BE21" s="4">
        <f t="shared" si="7"/>
        <v>6.2087931200939648E-11</v>
      </c>
      <c r="BF21" s="4">
        <f t="shared" si="7"/>
        <v>6.2486396582140101E-11</v>
      </c>
      <c r="BG21" s="4">
        <f t="shared" si="7"/>
        <v>6.2887941147746305E-11</v>
      </c>
      <c r="BH21" s="4">
        <f t="shared" si="7"/>
        <v>6.3292592014548393E-11</v>
      </c>
      <c r="BI21" s="4">
        <f t="shared" si="7"/>
        <v>6.3700376563088669E-11</v>
      </c>
      <c r="BJ21" s="4">
        <f t="shared" si="7"/>
        <v>6.4111322440449145E-11</v>
      </c>
      <c r="BK21" s="4">
        <f t="shared" si="7"/>
        <v>6.4525457563070648E-11</v>
      </c>
      <c r="BL21" s="4">
        <f t="shared" si="7"/>
        <v>6.4942810119604194E-11</v>
      </c>
      <c r="BM21" s="4">
        <f t="shared" si="7"/>
        <v>6.5363408573794418E-11</v>
      </c>
      <c r="BN21" s="4">
        <f t="shared" si="7"/>
        <v>6.5787281667396021E-11</v>
      </c>
      <c r="BO21" s="4">
        <f t="shared" si="7"/>
        <v>6.621445842312338E-11</v>
      </c>
      <c r="BP21" s="4">
        <f t="shared" si="7"/>
        <v>6.6644968147633594E-11</v>
      </c>
      <c r="BQ21" s="4">
        <f t="shared" si="7"/>
        <v>6.7078840434543675E-11</v>
      </c>
      <c r="BR21" s="4">
        <f t="shared" si="7"/>
        <v>6.7516105167482112E-11</v>
      </c>
      <c r="BS21" s="4">
        <f t="shared" si="4"/>
        <v>6.7956792523175078E-11</v>
      </c>
      <c r="BT21" s="4">
        <f t="shared" si="4"/>
        <v>6.8400932974568274E-11</v>
      </c>
      <c r="BU21" s="4">
        <f t="shared" si="4"/>
        <v>6.8848557293983868E-11</v>
      </c>
      <c r="BV21" s="4">
        <f t="shared" si="4"/>
        <v>6.9299696556314209E-11</v>
      </c>
      <c r="BW21" s="4">
        <f t="shared" si="4"/>
        <v>6.9754382142251453E-11</v>
      </c>
      <c r="BX21" s="4">
        <f t="shared" si="4"/>
        <v>7.0212645741554602E-11</v>
      </c>
      <c r="BY21" s="4">
        <f t="shared" si="4"/>
        <v>7.0674519356353781E-11</v>
      </c>
      <c r="BZ21" s="4">
        <f t="shared" si="4"/>
        <v>7.1140035304492512E-11</v>
      </c>
      <c r="CA21" s="4">
        <f t="shared" si="4"/>
        <v>7.1609226222908248E-11</v>
      </c>
      <c r="CB21" s="4">
        <f t="shared" si="4"/>
        <v>7.208212507105182E-11</v>
      </c>
      <c r="CC21" s="4">
        <f t="shared" si="4"/>
        <v>7.2558765134346032E-11</v>
      </c>
      <c r="CD21" s="4">
        <f t="shared" si="4"/>
        <v>7.3039180027684306E-11</v>
      </c>
      <c r="CE21" s="4">
        <f t="shared" si="4"/>
        <v>7.3523403698969351E-11</v>
      </c>
      <c r="CF21" s="4">
        <f t="shared" si="4"/>
        <v>7.4011470432692615E-11</v>
      </c>
      <c r="CG21" s="4">
        <f t="shared" si="4"/>
        <v>7.450341485355508E-11</v>
      </c>
      <c r="CH21" s="4">
        <f t="shared" si="9"/>
        <v>7.4999271930129843E-11</v>
      </c>
      <c r="CI21" s="4">
        <f t="shared" si="9"/>
        <v>7.5499076978566834E-11</v>
      </c>
      <c r="CJ21" s="4">
        <f t="shared" si="9"/>
        <v>7.6002865666340398E-11</v>
      </c>
      <c r="CK21" s="4">
        <f t="shared" si="9"/>
        <v>7.6510674016040341E-11</v>
      </c>
      <c r="CL21" s="4">
        <f t="shared" si="9"/>
        <v>7.7022538409206482E-11</v>
      </c>
      <c r="CM21" s="4">
        <f t="shared" si="9"/>
        <v>7.7538495590207922E-11</v>
      </c>
      <c r="CN21" s="4">
        <f t="shared" si="9"/>
        <v>7.8058582670167149E-11</v>
      </c>
      <c r="CO21" s="4">
        <f t="shared" si="9"/>
        <v>7.8582837130929525E-11</v>
      </c>
      <c r="CP21" s="4">
        <f t="shared" si="9"/>
        <v>7.9111296829079015E-11</v>
      </c>
      <c r="CQ21" s="4">
        <f t="shared" si="9"/>
        <v>7.964400000000025E-11</v>
      </c>
    </row>
    <row r="22" spans="1:95">
      <c r="A22" s="3">
        <v>20</v>
      </c>
      <c r="B22" s="17" t="str">
        <f>データファイル用!$B23</f>
        <v>MEWS Mortar 1-S</v>
      </c>
      <c r="C22" s="18">
        <f>データファイル用!G23</f>
        <v>1.8619000000000001E-11</v>
      </c>
      <c r="D22" s="19">
        <f>データファイル用!H23</f>
        <v>2.7265999999999999E-2</v>
      </c>
      <c r="E22" s="20">
        <f>データファイル用!I23</f>
        <v>-1.0421</v>
      </c>
      <c r="F22" s="42">
        <f>データファイル用!J23</f>
        <v>1.179</v>
      </c>
      <c r="G22" s="4">
        <f t="shared" si="2"/>
        <v>0</v>
      </c>
      <c r="H22" s="4">
        <f t="shared" si="2"/>
        <v>5.9641381898520818E-12</v>
      </c>
      <c r="I22" s="4">
        <f t="shared" si="2"/>
        <v>6.1579556869955556E-12</v>
      </c>
      <c r="J22" s="4">
        <f t="shared" si="2"/>
        <v>6.3164651743853132E-12</v>
      </c>
      <c r="K22" s="4">
        <f t="shared" si="2"/>
        <v>6.4640886085373555E-12</v>
      </c>
      <c r="L22" s="4">
        <f t="shared" si="2"/>
        <v>6.6081904796696916E-12</v>
      </c>
      <c r="M22" s="4">
        <f t="shared" si="2"/>
        <v>6.7519418228658496E-12</v>
      </c>
      <c r="N22" s="4">
        <f t="shared" si="2"/>
        <v>6.8969937836983129E-12</v>
      </c>
      <c r="O22" s="4">
        <f t="shared" si="2"/>
        <v>7.044322643862323E-12</v>
      </c>
      <c r="P22" s="4">
        <f t="shared" si="2"/>
        <v>7.1945643404360195E-12</v>
      </c>
      <c r="Q22" s="4">
        <f t="shared" si="2"/>
        <v>7.3481675872865939E-12</v>
      </c>
      <c r="R22" s="4">
        <f t="shared" si="2"/>
        <v>7.5054715507006349E-12</v>
      </c>
      <c r="S22" s="4">
        <f t="shared" si="2"/>
        <v>7.6667484125661301E-12</v>
      </c>
      <c r="T22" s="4">
        <f t="shared" si="2"/>
        <v>7.8322281450645095E-12</v>
      </c>
      <c r="U22" s="4">
        <f t="shared" si="2"/>
        <v>8.0021136534464515E-12</v>
      </c>
      <c r="V22" s="4">
        <f t="shared" si="2"/>
        <v>8.1765904160211659E-12</v>
      </c>
      <c r="W22" s="4">
        <f t="shared" si="5"/>
        <v>8.3558328384009495E-12</v>
      </c>
      <c r="X22" s="4">
        <f t="shared" si="5"/>
        <v>8.5400085719499909E-12</v>
      </c>
      <c r="Y22" s="4">
        <f t="shared" si="5"/>
        <v>8.7292815307833219E-12</v>
      </c>
      <c r="Z22" s="4">
        <f t="shared" si="5"/>
        <v>8.9238140542246324E-12</v>
      </c>
      <c r="AA22" s="4">
        <f t="shared" si="5"/>
        <v>9.1237684951344969E-12</v>
      </c>
      <c r="AB22" s="4">
        <f t="shared" si="5"/>
        <v>9.3293084148167805E-12</v>
      </c>
      <c r="AC22" s="4">
        <f t="shared" si="5"/>
        <v>9.5405995037387793E-12</v>
      </c>
      <c r="AD22" s="4">
        <f t="shared" si="5"/>
        <v>9.7578103084112569E-12</v>
      </c>
      <c r="AE22" s="4">
        <f t="shared" si="5"/>
        <v>9.9811128196009882E-12</v>
      </c>
      <c r="AF22" s="4">
        <f t="shared" si="5"/>
        <v>1.0210682960415344E-11</v>
      </c>
      <c r="AG22" s="4">
        <f t="shared" si="5"/>
        <v>1.0446701001603317E-11</v>
      </c>
      <c r="AH22" s="4">
        <f t="shared" si="5"/>
        <v>1.0689351923755375E-11</v>
      </c>
      <c r="AI22" s="4">
        <f t="shared" si="5"/>
        <v>1.0938825740760509E-11</v>
      </c>
      <c r="AJ22" s="4">
        <f t="shared" si="5"/>
        <v>1.119531779512786E-11</v>
      </c>
      <c r="AK22" s="4">
        <f t="shared" si="5"/>
        <v>1.1459029033104313E-11</v>
      </c>
      <c r="AL22" s="4">
        <f t="shared" si="5"/>
        <v>1.1730166265588178E-11</v>
      </c>
      <c r="AM22" s="4">
        <f t="shared" si="6"/>
        <v>1.2008942419430512E-11</v>
      </c>
      <c r="AN22" s="4">
        <f t="shared" si="6"/>
        <v>1.2295576782678783E-11</v>
      </c>
      <c r="AO22" s="4">
        <f t="shared" si="6"/>
        <v>1.2590295246547223E-11</v>
      </c>
      <c r="AP22" s="4">
        <f t="shared" si="6"/>
        <v>1.2893330546321906E-11</v>
      </c>
      <c r="AQ22" s="4">
        <f t="shared" si="6"/>
        <v>1.3204922502974025E-11</v>
      </c>
      <c r="AR22" s="4">
        <f t="shared" si="6"/>
        <v>1.3525318266925438E-11</v>
      </c>
      <c r="AS22" s="4">
        <f t="shared" si="6"/>
        <v>1.3854772565159509E-11</v>
      </c>
      <c r="AT22" s="4">
        <f t="shared" si="6"/>
        <v>1.4193547952678166E-11</v>
      </c>
      <c r="AU22" s="4">
        <f t="shared" si="6"/>
        <v>1.4541915069158688E-11</v>
      </c>
      <c r="AV22" s="4">
        <f t="shared" si="6"/>
        <v>1.4900152901550459E-11</v>
      </c>
      <c r="AW22" s="4">
        <f t="shared" si="6"/>
        <v>1.5268549053264956E-11</v>
      </c>
      <c r="AX22" s="4">
        <f t="shared" si="6"/>
        <v>1.564740002054549E-11</v>
      </c>
      <c r="AY22" s="4">
        <f t="shared" si="6"/>
        <v>1.6037011476552532E-11</v>
      </c>
      <c r="AZ22" s="4">
        <f t="shared" si="6"/>
        <v>1.6437698563662052E-11</v>
      </c>
      <c r="BA22" s="4">
        <f t="shared" si="6"/>
        <v>1.6849786194445794E-11</v>
      </c>
      <c r="BB22" s="4">
        <f t="shared" si="6"/>
        <v>1.7273609361781908E-11</v>
      </c>
      <c r="BC22" s="4">
        <f t="shared" si="7"/>
        <v>1.7709513458529904E-11</v>
      </c>
      <c r="BD22" s="4">
        <f t="shared" si="7"/>
        <v>1.7731632129127083E-11</v>
      </c>
      <c r="BE22" s="4">
        <f t="shared" si="7"/>
        <v>1.775378193528492E-11</v>
      </c>
      <c r="BF22" s="4">
        <f t="shared" si="7"/>
        <v>1.7775962922303686E-11</v>
      </c>
      <c r="BG22" s="4">
        <f t="shared" si="7"/>
        <v>1.7798175135553049E-11</v>
      </c>
      <c r="BH22" s="4">
        <f t="shared" si="7"/>
        <v>1.782041862047217E-11</v>
      </c>
      <c r="BI22" s="4">
        <f t="shared" si="7"/>
        <v>1.7842693422569824E-11</v>
      </c>
      <c r="BJ22" s="4">
        <f t="shared" si="7"/>
        <v>1.7864999587424494E-11</v>
      </c>
      <c r="BK22" s="4">
        <f t="shared" si="7"/>
        <v>1.7887337160684496E-11</v>
      </c>
      <c r="BL22" s="4">
        <f t="shared" si="7"/>
        <v>1.7909706188068073E-11</v>
      </c>
      <c r="BM22" s="4">
        <f t="shared" si="7"/>
        <v>1.7932106715363517E-11</v>
      </c>
      <c r="BN22" s="4">
        <f t="shared" si="7"/>
        <v>1.7954538788429265E-11</v>
      </c>
      <c r="BO22" s="4">
        <f t="shared" si="7"/>
        <v>1.7977002453194031E-11</v>
      </c>
      <c r="BP22" s="4">
        <f t="shared" si="7"/>
        <v>1.7999497755656886E-11</v>
      </c>
      <c r="BQ22" s="4">
        <f t="shared" si="7"/>
        <v>1.8022024741887391E-11</v>
      </c>
      <c r="BR22" s="4">
        <f t="shared" si="7"/>
        <v>1.8044583458025692E-11</v>
      </c>
      <c r="BS22" s="4">
        <f t="shared" si="4"/>
        <v>1.8067173950282644E-11</v>
      </c>
      <c r="BT22" s="4">
        <f t="shared" si="4"/>
        <v>1.8089796264939915E-11</v>
      </c>
      <c r="BU22" s="4">
        <f t="shared" si="4"/>
        <v>1.8112450448350092E-11</v>
      </c>
      <c r="BV22" s="4">
        <f t="shared" si="4"/>
        <v>1.8135136546936789E-11</v>
      </c>
      <c r="BW22" s="4">
        <f t="shared" si="4"/>
        <v>1.8157854607194779E-11</v>
      </c>
      <c r="BX22" s="4">
        <f t="shared" si="4"/>
        <v>1.8180604675690085E-11</v>
      </c>
      <c r="BY22" s="4">
        <f t="shared" si="4"/>
        <v>1.8203386799060096E-11</v>
      </c>
      <c r="BZ22" s="4">
        <f t="shared" si="4"/>
        <v>1.8226201024013682E-11</v>
      </c>
      <c r="CA22" s="4">
        <f t="shared" si="4"/>
        <v>1.8249047397331293E-11</v>
      </c>
      <c r="CB22" s="4">
        <f t="shared" si="4"/>
        <v>1.8271925965865108E-11</v>
      </c>
      <c r="CC22" s="4">
        <f t="shared" si="4"/>
        <v>1.829483677653908E-11</v>
      </c>
      <c r="CD22" s="4">
        <f t="shared" si="4"/>
        <v>1.8317779876349125E-11</v>
      </c>
      <c r="CE22" s="4">
        <f t="shared" si="4"/>
        <v>1.8340755312363178E-11</v>
      </c>
      <c r="CF22" s="4">
        <f t="shared" si="4"/>
        <v>1.8363763131721332E-11</v>
      </c>
      <c r="CG22" s="4">
        <f t="shared" si="4"/>
        <v>1.8386803381635935E-11</v>
      </c>
      <c r="CH22" s="4">
        <f t="shared" si="9"/>
        <v>1.8409876109391722E-11</v>
      </c>
      <c r="CI22" s="4">
        <f t="shared" si="9"/>
        <v>1.8432981362345915E-11</v>
      </c>
      <c r="CJ22" s="4">
        <f t="shared" si="9"/>
        <v>1.8456119187928342E-11</v>
      </c>
      <c r="CK22" s="4">
        <f t="shared" si="9"/>
        <v>1.8479289633641533E-11</v>
      </c>
      <c r="CL22" s="4">
        <f t="shared" si="9"/>
        <v>1.8502492747060866E-11</v>
      </c>
      <c r="CM22" s="4">
        <f t="shared" si="9"/>
        <v>1.8525728575834651E-11</v>
      </c>
      <c r="CN22" s="4">
        <f t="shared" si="9"/>
        <v>1.8548997167684257E-11</v>
      </c>
      <c r="CO22" s="4">
        <f t="shared" si="9"/>
        <v>1.8572298570404233E-11</v>
      </c>
      <c r="CP22" s="4">
        <f t="shared" si="9"/>
        <v>1.8595632831862411E-11</v>
      </c>
      <c r="CQ22" s="4">
        <f t="shared" si="9"/>
        <v>1.861900000000001E-11</v>
      </c>
    </row>
    <row r="23" spans="1:95">
      <c r="A23" s="3">
        <v>21</v>
      </c>
      <c r="B23" s="17" t="str">
        <f>データファイル用!$B24</f>
        <v>MEWS Mortar 1-N</v>
      </c>
      <c r="C23" s="18">
        <f>データファイル用!G24</f>
        <v>2.2264000000000001E-11</v>
      </c>
      <c r="D23" s="19">
        <f>データファイル用!H24</f>
        <v>5.7353999999999999E-3</v>
      </c>
      <c r="E23" s="20">
        <f>データファイル用!I24</f>
        <v>-1.1289</v>
      </c>
      <c r="F23" s="42">
        <f>データファイル用!J24</f>
        <v>1.0954999999999999</v>
      </c>
      <c r="G23" s="4">
        <f t="shared" si="2"/>
        <v>0</v>
      </c>
      <c r="H23" s="4">
        <f t="shared" si="2"/>
        <v>7.1504364207522966E-12</v>
      </c>
      <c r="I23" s="4">
        <f t="shared" si="2"/>
        <v>7.3068710828555769E-12</v>
      </c>
      <c r="J23" s="4">
        <f t="shared" si="2"/>
        <v>7.4611532661404791E-12</v>
      </c>
      <c r="K23" s="4">
        <f t="shared" si="2"/>
        <v>7.6182081687478675E-12</v>
      </c>
      <c r="L23" s="4">
        <f t="shared" si="2"/>
        <v>7.7793319577321209E-12</v>
      </c>
      <c r="M23" s="4">
        <f t="shared" si="2"/>
        <v>7.945033290852563E-12</v>
      </c>
      <c r="N23" s="4">
        <f t="shared" si="2"/>
        <v>8.1155726043430119E-12</v>
      </c>
      <c r="O23" s="4">
        <f t="shared" si="2"/>
        <v>8.2911176010016173E-12</v>
      </c>
      <c r="P23" s="4">
        <f t="shared" si="2"/>
        <v>8.4717989918806606E-12</v>
      </c>
      <c r="Q23" s="4">
        <f t="shared" si="2"/>
        <v>8.6577333497093309E-12</v>
      </c>
      <c r="R23" s="4">
        <f t="shared" si="2"/>
        <v>8.8490333426654653E-12</v>
      </c>
      <c r="S23" s="4">
        <f t="shared" si="2"/>
        <v>9.045812593032367E-12</v>
      </c>
      <c r="T23" s="4">
        <f t="shared" si="2"/>
        <v>9.2481880699968325E-12</v>
      </c>
      <c r="U23" s="4">
        <f t="shared" si="2"/>
        <v>9.4562812902388076E-12</v>
      </c>
      <c r="V23" s="4">
        <f t="shared" si="2"/>
        <v>9.6702189217532856E-12</v>
      </c>
      <c r="W23" s="4">
        <f t="shared" si="5"/>
        <v>9.890133083663679E-12</v>
      </c>
      <c r="X23" s="4">
        <f t="shared" si="5"/>
        <v>1.0116161491580392E-11</v>
      </c>
      <c r="Y23" s="4">
        <f t="shared" si="5"/>
        <v>1.0348447527058356E-11</v>
      </c>
      <c r="Z23" s="4">
        <f t="shared" si="5"/>
        <v>1.0587140273161709E-11</v>
      </c>
      <c r="AA23" s="4">
        <f t="shared" si="5"/>
        <v>1.0832394538767878E-11</v>
      </c>
      <c r="AB23" s="4">
        <f t="shared" si="5"/>
        <v>1.1084370883737022E-11</v>
      </c>
      <c r="AC23" s="4">
        <f t="shared" si="5"/>
        <v>1.1343235651287455E-11</v>
      </c>
      <c r="AD23" s="4">
        <f t="shared" si="5"/>
        <v>1.1609161010706113E-11</v>
      </c>
      <c r="AE23" s="4">
        <f t="shared" si="5"/>
        <v>1.1882325011742557E-11</v>
      </c>
      <c r="AF23" s="4">
        <f t="shared" si="5"/>
        <v>1.2162911651060979E-11</v>
      </c>
      <c r="AG23" s="4">
        <f t="shared" si="5"/>
        <v>1.245111095060953E-11</v>
      </c>
      <c r="AH23" s="4">
        <f t="shared" si="5"/>
        <v>1.2747119047513114E-11</v>
      </c>
      <c r="AI23" s="4">
        <f t="shared" si="5"/>
        <v>1.3051138294990821E-11</v>
      </c>
      <c r="AJ23" s="4">
        <f t="shared" si="5"/>
        <v>1.3363377373777768E-11</v>
      </c>
      <c r="AK23" s="4">
        <f t="shared" si="5"/>
        <v>1.3684051413554245E-11</v>
      </c>
      <c r="AL23" s="4">
        <f t="shared" si="5"/>
        <v>1.4013382123931104E-11</v>
      </c>
      <c r="AM23" s="4">
        <f t="shared" si="6"/>
        <v>1.4351597934596187E-11</v>
      </c>
      <c r="AN23" s="4">
        <f t="shared" si="6"/>
        <v>1.4698934144285195E-11</v>
      </c>
      <c r="AO23" s="4">
        <f t="shared" si="6"/>
        <v>1.5055633078297431E-11</v>
      </c>
      <c r="AP23" s="4">
        <f t="shared" si="6"/>
        <v>1.5421944254330836E-11</v>
      </c>
      <c r="AQ23" s="4">
        <f t="shared" si="6"/>
        <v>1.5798124556460175E-11</v>
      </c>
      <c r="AR23" s="4">
        <f t="shared" si="6"/>
        <v>1.6184438417127178E-11</v>
      </c>
      <c r="AS23" s="4">
        <f t="shared" si="6"/>
        <v>1.6581158007052211E-11</v>
      </c>
      <c r="AT23" s="4">
        <f t="shared" si="6"/>
        <v>1.6988563433013349E-11</v>
      </c>
      <c r="AU23" s="4">
        <f t="shared" si="6"/>
        <v>1.7406942943471541E-11</v>
      </c>
      <c r="AV23" s="4">
        <f t="shared" si="6"/>
        <v>1.783659314205008E-11</v>
      </c>
      <c r="AW23" s="4">
        <f t="shared" si="6"/>
        <v>1.8277819208903053E-11</v>
      </c>
      <c r="AX23" s="4">
        <f t="shared" si="6"/>
        <v>1.8730935130031377E-11</v>
      </c>
      <c r="AY23" s="4">
        <f t="shared" si="6"/>
        <v>1.919626393462709E-11</v>
      </c>
      <c r="AZ23" s="4">
        <f t="shared" si="6"/>
        <v>1.9674137940546225E-11</v>
      </c>
      <c r="BA23" s="4">
        <f t="shared" si="6"/>
        <v>2.016489900802925E-11</v>
      </c>
      <c r="BB23" s="4">
        <f t="shared" si="6"/>
        <v>2.0668898801804784E-11</v>
      </c>
      <c r="BC23" s="4">
        <f t="shared" si="7"/>
        <v>2.1186499061728326E-11</v>
      </c>
      <c r="BD23" s="4">
        <f t="shared" si="7"/>
        <v>2.1212742716549745E-11</v>
      </c>
      <c r="BE23" s="4">
        <f t="shared" si="7"/>
        <v>2.1239021347761996E-11</v>
      </c>
      <c r="BF23" s="4">
        <f t="shared" si="7"/>
        <v>2.1265335002632767E-11</v>
      </c>
      <c r="BG23" s="4">
        <f t="shared" si="7"/>
        <v>2.1291683728496431E-11</v>
      </c>
      <c r="BH23" s="4">
        <f t="shared" si="7"/>
        <v>2.131806757275415E-11</v>
      </c>
      <c r="BI23" s="4">
        <f t="shared" si="7"/>
        <v>2.1344486582873958E-11</v>
      </c>
      <c r="BJ23" s="4">
        <f t="shared" si="7"/>
        <v>2.1370940806390855E-11</v>
      </c>
      <c r="BK23" s="4">
        <f t="shared" si="7"/>
        <v>2.1397430290906908E-11</v>
      </c>
      <c r="BL23" s="4">
        <f t="shared" si="7"/>
        <v>2.1423955084091317E-11</v>
      </c>
      <c r="BM23" s="4">
        <f t="shared" si="7"/>
        <v>2.1450515233680534E-11</v>
      </c>
      <c r="BN23" s="4">
        <f t="shared" si="7"/>
        <v>2.1477110787478359E-11</v>
      </c>
      <c r="BO23" s="4">
        <f t="shared" si="7"/>
        <v>2.1503741793356013E-11</v>
      </c>
      <c r="BP23" s="4">
        <f t="shared" si="7"/>
        <v>2.1530408299252221E-11</v>
      </c>
      <c r="BQ23" s="4">
        <f t="shared" si="7"/>
        <v>2.1557110353173361E-11</v>
      </c>
      <c r="BR23" s="4">
        <f t="shared" si="7"/>
        <v>2.1583848003193482E-11</v>
      </c>
      <c r="BS23" s="4">
        <f t="shared" si="4"/>
        <v>2.1610621297454462E-11</v>
      </c>
      <c r="BT23" s="4">
        <f t="shared" si="4"/>
        <v>2.1637430284166059E-11</v>
      </c>
      <c r="BU23" s="4">
        <f t="shared" si="4"/>
        <v>2.1664275011606021E-11</v>
      </c>
      <c r="BV23" s="4">
        <f t="shared" si="4"/>
        <v>2.1691155528120195E-11</v>
      </c>
      <c r="BW23" s="4">
        <f t="shared" si="4"/>
        <v>2.1718071882122577E-11</v>
      </c>
      <c r="BX23" s="4">
        <f t="shared" si="4"/>
        <v>2.1745024122095464E-11</v>
      </c>
      <c r="BY23" s="4">
        <f t="shared" si="4"/>
        <v>2.177201229658949E-11</v>
      </c>
      <c r="BZ23" s="4">
        <f t="shared" si="4"/>
        <v>2.1799036454223778E-11</v>
      </c>
      <c r="CA23" s="4">
        <f t="shared" si="4"/>
        <v>2.1826096643685979E-11</v>
      </c>
      <c r="CB23" s="4">
        <f t="shared" si="4"/>
        <v>2.1853192913732409E-11</v>
      </c>
      <c r="CC23" s="4">
        <f t="shared" si="4"/>
        <v>2.1880325313188122E-11</v>
      </c>
      <c r="CD23" s="4">
        <f t="shared" si="4"/>
        <v>2.1907493890947005E-11</v>
      </c>
      <c r="CE23" s="4">
        <f t="shared" si="4"/>
        <v>2.1934698695971889E-11</v>
      </c>
      <c r="CF23" s="4">
        <f t="shared" si="4"/>
        <v>2.1961939777294635E-11</v>
      </c>
      <c r="CG23" s="4">
        <f t="shared" si="4"/>
        <v>2.1989217184016225E-11</v>
      </c>
      <c r="CH23" s="4">
        <f t="shared" si="9"/>
        <v>2.2016530965306852E-11</v>
      </c>
      <c r="CI23" s="4">
        <f t="shared" si="9"/>
        <v>2.2043881170406037E-11</v>
      </c>
      <c r="CJ23" s="4">
        <f t="shared" si="9"/>
        <v>2.2071267848622716E-11</v>
      </c>
      <c r="CK23" s="4">
        <f t="shared" si="9"/>
        <v>2.2098691049335311E-11</v>
      </c>
      <c r="CL23" s="4">
        <f t="shared" si="9"/>
        <v>2.2126150821991876E-11</v>
      </c>
      <c r="CM23" s="4">
        <f t="shared" si="9"/>
        <v>2.2153647216110142E-11</v>
      </c>
      <c r="CN23" s="4">
        <f t="shared" si="9"/>
        <v>2.2181180281277656E-11</v>
      </c>
      <c r="CO23" s="4">
        <f t="shared" si="9"/>
        <v>2.2208750067151846E-11</v>
      </c>
      <c r="CP23" s="4">
        <f t="shared" si="9"/>
        <v>2.2236356623460131E-11</v>
      </c>
      <c r="CQ23" s="4">
        <f t="shared" si="9"/>
        <v>2.2264000000000011E-11</v>
      </c>
    </row>
    <row r="24" spans="1:95">
      <c r="A24" s="3">
        <v>22</v>
      </c>
      <c r="B24" s="17" t="str">
        <f>データファイル用!$B25</f>
        <v>MEWS Mortar 2-S</v>
      </c>
      <c r="C24" s="18">
        <f>データファイル用!G25</f>
        <v>4.0882999999999999E-11</v>
      </c>
      <c r="D24" s="19">
        <f>データファイル用!H25</f>
        <v>1.0222E-2</v>
      </c>
      <c r="E24" s="20">
        <f>データファイル用!I25</f>
        <v>-1.1355999999999999</v>
      </c>
      <c r="F24" s="42">
        <f>データファイル用!J25</f>
        <v>1.1104000000000001</v>
      </c>
      <c r="G24" s="4">
        <f t="shared" si="2"/>
        <v>0</v>
      </c>
      <c r="H24" s="4">
        <f t="shared" si="2"/>
        <v>1.280546629644852E-11</v>
      </c>
      <c r="I24" s="4">
        <f t="shared" si="2"/>
        <v>1.3118841701405098E-11</v>
      </c>
      <c r="J24" s="4">
        <f t="shared" si="2"/>
        <v>1.3414011346756682E-11</v>
      </c>
      <c r="K24" s="4">
        <f t="shared" si="2"/>
        <v>1.3708792769306239E-11</v>
      </c>
      <c r="L24" s="4">
        <f t="shared" si="2"/>
        <v>1.4008254655647087E-11</v>
      </c>
      <c r="M24" s="4">
        <f t="shared" si="2"/>
        <v>1.4314501848178847E-11</v>
      </c>
      <c r="N24" s="4">
        <f t="shared" si="2"/>
        <v>1.4628624292329425E-11</v>
      </c>
      <c r="O24" s="4">
        <f t="shared" si="2"/>
        <v>1.4951288848193534E-11</v>
      </c>
      <c r="P24" s="4">
        <f t="shared" si="2"/>
        <v>1.528296430491248E-11</v>
      </c>
      <c r="Q24" s="4">
        <f t="shared" si="2"/>
        <v>1.5624020177805853E-11</v>
      </c>
      <c r="R24" s="4">
        <f t="shared" si="2"/>
        <v>1.597477469974753E-11</v>
      </c>
      <c r="S24" s="4">
        <f t="shared" si="2"/>
        <v>1.6335519956074994E-11</v>
      </c>
      <c r="T24" s="4">
        <f t="shared" si="2"/>
        <v>1.6706535844784379E-11</v>
      </c>
      <c r="U24" s="4">
        <f t="shared" si="2"/>
        <v>1.7088098209726752E-11</v>
      </c>
      <c r="V24" s="4">
        <f t="shared" si="2"/>
        <v>1.7480483776238593E-11</v>
      </c>
      <c r="W24" s="4">
        <f t="shared" si="5"/>
        <v>1.7883973258743385E-11</v>
      </c>
      <c r="X24" s="4">
        <f t="shared" si="5"/>
        <v>1.8298853388245972E-11</v>
      </c>
      <c r="Y24" s="4">
        <f t="shared" si="5"/>
        <v>1.872541828464263E-11</v>
      </c>
      <c r="Z24" s="4">
        <f t="shared" si="5"/>
        <v>1.9163970423460935E-11</v>
      </c>
      <c r="AA24" s="4">
        <f t="shared" si="5"/>
        <v>1.9614821347895649E-11</v>
      </c>
      <c r="AB24" s="4">
        <f t="shared" si="5"/>
        <v>2.007829221958057E-11</v>
      </c>
      <c r="AC24" s="4">
        <f t="shared" si="5"/>
        <v>2.0554714267204389E-11</v>
      </c>
      <c r="AD24" s="4">
        <f t="shared" si="5"/>
        <v>2.1044429171053264E-11</v>
      </c>
      <c r="AE24" s="4">
        <f t="shared" si="5"/>
        <v>2.1547789408413745E-11</v>
      </c>
      <c r="AF24" s="4">
        <f t="shared" si="5"/>
        <v>2.2065158576393149E-11</v>
      </c>
      <c r="AG24" s="4">
        <f t="shared" si="5"/>
        <v>2.2596911703293348E-11</v>
      </c>
      <c r="AH24" s="4">
        <f t="shared" si="5"/>
        <v>2.3143435556115005E-11</v>
      </c>
      <c r="AI24" s="4">
        <f t="shared" si="5"/>
        <v>2.3705128949406742E-11</v>
      </c>
      <c r="AJ24" s="4">
        <f t="shared" si="5"/>
        <v>2.4282403059088258E-11</v>
      </c>
      <c r="AK24" s="4">
        <f t="shared" si="5"/>
        <v>2.4875681743805117E-11</v>
      </c>
      <c r="AL24" s="4">
        <f t="shared" si="5"/>
        <v>2.5485401875644212E-11</v>
      </c>
      <c r="AM24" s="4">
        <f t="shared" si="6"/>
        <v>2.6112013681541671E-11</v>
      </c>
      <c r="AN24" s="4">
        <f t="shared" si="6"/>
        <v>2.6755981096375714E-11</v>
      </c>
      <c r="AO24" s="4">
        <f t="shared" si="6"/>
        <v>2.7417782128505781E-11</v>
      </c>
      <c r="AP24" s="4">
        <f t="shared" si="6"/>
        <v>2.8097909238363416E-11</v>
      </c>
      <c r="AQ24" s="4">
        <f t="shared" si="6"/>
        <v>2.8796869730596554E-11</v>
      </c>
      <c r="AR24" s="4">
        <f t="shared" si="6"/>
        <v>2.9515186160201793E-11</v>
      </c>
      <c r="AS24" s="4">
        <f t="shared" si="6"/>
        <v>3.0253396753038005E-11</v>
      </c>
      <c r="AT24" s="4">
        <f t="shared" si="6"/>
        <v>3.1012055841091143E-11</v>
      </c>
      <c r="AU24" s="4">
        <f t="shared" si="6"/>
        <v>3.1791734312850209E-11</v>
      </c>
      <c r="AV24" s="4">
        <f t="shared" si="6"/>
        <v>3.2593020079152918E-11</v>
      </c>
      <c r="AW24" s="4">
        <f t="shared" si="6"/>
        <v>3.3416518554864896E-11</v>
      </c>
      <c r="AX24" s="4">
        <f t="shared" si="6"/>
        <v>3.4262853156766474E-11</v>
      </c>
      <c r="AY24" s="4">
        <f t="shared" si="6"/>
        <v>3.5132665818034088E-11</v>
      </c>
      <c r="AZ24" s="4">
        <f t="shared" si="6"/>
        <v>3.6026617519719152E-11</v>
      </c>
      <c r="BA24" s="4">
        <f t="shared" si="6"/>
        <v>3.694538883964444E-11</v>
      </c>
      <c r="BB24" s="4">
        <f t="shared" si="6"/>
        <v>3.7889680519156751E-11</v>
      </c>
      <c r="BC24" s="4">
        <f t="shared" si="7"/>
        <v>3.8860214048193923E-11</v>
      </c>
      <c r="BD24" s="4">
        <f t="shared" si="7"/>
        <v>3.8909442805363542E-11</v>
      </c>
      <c r="BE24" s="4">
        <f t="shared" si="7"/>
        <v>3.8958739113974389E-11</v>
      </c>
      <c r="BF24" s="4">
        <f t="shared" si="7"/>
        <v>3.9008103068441719E-11</v>
      </c>
      <c r="BG24" s="4">
        <f t="shared" si="7"/>
        <v>3.905753476331846E-11</v>
      </c>
      <c r="BH24" s="4">
        <f t="shared" si="7"/>
        <v>3.9107034293295506E-11</v>
      </c>
      <c r="BI24" s="4">
        <f t="shared" si="7"/>
        <v>3.9156601753201837E-11</v>
      </c>
      <c r="BJ24" s="4">
        <f t="shared" si="7"/>
        <v>3.9206237238004793E-11</v>
      </c>
      <c r="BK24" s="4">
        <f t="shared" si="7"/>
        <v>3.9255940842810201E-11</v>
      </c>
      <c r="BL24" s="4">
        <f t="shared" si="7"/>
        <v>3.9305712662862616E-11</v>
      </c>
      <c r="BM24" s="4">
        <f t="shared" si="7"/>
        <v>3.9355552793545508E-11</v>
      </c>
      <c r="BN24" s="4">
        <f t="shared" si="7"/>
        <v>3.9405461330381481E-11</v>
      </c>
      <c r="BO24" s="4">
        <f t="shared" si="7"/>
        <v>3.9455438369032441E-11</v>
      </c>
      <c r="BP24" s="4">
        <f t="shared" si="7"/>
        <v>3.9505484005299816E-11</v>
      </c>
      <c r="BQ24" s="4">
        <f t="shared" si="7"/>
        <v>3.9555598335124783E-11</v>
      </c>
      <c r="BR24" s="4">
        <f t="shared" si="7"/>
        <v>3.9605781454588415E-11</v>
      </c>
      <c r="BS24" s="4">
        <f t="shared" si="4"/>
        <v>3.9656033459911922E-11</v>
      </c>
      <c r="BT24" s="4">
        <f t="shared" si="4"/>
        <v>3.9706354447456832E-11</v>
      </c>
      <c r="BU24" s="4">
        <f t="shared" si="4"/>
        <v>3.9756744513725238E-11</v>
      </c>
      <c r="BV24" s="4">
        <f t="shared" si="4"/>
        <v>3.9807203755359916E-11</v>
      </c>
      <c r="BW24" s="4">
        <f t="shared" si="4"/>
        <v>3.9857732269144617E-11</v>
      </c>
      <c r="BX24" s="4">
        <f t="shared" si="4"/>
        <v>3.9908330152004228E-11</v>
      </c>
      <c r="BY24" s="4">
        <f t="shared" si="4"/>
        <v>3.9958997501004963E-11</v>
      </c>
      <c r="BZ24" s="4">
        <f t="shared" si="4"/>
        <v>4.0009734413354612E-11</v>
      </c>
      <c r="CA24" s="4">
        <f t="shared" si="4"/>
        <v>4.0060540986402686E-11</v>
      </c>
      <c r="CB24" s="4">
        <f t="shared" si="4"/>
        <v>4.0111417317640691E-11</v>
      </c>
      <c r="CC24" s="4">
        <f t="shared" si="4"/>
        <v>4.0162363504702255E-11</v>
      </c>
      <c r="CD24" s="4">
        <f t="shared" si="4"/>
        <v>4.0213379645363427E-11</v>
      </c>
      <c r="CE24" s="4">
        <f t="shared" si="4"/>
        <v>4.0264465837542786E-11</v>
      </c>
      <c r="CF24" s="4">
        <f t="shared" si="4"/>
        <v>4.0315622179301707E-11</v>
      </c>
      <c r="CG24" s="4">
        <f t="shared" si="4"/>
        <v>4.0366848768844554E-11</v>
      </c>
      <c r="CH24" s="4">
        <f t="shared" si="9"/>
        <v>4.0418145704518888E-11</v>
      </c>
      <c r="CI24" s="4">
        <f t="shared" si="9"/>
        <v>4.0469513084815662E-11</v>
      </c>
      <c r="CJ24" s="4">
        <f t="shared" si="9"/>
        <v>4.0520951008369451E-11</v>
      </c>
      <c r="CK24" s="4">
        <f t="shared" si="9"/>
        <v>4.0572459573958642E-11</v>
      </c>
      <c r="CL24" s="4">
        <f t="shared" si="9"/>
        <v>4.062403888050564E-11</v>
      </c>
      <c r="CM24" s="4">
        <f t="shared" si="9"/>
        <v>4.067568902707708E-11</v>
      </c>
      <c r="CN24" s="4">
        <f t="shared" si="9"/>
        <v>4.0727410112884054E-11</v>
      </c>
      <c r="CO24" s="4">
        <f t="shared" si="9"/>
        <v>4.0779202237282295E-11</v>
      </c>
      <c r="CP24" s="4">
        <f t="shared" si="9"/>
        <v>4.0831065499772397E-11</v>
      </c>
      <c r="CQ24" s="4">
        <f t="shared" si="9"/>
        <v>4.0883000000000018E-11</v>
      </c>
    </row>
    <row r="25" spans="1:95">
      <c r="A25" s="3">
        <v>23</v>
      </c>
      <c r="B25" s="17" t="str">
        <f>データファイル用!$B26</f>
        <v>MEWS Mortar 2-N</v>
      </c>
      <c r="C25" s="18">
        <f>データファイル用!G26</f>
        <v>3.4799999999999999E-11</v>
      </c>
      <c r="D25" s="19">
        <f>データファイル用!H26</f>
        <v>2.3262000000000001E-2</v>
      </c>
      <c r="E25" s="20">
        <f>データファイル用!I26</f>
        <v>-0.99031000000000002</v>
      </c>
      <c r="F25" s="42">
        <f>データファイル用!J26</f>
        <v>1.1053999999999999</v>
      </c>
      <c r="G25" s="4">
        <f t="shared" si="2"/>
        <v>0</v>
      </c>
      <c r="H25" s="4">
        <f t="shared" si="2"/>
        <v>1.1958229982914595E-11</v>
      </c>
      <c r="I25" s="4">
        <f t="shared" si="2"/>
        <v>1.233752500691382E-11</v>
      </c>
      <c r="J25" s="4">
        <f t="shared" si="2"/>
        <v>1.2654755370847155E-11</v>
      </c>
      <c r="K25" s="4">
        <f t="shared" si="2"/>
        <v>1.2952152808345582E-11</v>
      </c>
      <c r="L25" s="4">
        <f t="shared" si="2"/>
        <v>1.3242557988356036E-11</v>
      </c>
      <c r="M25" s="4">
        <f t="shared" si="2"/>
        <v>1.3531550016244784E-11</v>
      </c>
      <c r="N25" s="4">
        <f t="shared" si="2"/>
        <v>1.3822058355900891E-11</v>
      </c>
      <c r="O25" s="4">
        <f t="shared" si="2"/>
        <v>1.4115826118283084E-11</v>
      </c>
      <c r="P25" s="4">
        <f t="shared" si="2"/>
        <v>1.4413992020440997E-11</v>
      </c>
      <c r="Q25" s="4">
        <f t="shared" si="2"/>
        <v>1.4717358178704825E-11</v>
      </c>
      <c r="R25" s="4">
        <f t="shared" si="2"/>
        <v>1.5026526748022362E-11</v>
      </c>
      <c r="S25" s="4">
        <f t="shared" si="2"/>
        <v>1.5341975264526183E-11</v>
      </c>
      <c r="T25" s="4">
        <f t="shared" si="2"/>
        <v>1.566410078848549E-11</v>
      </c>
      <c r="U25" s="4">
        <f t="shared" si="2"/>
        <v>1.5993247066394174E-11</v>
      </c>
      <c r="V25" s="4">
        <f t="shared" si="2"/>
        <v>1.6329721936949797E-11</v>
      </c>
      <c r="W25" s="4">
        <f t="shared" si="5"/>
        <v>1.6673808875668396E-11</v>
      </c>
      <c r="X25" s="4">
        <f t="shared" si="5"/>
        <v>1.7025774883411412E-11</v>
      </c>
      <c r="Y25" s="4">
        <f t="shared" si="5"/>
        <v>1.7385876020365528E-11</v>
      </c>
      <c r="Z25" s="4">
        <f t="shared" si="5"/>
        <v>1.7754361381411378E-11</v>
      </c>
      <c r="AA25" s="4">
        <f t="shared" si="5"/>
        <v>1.8131476014840233E-11</v>
      </c>
      <c r="AB25" s="4">
        <f t="shared" si="5"/>
        <v>1.8517463109628706E-11</v>
      </c>
      <c r="AC25" s="4">
        <f t="shared" si="5"/>
        <v>1.8912565667046559E-11</v>
      </c>
      <c r="AD25" s="4">
        <f t="shared" si="5"/>
        <v>1.9317027802830325E-11</v>
      </c>
      <c r="AE25" s="4">
        <f t="shared" si="5"/>
        <v>1.9731095780928438E-11</v>
      </c>
      <c r="AF25" s="4">
        <f t="shared" si="5"/>
        <v>2.0155018849791722E-11</v>
      </c>
      <c r="AG25" s="4">
        <f t="shared" si="5"/>
        <v>2.0589049931864439E-11</v>
      </c>
      <c r="AH25" s="4">
        <f t="shared" si="5"/>
        <v>2.1033446202947751E-11</v>
      </c>
      <c r="AI25" s="4">
        <f t="shared" si="5"/>
        <v>2.1488469588334598E-11</v>
      </c>
      <c r="AJ25" s="4">
        <f t="shared" si="5"/>
        <v>2.1954387195687137E-11</v>
      </c>
      <c r="AK25" s="4">
        <f t="shared" si="5"/>
        <v>2.2431471699652642E-11</v>
      </c>
      <c r="AL25" s="4">
        <f t="shared" si="5"/>
        <v>2.2920001689598011E-11</v>
      </c>
      <c r="AM25" s="4">
        <f t="shared" si="6"/>
        <v>2.3420261989186253E-11</v>
      </c>
      <c r="AN25" s="4">
        <f t="shared" si="6"/>
        <v>2.3932543954545714E-11</v>
      </c>
      <c r="AO25" s="4">
        <f t="shared" si="6"/>
        <v>2.4457145756305237E-11</v>
      </c>
      <c r="AP25" s="4">
        <f t="shared" si="6"/>
        <v>2.4994372649650815E-11</v>
      </c>
      <c r="AQ25" s="4">
        <f t="shared" si="6"/>
        <v>2.55445372357082E-11</v>
      </c>
      <c r="AR25" s="4">
        <f t="shared" si="6"/>
        <v>2.6107959716902104E-11</v>
      </c>
      <c r="AS25" s="4">
        <f t="shared" si="6"/>
        <v>2.668496814843729E-11</v>
      </c>
      <c r="AT25" s="4">
        <f t="shared" si="6"/>
        <v>2.7275898687653647E-11</v>
      </c>
      <c r="AU25" s="4">
        <f t="shared" si="6"/>
        <v>2.7881095842699714E-11</v>
      </c>
      <c r="AV25" s="4">
        <f t="shared" si="6"/>
        <v>2.8500912721726847E-11</v>
      </c>
      <c r="AW25" s="4">
        <f t="shared" si="6"/>
        <v>2.9135711283615147E-11</v>
      </c>
      <c r="AX25" s="4">
        <f t="shared" si="6"/>
        <v>2.9785862591090002E-11</v>
      </c>
      <c r="AY25" s="4">
        <f t="shared" si="6"/>
        <v>3.0451747066967543E-11</v>
      </c>
      <c r="AZ25" s="4">
        <f t="shared" si="6"/>
        <v>3.1133754754170119E-11</v>
      </c>
      <c r="BA25" s="4">
        <f t="shared" si="6"/>
        <v>3.1832285580076046E-11</v>
      </c>
      <c r="BB25" s="4">
        <f t="shared" si="6"/>
        <v>3.2547749625705381E-11</v>
      </c>
      <c r="BC25" s="4">
        <f t="shared" si="7"/>
        <v>3.3280567400193953E-11</v>
      </c>
      <c r="BD25" s="4">
        <f t="shared" si="7"/>
        <v>3.331767151290596E-11</v>
      </c>
      <c r="BE25" s="4">
        <f t="shared" si="7"/>
        <v>3.335482014031372E-11</v>
      </c>
      <c r="BF25" s="4">
        <f t="shared" si="7"/>
        <v>3.3392013337100708E-11</v>
      </c>
      <c r="BG25" s="4">
        <f t="shared" si="7"/>
        <v>3.3429251158019287E-11</v>
      </c>
      <c r="BH25" s="4">
        <f t="shared" si="7"/>
        <v>3.3466533657890801E-11</v>
      </c>
      <c r="BI25" s="4">
        <f t="shared" si="7"/>
        <v>3.3503860891605658E-11</v>
      </c>
      <c r="BJ25" s="4">
        <f t="shared" si="7"/>
        <v>3.3541232914123442E-11</v>
      </c>
      <c r="BK25" s="4">
        <f t="shared" si="7"/>
        <v>3.3578649780472971E-11</v>
      </c>
      <c r="BL25" s="4">
        <f t="shared" si="7"/>
        <v>3.3616111545752436E-11</v>
      </c>
      <c r="BM25" s="4">
        <f t="shared" si="7"/>
        <v>3.3653618265129438E-11</v>
      </c>
      <c r="BN25" s="4">
        <f t="shared" si="7"/>
        <v>3.3691169993841109E-11</v>
      </c>
      <c r="BO25" s="4">
        <f t="shared" si="7"/>
        <v>3.3728766787194225E-11</v>
      </c>
      <c r="BP25" s="4">
        <f t="shared" si="7"/>
        <v>3.3766408700565218E-11</v>
      </c>
      <c r="BQ25" s="4">
        <f t="shared" si="7"/>
        <v>3.3804095789400393E-11</v>
      </c>
      <c r="BR25" s="4">
        <f t="shared" si="7"/>
        <v>3.3841828109215892E-11</v>
      </c>
      <c r="BS25" s="4">
        <f t="shared" si="4"/>
        <v>3.3879605715597859E-11</v>
      </c>
      <c r="BT25" s="4">
        <f t="shared" si="4"/>
        <v>3.3917428664202528E-11</v>
      </c>
      <c r="BU25" s="4">
        <f t="shared" si="4"/>
        <v>3.3955297010756292E-11</v>
      </c>
      <c r="BV25" s="4">
        <f t="shared" si="4"/>
        <v>3.3993210811055795E-11</v>
      </c>
      <c r="BW25" s="4">
        <f t="shared" si="4"/>
        <v>3.4031170120968044E-11</v>
      </c>
      <c r="BX25" s="4">
        <f t="shared" si="4"/>
        <v>3.4069174996430503E-11</v>
      </c>
      <c r="BY25" s="4">
        <f t="shared" si="4"/>
        <v>3.410722549345115E-11</v>
      </c>
      <c r="BZ25" s="4">
        <f t="shared" si="4"/>
        <v>3.4145321668108617E-11</v>
      </c>
      <c r="CA25" s="4">
        <f t="shared" si="4"/>
        <v>3.4183463576552242E-11</v>
      </c>
      <c r="CB25" s="4">
        <f t="shared" si="4"/>
        <v>3.4221651275002188E-11</v>
      </c>
      <c r="CC25" s="4">
        <f t="shared" si="4"/>
        <v>3.425988481974953E-11</v>
      </c>
      <c r="CD25" s="4">
        <f t="shared" si="4"/>
        <v>3.4298164267156345E-11</v>
      </c>
      <c r="CE25" s="4">
        <f t="shared" si="4"/>
        <v>3.4336489673655785E-11</v>
      </c>
      <c r="CF25" s="4">
        <f t="shared" si="4"/>
        <v>3.4374861095752206E-11</v>
      </c>
      <c r="CG25" s="4">
        <f t="shared" si="4"/>
        <v>3.4413278590021261E-11</v>
      </c>
      <c r="CH25" s="4">
        <f t="shared" si="9"/>
        <v>3.4451742213109958E-11</v>
      </c>
      <c r="CI25" s="4">
        <f t="shared" si="9"/>
        <v>3.4490252021736774E-11</v>
      </c>
      <c r="CJ25" s="4">
        <f t="shared" si="9"/>
        <v>3.452880807269174E-11</v>
      </c>
      <c r="CK25" s="4">
        <f t="shared" si="9"/>
        <v>3.4567410422836577E-11</v>
      </c>
      <c r="CL25" s="4">
        <f t="shared" si="9"/>
        <v>3.4606059129104712E-11</v>
      </c>
      <c r="CM25" s="4">
        <f t="shared" si="9"/>
        <v>3.4644754248501451E-11</v>
      </c>
      <c r="CN25" s="4">
        <f t="shared" si="9"/>
        <v>3.4683495838104022E-11</v>
      </c>
      <c r="CO25" s="4">
        <f t="shared" si="9"/>
        <v>3.4722283955061672E-11</v>
      </c>
      <c r="CP25" s="4">
        <f t="shared" si="9"/>
        <v>3.4761118656595805E-11</v>
      </c>
      <c r="CQ25" s="4">
        <f t="shared" si="9"/>
        <v>3.4800000000000012E-11</v>
      </c>
    </row>
    <row r="26" spans="1:95">
      <c r="A26" s="3">
        <v>24</v>
      </c>
      <c r="B26" s="17" t="str">
        <f>データファイル用!$B27</f>
        <v>MEWS Regular Lime Stucco</v>
      </c>
      <c r="C26" s="18">
        <f>データファイル用!G27</f>
        <v>6.6989000000000001E-12</v>
      </c>
      <c r="D26" s="19">
        <f>データファイル用!H27</f>
        <v>0.86958999999999997</v>
      </c>
      <c r="E26" s="20">
        <f>データファイル用!I27</f>
        <v>-2.9992999999999999</v>
      </c>
      <c r="F26" s="42">
        <f>データファイル用!J27</f>
        <v>4.3802000000000001E-2</v>
      </c>
      <c r="G26" s="4">
        <f t="shared" si="2"/>
        <v>0</v>
      </c>
      <c r="H26" s="4">
        <f t="shared" si="2"/>
        <v>1.3914568428849026E-13</v>
      </c>
      <c r="I26" s="4">
        <f t="shared" si="2"/>
        <v>2.7483587267182556E-13</v>
      </c>
      <c r="J26" s="4">
        <f t="shared" si="2"/>
        <v>4.097056043604506E-13</v>
      </c>
      <c r="K26" s="4">
        <f t="shared" si="2"/>
        <v>5.4415170929529E-13</v>
      </c>
      <c r="L26" s="4">
        <f t="shared" si="2"/>
        <v>6.7833784151245734E-13</v>
      </c>
      <c r="M26" s="4">
        <f t="shared" si="2"/>
        <v>8.1235037291829889E-13</v>
      </c>
      <c r="N26" s="4">
        <f t="shared" si="2"/>
        <v>9.4624125986571039E-13</v>
      </c>
      <c r="O26" s="4">
        <f t="shared" ref="O26:AD41" si="10">$C26*IF(AND(O$2=0,$D26=0),1,O$2^$D26)*EXP($E26*(1-IF(AND(O$2=0,$F26=0),1,O$2^$F26)))</f>
        <v>1.0800444502592515E-12</v>
      </c>
      <c r="P26" s="4">
        <f t="shared" si="10"/>
        <v>1.2137834342422025E-12</v>
      </c>
      <c r="Q26" s="4">
        <f t="shared" si="10"/>
        <v>1.347475165701292E-12</v>
      </c>
      <c r="R26" s="4">
        <f t="shared" si="10"/>
        <v>1.4811322827215726E-12</v>
      </c>
      <c r="S26" s="4">
        <f t="shared" si="10"/>
        <v>1.6147644495442599E-12</v>
      </c>
      <c r="T26" s="4">
        <f t="shared" si="10"/>
        <v>1.7483792101000877E-12</v>
      </c>
      <c r="U26" s="4">
        <f t="shared" si="10"/>
        <v>1.881982553713868E-12</v>
      </c>
      <c r="V26" s="4">
        <f t="shared" si="10"/>
        <v>2.0155793029909548E-12</v>
      </c>
      <c r="W26" s="4">
        <f t="shared" si="10"/>
        <v>2.1491733874660324E-12</v>
      </c>
      <c r="X26" s="4">
        <f t="shared" si="10"/>
        <v>2.2827680413998691E-12</v>
      </c>
      <c r="Y26" s="4">
        <f t="shared" si="10"/>
        <v>2.4163659497708768E-12</v>
      </c>
      <c r="Z26" s="4">
        <f t="shared" si="10"/>
        <v>2.5499693580108839E-12</v>
      </c>
      <c r="AA26" s="4">
        <f t="shared" si="10"/>
        <v>2.6835801558202898E-12</v>
      </c>
      <c r="AB26" s="4">
        <f t="shared" si="10"/>
        <v>2.8171999420997936E-12</v>
      </c>
      <c r="AC26" s="4">
        <f t="shared" si="10"/>
        <v>2.9508300758935105E-12</v>
      </c>
      <c r="AD26" s="4">
        <f t="shared" si="10"/>
        <v>3.0844717168134418E-12</v>
      </c>
      <c r="AE26" s="4">
        <f t="shared" si="5"/>
        <v>3.218125857447413E-12</v>
      </c>
      <c r="AF26" s="4">
        <f t="shared" si="5"/>
        <v>3.3517933495826035E-12</v>
      </c>
      <c r="AG26" s="4">
        <f t="shared" si="5"/>
        <v>3.4854749256049967E-12</v>
      </c>
      <c r="AH26" s="4">
        <f t="shared" si="5"/>
        <v>3.6191712160977038E-12</v>
      </c>
      <c r="AI26" s="4">
        <f t="shared" si="5"/>
        <v>3.7528827644163065E-12</v>
      </c>
      <c r="AJ26" s="4">
        <f t="shared" si="5"/>
        <v>3.8866100388395364E-12</v>
      </c>
      <c r="AK26" s="4">
        <f t="shared" si="5"/>
        <v>4.0203534427598617E-12</v>
      </c>
      <c r="AL26" s="4">
        <f t="shared" si="5"/>
        <v>4.1541133232779314E-12</v>
      </c>
      <c r="AM26" s="4">
        <f t="shared" si="6"/>
        <v>4.2878899784885048E-12</v>
      </c>
      <c r="AN26" s="4">
        <f t="shared" si="6"/>
        <v>4.4216836636868514E-12</v>
      </c>
      <c r="AO26" s="4">
        <f t="shared" si="6"/>
        <v>4.555494596679354E-12</v>
      </c>
      <c r="AP26" s="4">
        <f t="shared" si="6"/>
        <v>4.6893229623466187E-12</v>
      </c>
      <c r="AQ26" s="4">
        <f t="shared" si="6"/>
        <v>4.823168916579751E-12</v>
      </c>
      <c r="AR26" s="4">
        <f t="shared" si="6"/>
        <v>4.9570325896883061E-12</v>
      </c>
      <c r="AS26" s="4">
        <f t="shared" si="6"/>
        <v>5.090914089361045E-12</v>
      </c>
      <c r="AT26" s="4">
        <f t="shared" si="6"/>
        <v>5.2248135032464608E-12</v>
      </c>
      <c r="AU26" s="4">
        <f t="shared" si="6"/>
        <v>5.3587309012087732E-12</v>
      </c>
      <c r="AV26" s="4">
        <f t="shared" si="6"/>
        <v>5.4926663373058252E-12</v>
      </c>
      <c r="AW26" s="4">
        <f t="shared" si="6"/>
        <v>5.6266198515278547E-12</v>
      </c>
      <c r="AX26" s="4">
        <f t="shared" si="6"/>
        <v>5.7605914713299453E-12</v>
      </c>
      <c r="AY26" s="4">
        <f t="shared" si="6"/>
        <v>5.8945812129858293E-12</v>
      </c>
      <c r="AZ26" s="4">
        <f t="shared" si="6"/>
        <v>6.028589082786645E-12</v>
      </c>
      <c r="BA26" s="4">
        <f t="shared" si="6"/>
        <v>6.1626150781046102E-12</v>
      </c>
      <c r="BB26" s="4">
        <f t="shared" ref="BB26:BQ41" si="11">$C26*IF(AND(BB$2=0,$D26=0),1,BB$2^$D26)*EXP($E26*(1-IF(AND(BB$2=0,$F26=0),1,BB$2^$F26)))</f>
        <v>6.2966591883387655E-12</v>
      </c>
      <c r="BC26" s="4">
        <f t="shared" si="11"/>
        <v>6.4307213957574774E-12</v>
      </c>
      <c r="BD26" s="4">
        <f t="shared" si="11"/>
        <v>6.4374249807723909E-12</v>
      </c>
      <c r="BE26" s="4">
        <f t="shared" si="11"/>
        <v>6.4441286109677666E-12</v>
      </c>
      <c r="BF26" s="4">
        <f t="shared" si="11"/>
        <v>6.4508322863401599E-12</v>
      </c>
      <c r="BG26" s="4">
        <f t="shared" si="11"/>
        <v>6.4575360068860917E-12</v>
      </c>
      <c r="BH26" s="4">
        <f t="shared" si="11"/>
        <v>6.464239772602048E-12</v>
      </c>
      <c r="BI26" s="4">
        <f t="shared" si="11"/>
        <v>6.4709435834844844E-12</v>
      </c>
      <c r="BJ26" s="4">
        <f t="shared" si="11"/>
        <v>6.4776474395298109E-12</v>
      </c>
      <c r="BK26" s="4">
        <f t="shared" si="11"/>
        <v>6.4843513407344166E-12</v>
      </c>
      <c r="BL26" s="4">
        <f t="shared" si="11"/>
        <v>6.4910552870946457E-12</v>
      </c>
      <c r="BM26" s="4">
        <f t="shared" si="11"/>
        <v>6.4977592786068136E-12</v>
      </c>
      <c r="BN26" s="4">
        <f t="shared" si="11"/>
        <v>6.5044633152671997E-12</v>
      </c>
      <c r="BO26" s="4">
        <f t="shared" si="11"/>
        <v>6.5111673970720526E-12</v>
      </c>
      <c r="BP26" s="4">
        <f t="shared" si="11"/>
        <v>6.5178715240175845E-12</v>
      </c>
      <c r="BQ26" s="4">
        <f t="shared" si="11"/>
        <v>6.5245756960999731E-12</v>
      </c>
      <c r="BR26" s="4">
        <f t="shared" si="7"/>
        <v>6.5312799133153706E-12</v>
      </c>
      <c r="BS26" s="4">
        <f t="shared" si="4"/>
        <v>6.5379841756598853E-12</v>
      </c>
      <c r="BT26" s="4">
        <f t="shared" si="4"/>
        <v>6.5446884831296017E-12</v>
      </c>
      <c r="BU26" s="4">
        <f t="shared" si="4"/>
        <v>6.5513928357205689E-12</v>
      </c>
      <c r="BV26" s="4">
        <f t="shared" si="4"/>
        <v>6.5580972334287989E-12</v>
      </c>
      <c r="BW26" s="4">
        <f t="shared" si="4"/>
        <v>6.5648016762502793E-12</v>
      </c>
      <c r="BX26" s="4">
        <f t="shared" si="4"/>
        <v>6.5715061641809614E-12</v>
      </c>
      <c r="BY26" s="4">
        <f t="shared" si="4"/>
        <v>6.5782106972167659E-12</v>
      </c>
      <c r="BZ26" s="4">
        <f t="shared" si="4"/>
        <v>6.5849152753535796E-12</v>
      </c>
      <c r="CA26" s="4">
        <f t="shared" si="4"/>
        <v>6.5916198985872592E-12</v>
      </c>
      <c r="CB26" s="4">
        <f t="shared" si="4"/>
        <v>6.5983245669136325E-12</v>
      </c>
      <c r="CC26" s="4">
        <f t="shared" si="4"/>
        <v>6.6050292803284941E-12</v>
      </c>
      <c r="CD26" s="4">
        <f t="shared" si="4"/>
        <v>6.6117340388276047E-12</v>
      </c>
      <c r="CE26" s="4">
        <f t="shared" si="4"/>
        <v>6.6184388424067008E-12</v>
      </c>
      <c r="CF26" s="4">
        <f t="shared" si="4"/>
        <v>6.6251436910614818E-12</v>
      </c>
      <c r="CG26" s="4">
        <f t="shared" si="4"/>
        <v>6.6318485847876209E-12</v>
      </c>
      <c r="CH26" s="4">
        <f t="shared" si="9"/>
        <v>6.6385535235807578E-12</v>
      </c>
      <c r="CI26" s="4">
        <f t="shared" si="9"/>
        <v>6.6452585074365054E-12</v>
      </c>
      <c r="CJ26" s="4">
        <f t="shared" si="9"/>
        <v>6.6519635363504442E-12</v>
      </c>
      <c r="CK26" s="4">
        <f t="shared" si="9"/>
        <v>6.6586686103181257E-12</v>
      </c>
      <c r="CL26" s="4">
        <f t="shared" si="9"/>
        <v>6.6653737293350731E-12</v>
      </c>
      <c r="CM26" s="4">
        <f t="shared" si="9"/>
        <v>6.6720788933967781E-12</v>
      </c>
      <c r="CN26" s="4">
        <f t="shared" si="9"/>
        <v>6.6787841024987049E-12</v>
      </c>
      <c r="CO26" s="4">
        <f t="shared" si="9"/>
        <v>6.6854893566362855E-12</v>
      </c>
      <c r="CP26" s="4">
        <f t="shared" si="9"/>
        <v>6.692194655804926E-12</v>
      </c>
      <c r="CQ26" s="4">
        <f t="shared" si="9"/>
        <v>6.6989000000000033E-12</v>
      </c>
    </row>
    <row r="27" spans="1:95">
      <c r="A27" s="3">
        <v>25</v>
      </c>
      <c r="B27" s="17" t="str">
        <f>データファイル用!$B28</f>
        <v>MEWS Regular Portland Stucco</v>
      </c>
      <c r="C27" s="18">
        <f>データファイル用!G28</f>
        <v>3.3461000000000001E-12</v>
      </c>
      <c r="D27" s="19">
        <f>データファイル用!H28</f>
        <v>1.9147000000000001E-3</v>
      </c>
      <c r="E27" s="20">
        <f>データファイル用!I28</f>
        <v>-4.2689000000000004</v>
      </c>
      <c r="F27" s="42">
        <f>データファイル用!J28</f>
        <v>0.22735</v>
      </c>
      <c r="G27" s="4">
        <f t="shared" ref="G27:V42" si="12">$C27*IF(AND(G$2=0,$D27=0),1,G$2^$D27)*EXP($E27*(1-IF(AND(G$2=0,$F27=0),1,G$2^$F27)))</f>
        <v>0</v>
      </c>
      <c r="H27" s="4">
        <f t="shared" si="12"/>
        <v>2.686108446693508E-13</v>
      </c>
      <c r="I27" s="4">
        <f t="shared" si="12"/>
        <v>3.628486327322566E-13</v>
      </c>
      <c r="J27" s="4">
        <f t="shared" si="12"/>
        <v>4.4277333732851234E-13</v>
      </c>
      <c r="K27" s="4">
        <f t="shared" si="12"/>
        <v>5.158465652987543E-13</v>
      </c>
      <c r="L27" s="4">
        <f t="shared" si="12"/>
        <v>5.8484209676604032E-13</v>
      </c>
      <c r="M27" s="4">
        <f t="shared" si="12"/>
        <v>6.5114168138281989E-13</v>
      </c>
      <c r="N27" s="4">
        <f t="shared" si="12"/>
        <v>7.1554666921021303E-13</v>
      </c>
      <c r="O27" s="4">
        <f t="shared" si="12"/>
        <v>7.7856822688670494E-13</v>
      </c>
      <c r="P27" s="4">
        <f t="shared" si="12"/>
        <v>8.4055456648173859E-13</v>
      </c>
      <c r="Q27" s="4">
        <f t="shared" si="12"/>
        <v>9.0175462149150607E-13</v>
      </c>
      <c r="R27" s="4">
        <f t="shared" si="12"/>
        <v>9.6235306082389275E-13</v>
      </c>
      <c r="S27" s="4">
        <f t="shared" si="12"/>
        <v>1.0224909533363183E-12</v>
      </c>
      <c r="T27" s="4">
        <f t="shared" si="12"/>
        <v>1.082278656726732E-12</v>
      </c>
      <c r="U27" s="4">
        <f t="shared" si="12"/>
        <v>1.1418042221756314E-12</v>
      </c>
      <c r="V27" s="4">
        <f t="shared" si="12"/>
        <v>1.201139079174442E-12</v>
      </c>
      <c r="W27" s="4">
        <f t="shared" si="10"/>
        <v>1.2603420004564846E-12</v>
      </c>
      <c r="X27" s="4">
        <f t="shared" si="10"/>
        <v>1.3194619404685725E-12</v>
      </c>
      <c r="Y27" s="4">
        <f t="shared" si="10"/>
        <v>1.3785401135989242E-12</v>
      </c>
      <c r="Z27" s="4">
        <f t="shared" si="10"/>
        <v>1.4376115458437192E-12</v>
      </c>
      <c r="AA27" s="4">
        <f t="shared" si="10"/>
        <v>1.4967062534138221E-12</v>
      </c>
      <c r="AB27" s="4">
        <f t="shared" si="10"/>
        <v>1.5558501517085296E-12</v>
      </c>
      <c r="AC27" s="4">
        <f t="shared" si="10"/>
        <v>1.6150657659255959E-12</v>
      </c>
      <c r="AD27" s="4">
        <f t="shared" si="10"/>
        <v>1.6743727934086507E-12</v>
      </c>
      <c r="AE27" s="4">
        <f t="shared" si="5"/>
        <v>1.7337885535884902E-12</v>
      </c>
      <c r="AF27" s="4">
        <f t="shared" si="5"/>
        <v>1.7933283515974902E-12</v>
      </c>
      <c r="AG27" s="4">
        <f t="shared" si="5"/>
        <v>1.8530057748045563E-12</v>
      </c>
      <c r="AH27" s="4">
        <f t="shared" si="5"/>
        <v>1.9128329366661936E-12</v>
      </c>
      <c r="AI27" s="4">
        <f t="shared" si="5"/>
        <v>1.9728206787923606E-12</v>
      </c>
      <c r="AJ27" s="4">
        <f t="shared" si="5"/>
        <v>2.0329787395709494E-12</v>
      </c>
      <c r="AK27" s="4">
        <f t="shared" si="5"/>
        <v>2.0933158958049401E-12</v>
      </c>
      <c r="AL27" s="4">
        <f t="shared" ref="AL27:BA44" si="13">$C27*IF(AND(AL$2=0,$D27=0),1,AL$2^$D27)*EXP($E27*(1-IF(AND(AL$2=0,$F27=0),1,AL$2^$F27)))</f>
        <v>2.1538400824021272E-12</v>
      </c>
      <c r="AM27" s="4">
        <f t="shared" si="13"/>
        <v>2.214558494087986E-12</v>
      </c>
      <c r="AN27" s="4">
        <f t="shared" si="13"/>
        <v>2.2754776722954076E-12</v>
      </c>
      <c r="AO27" s="4">
        <f t="shared" si="13"/>
        <v>2.3366035797556019E-12</v>
      </c>
      <c r="AP27" s="4">
        <f t="shared" si="13"/>
        <v>2.3979416648249805E-12</v>
      </c>
      <c r="AQ27" s="4">
        <f t="shared" si="13"/>
        <v>2.4594969171993847E-12</v>
      </c>
      <c r="AR27" s="4">
        <f t="shared" si="13"/>
        <v>2.5212739163641787E-12</v>
      </c>
      <c r="AS27" s="4">
        <f t="shared" si="13"/>
        <v>2.5832768738880104E-12</v>
      </c>
      <c r="AT27" s="4">
        <f t="shared" si="13"/>
        <v>2.6455096704752743E-12</v>
      </c>
      <c r="AU27" s="4">
        <f t="shared" si="13"/>
        <v>2.707975888537171E-12</v>
      </c>
      <c r="AV27" s="4">
        <f t="shared" si="13"/>
        <v>2.7706788409154237E-12</v>
      </c>
      <c r="AW27" s="4">
        <f t="shared" si="13"/>
        <v>2.8336215962903283E-12</v>
      </c>
      <c r="AX27" s="4">
        <f t="shared" si="13"/>
        <v>2.8968070017208745E-12</v>
      </c>
      <c r="AY27" s="4">
        <f t="shared" si="13"/>
        <v>2.9602377026955601E-12</v>
      </c>
      <c r="AZ27" s="4">
        <f t="shared" si="13"/>
        <v>3.0239161610154815E-12</v>
      </c>
      <c r="BA27" s="4">
        <f t="shared" si="13"/>
        <v>3.0878446707837184E-12</v>
      </c>
      <c r="BB27" s="4">
        <f t="shared" si="11"/>
        <v>3.1520253727354961E-12</v>
      </c>
      <c r="BC27" s="4">
        <f t="shared" si="11"/>
        <v>3.2164602671103715E-12</v>
      </c>
      <c r="BD27" s="4">
        <f t="shared" si="11"/>
        <v>3.2196887184683436E-12</v>
      </c>
      <c r="BE27" s="4">
        <f t="shared" si="11"/>
        <v>3.2229178102361247E-12</v>
      </c>
      <c r="BF27" s="4">
        <f t="shared" si="11"/>
        <v>3.2261475426388128E-12</v>
      </c>
      <c r="BG27" s="4">
        <f t="shared" si="11"/>
        <v>3.2293779159007727E-12</v>
      </c>
      <c r="BH27" s="4">
        <f t="shared" si="11"/>
        <v>3.2326089302456386E-12</v>
      </c>
      <c r="BI27" s="4">
        <f t="shared" si="11"/>
        <v>3.2358405858963189E-12</v>
      </c>
      <c r="BJ27" s="4">
        <f t="shared" si="11"/>
        <v>3.239072883074996E-12</v>
      </c>
      <c r="BK27" s="4">
        <f t="shared" si="11"/>
        <v>3.2423058220031333E-12</v>
      </c>
      <c r="BL27" s="4">
        <f t="shared" si="11"/>
        <v>3.2455394029014749E-12</v>
      </c>
      <c r="BM27" s="4">
        <f t="shared" si="11"/>
        <v>3.2487736259900497E-12</v>
      </c>
      <c r="BN27" s="4">
        <f t="shared" si="11"/>
        <v>3.2520084914881773E-12</v>
      </c>
      <c r="BO27" s="4">
        <f t="shared" si="11"/>
        <v>3.2552439996144648E-12</v>
      </c>
      <c r="BP27" s="4">
        <f t="shared" si="11"/>
        <v>3.2584801505868129E-12</v>
      </c>
      <c r="BQ27" s="4">
        <f t="shared" si="11"/>
        <v>3.2617169446224231E-12</v>
      </c>
      <c r="BR27" s="4">
        <f t="shared" si="7"/>
        <v>3.2649543819377926E-12</v>
      </c>
      <c r="BS27" s="4">
        <f t="shared" si="4"/>
        <v>3.2681924627487223E-12</v>
      </c>
      <c r="BT27" s="4">
        <f t="shared" si="4"/>
        <v>3.2714311872703199E-12</v>
      </c>
      <c r="BU27" s="4">
        <f t="shared" si="4"/>
        <v>3.2746705557169992E-12</v>
      </c>
      <c r="BV27" s="4">
        <f t="shared" si="4"/>
        <v>3.2779105683024875E-12</v>
      </c>
      <c r="BW27" s="4">
        <f t="shared" si="4"/>
        <v>3.2811512252398233E-12</v>
      </c>
      <c r="BX27" s="4">
        <f t="shared" si="4"/>
        <v>3.2843925267413652E-12</v>
      </c>
      <c r="BY27" s="4">
        <f t="shared" si="4"/>
        <v>3.2876344730187885E-12</v>
      </c>
      <c r="BZ27" s="4">
        <f t="shared" si="4"/>
        <v>3.290877064283093E-12</v>
      </c>
      <c r="CA27" s="4">
        <f t="shared" si="4"/>
        <v>3.2941203007446022E-12</v>
      </c>
      <c r="CB27" s="4">
        <f t="shared" si="4"/>
        <v>3.2973641826129689E-12</v>
      </c>
      <c r="CC27" s="4">
        <f t="shared" si="4"/>
        <v>3.3006087100971753E-12</v>
      </c>
      <c r="CD27" s="4">
        <f t="shared" si="4"/>
        <v>3.3038538834055369E-12</v>
      </c>
      <c r="CE27" s="4">
        <f t="shared" si="4"/>
        <v>3.3070997027457087E-12</v>
      </c>
      <c r="CF27" s="4">
        <f t="shared" si="4"/>
        <v>3.3103461683246797E-12</v>
      </c>
      <c r="CG27" s="4">
        <f t="shared" si="4"/>
        <v>3.3135932803487834E-12</v>
      </c>
      <c r="CH27" s="4">
        <f t="shared" si="9"/>
        <v>3.3168410390236994E-12</v>
      </c>
      <c r="CI27" s="4">
        <f t="shared" si="9"/>
        <v>3.3200894445544482E-12</v>
      </c>
      <c r="CJ27" s="4">
        <f t="shared" si="9"/>
        <v>3.3233384971454056E-12</v>
      </c>
      <c r="CK27" s="4">
        <f t="shared" si="9"/>
        <v>3.3265881970002994E-12</v>
      </c>
      <c r="CL27" s="4">
        <f t="shared" si="9"/>
        <v>3.3298385443222079E-12</v>
      </c>
      <c r="CM27" s="4">
        <f t="shared" si="9"/>
        <v>3.3330895393135721E-12</v>
      </c>
      <c r="CN27" s="4">
        <f t="shared" si="9"/>
        <v>3.3363411821761878E-12</v>
      </c>
      <c r="CO27" s="4">
        <f t="shared" si="9"/>
        <v>3.3395934731112198E-12</v>
      </c>
      <c r="CP27" s="4">
        <f t="shared" si="9"/>
        <v>3.3428464123191932E-12</v>
      </c>
      <c r="CQ27" s="4">
        <f t="shared" si="9"/>
        <v>3.3461000000000001E-12</v>
      </c>
    </row>
    <row r="28" spans="1:95">
      <c r="A28" s="3">
        <v>26</v>
      </c>
      <c r="B28" s="17" t="str">
        <f>データファイル用!$B29</f>
        <v>MEWS Acrylic Stucco</v>
      </c>
      <c r="C28" s="18">
        <f>データファイル用!G29</f>
        <v>4.2287000000000003E-12</v>
      </c>
      <c r="D28" s="19">
        <f>データファイル用!H29</f>
        <v>6.267E-3</v>
      </c>
      <c r="E28" s="20">
        <f>データファイル用!I29</f>
        <v>-0.60538000000000003</v>
      </c>
      <c r="F28" s="42">
        <f>データファイル用!J29</f>
        <v>1.0192000000000001</v>
      </c>
      <c r="G28" s="4">
        <f t="shared" si="12"/>
        <v>0</v>
      </c>
      <c r="H28" s="4">
        <f t="shared" si="12"/>
        <v>2.2778442039441344E-12</v>
      </c>
      <c r="I28" s="4">
        <f t="shared" si="12"/>
        <v>2.3142967735249169E-12</v>
      </c>
      <c r="J28" s="4">
        <f t="shared" si="12"/>
        <v>2.3473704810462627E-12</v>
      </c>
      <c r="K28" s="4">
        <f t="shared" si="12"/>
        <v>2.3793414057080538E-12</v>
      </c>
      <c r="L28" s="4">
        <f t="shared" si="12"/>
        <v>2.4109099572699061E-12</v>
      </c>
      <c r="M28" s="4">
        <f t="shared" si="12"/>
        <v>2.442383918505367E-12</v>
      </c>
      <c r="N28" s="4">
        <f t="shared" si="12"/>
        <v>2.4739261988935643E-12</v>
      </c>
      <c r="O28" s="4">
        <f t="shared" si="12"/>
        <v>2.5056339796749239E-12</v>
      </c>
      <c r="P28" s="4">
        <f t="shared" si="12"/>
        <v>2.5375704401001153E-12</v>
      </c>
      <c r="Q28" s="4">
        <f t="shared" si="12"/>
        <v>2.5697794834377068E-12</v>
      </c>
      <c r="R28" s="4">
        <f t="shared" si="12"/>
        <v>2.6022933201657518E-12</v>
      </c>
      <c r="S28" s="4">
        <f t="shared" si="12"/>
        <v>2.6351366894072706E-12</v>
      </c>
      <c r="T28" s="4">
        <f t="shared" si="12"/>
        <v>2.6683293563887729E-12</v>
      </c>
      <c r="U28" s="4">
        <f t="shared" si="12"/>
        <v>2.7018876641210779E-12</v>
      </c>
      <c r="V28" s="4">
        <f t="shared" si="12"/>
        <v>2.7358255371358215E-12</v>
      </c>
      <c r="W28" s="4">
        <f t="shared" si="10"/>
        <v>2.7701551531207335E-12</v>
      </c>
      <c r="X28" s="4">
        <f t="shared" si="10"/>
        <v>2.80488740548697E-12</v>
      </c>
      <c r="Y28" s="4">
        <f t="shared" si="10"/>
        <v>2.8400322299868522E-12</v>
      </c>
      <c r="Z28" s="4">
        <f t="shared" si="10"/>
        <v>2.8755988404175558E-12</v>
      </c>
      <c r="AA28" s="4">
        <f t="shared" si="10"/>
        <v>2.9115959020225361E-12</v>
      </c>
      <c r="AB28" s="4">
        <f t="shared" si="10"/>
        <v>2.9480316612683398E-12</v>
      </c>
      <c r="AC28" s="4">
        <f t="shared" si="10"/>
        <v>2.9849140444853968E-12</v>
      </c>
      <c r="AD28" s="4">
        <f t="shared" si="10"/>
        <v>3.0222507339032644E-12</v>
      </c>
      <c r="AE28" s="4">
        <f t="shared" ref="AE28:AT45" si="14">$C28*IF(AND(AE$2=0,$D28=0),1,AE$2^$D28)*EXP($E28*(1-IF(AND(AE$2=0,$F28=0),1,AE$2^$F28)))</f>
        <v>3.0600492270197113E-12</v>
      </c>
      <c r="AF28" s="4">
        <f t="shared" si="14"/>
        <v>3.0983168835108014E-12</v>
      </c>
      <c r="AG28" s="4">
        <f t="shared" si="14"/>
        <v>3.1370609627091286E-12</v>
      </c>
      <c r="AH28" s="4">
        <f t="shared" si="14"/>
        <v>3.1762886538594337E-12</v>
      </c>
      <c r="AI28" s="4">
        <f t="shared" si="14"/>
        <v>3.2160071007850829E-12</v>
      </c>
      <c r="AJ28" s="4">
        <f t="shared" si="14"/>
        <v>3.2562234221876526E-12</v>
      </c>
      <c r="AK28" s="4">
        <f t="shared" si="14"/>
        <v>3.2969447285043149E-12</v>
      </c>
      <c r="AL28" s="4">
        <f t="shared" si="14"/>
        <v>3.3381781360297353E-12</v>
      </c>
      <c r="AM28" s="4">
        <f t="shared" si="14"/>
        <v>3.3799307788477414E-12</v>
      </c>
      <c r="AN28" s="4">
        <f t="shared" si="14"/>
        <v>3.4222098189971452E-12</v>
      </c>
      <c r="AO28" s="4">
        <f t="shared" si="14"/>
        <v>3.4650224552047613E-12</v>
      </c>
      <c r="AP28" s="4">
        <f t="shared" si="14"/>
        <v>3.5083759304489607E-12</v>
      </c>
      <c r="AQ28" s="4">
        <f t="shared" si="14"/>
        <v>3.5522775385635177E-12</v>
      </c>
      <c r="AR28" s="4">
        <f t="shared" si="14"/>
        <v>3.5967346300499473E-12</v>
      </c>
      <c r="AS28" s="4">
        <f t="shared" si="14"/>
        <v>3.6417546172340493E-12</v>
      </c>
      <c r="AT28" s="4">
        <f t="shared" si="14"/>
        <v>3.6873449788768586E-12</v>
      </c>
      <c r="AU28" s="4">
        <f t="shared" si="13"/>
        <v>3.7335132643299608E-12</v>
      </c>
      <c r="AV28" s="4">
        <f t="shared" si="13"/>
        <v>3.7802670973090203E-12</v>
      </c>
      <c r="AW28" s="4">
        <f t="shared" si="13"/>
        <v>3.8276141793464654E-12</v>
      </c>
      <c r="AX28" s="4">
        <f t="shared" si="13"/>
        <v>3.8755622929738328E-12</v>
      </c>
      <c r="AY28" s="4">
        <f t="shared" si="13"/>
        <v>3.9241193046758703E-12</v>
      </c>
      <c r="AZ28" s="4">
        <f t="shared" si="13"/>
        <v>3.9732931676515986E-12</v>
      </c>
      <c r="BA28" s="4">
        <f t="shared" si="13"/>
        <v>4.0230919244119213E-12</v>
      </c>
      <c r="BB28" s="4">
        <f t="shared" si="11"/>
        <v>4.0735237092387531E-12</v>
      </c>
      <c r="BC28" s="4">
        <f t="shared" si="11"/>
        <v>4.1245967505268068E-12</v>
      </c>
      <c r="BD28" s="4">
        <f t="shared" si="11"/>
        <v>4.1271673844823569E-12</v>
      </c>
      <c r="BE28" s="4">
        <f t="shared" si="11"/>
        <v>4.1297396434174529E-12</v>
      </c>
      <c r="BF28" s="4">
        <f t="shared" si="11"/>
        <v>4.1323135283797047E-12</v>
      </c>
      <c r="BG28" s="4">
        <f t="shared" si="11"/>
        <v>4.1348890404173382E-12</v>
      </c>
      <c r="BH28" s="4">
        <f t="shared" si="11"/>
        <v>4.1374661805791975E-12</v>
      </c>
      <c r="BI28" s="4">
        <f t="shared" si="11"/>
        <v>4.1400449499147437E-12</v>
      </c>
      <c r="BJ28" s="4">
        <f t="shared" si="11"/>
        <v>4.14262534947406E-12</v>
      </c>
      <c r="BK28" s="4">
        <f t="shared" si="11"/>
        <v>4.1452073803078467E-12</v>
      </c>
      <c r="BL28" s="4">
        <f t="shared" si="11"/>
        <v>4.1477910434674254E-12</v>
      </c>
      <c r="BM28" s="4">
        <f t="shared" si="11"/>
        <v>4.1503763400047395E-12</v>
      </c>
      <c r="BN28" s="4">
        <f t="shared" si="11"/>
        <v>4.1529632709723514E-12</v>
      </c>
      <c r="BO28" s="4">
        <f t="shared" si="11"/>
        <v>4.1555518374234501E-12</v>
      </c>
      <c r="BP28" s="4">
        <f t="shared" si="11"/>
        <v>4.1581420404118436E-12</v>
      </c>
      <c r="BQ28" s="4">
        <f t="shared" si="11"/>
        <v>4.1607338809919667E-12</v>
      </c>
      <c r="BR28" s="4">
        <f t="shared" si="7"/>
        <v>4.1633273602188761E-12</v>
      </c>
      <c r="BS28" s="4">
        <f t="shared" si="4"/>
        <v>4.1659224791482553E-12</v>
      </c>
      <c r="BT28" s="4">
        <f t="shared" si="4"/>
        <v>4.1685192388364117E-12</v>
      </c>
      <c r="BU28" s="4">
        <f t="shared" si="4"/>
        <v>4.1711176403402793E-12</v>
      </c>
      <c r="BV28" s="4">
        <f t="shared" si="4"/>
        <v>4.1737176847174197E-12</v>
      </c>
      <c r="BW28" s="4">
        <f t="shared" si="4"/>
        <v>4.1763193730260225E-12</v>
      </c>
      <c r="BX28" s="4">
        <f t="shared" si="4"/>
        <v>4.1789227063249054E-12</v>
      </c>
      <c r="BY28" s="4">
        <f t="shared" si="4"/>
        <v>4.1815276856735122E-12</v>
      </c>
      <c r="BZ28" s="4">
        <f t="shared" si="4"/>
        <v>4.1841343121319195E-12</v>
      </c>
      <c r="CA28" s="4">
        <f t="shared" si="4"/>
        <v>4.1867425867608328E-12</v>
      </c>
      <c r="CB28" s="4">
        <f t="shared" si="4"/>
        <v>4.1893525106215879E-12</v>
      </c>
      <c r="CC28" s="4">
        <f t="shared" si="4"/>
        <v>4.1919640847761522E-12</v>
      </c>
      <c r="CD28" s="4">
        <f t="shared" si="4"/>
        <v>4.1945773102871248E-12</v>
      </c>
      <c r="CE28" s="4">
        <f t="shared" si="4"/>
        <v>4.1971921882177398E-12</v>
      </c>
      <c r="CF28" s="4">
        <f t="shared" si="4"/>
        <v>4.1998087196318613E-12</v>
      </c>
      <c r="CG28" s="4">
        <f t="shared" si="4"/>
        <v>4.2024269055939883E-12</v>
      </c>
      <c r="CH28" s="4">
        <f t="shared" si="9"/>
        <v>4.2050467471692558E-12</v>
      </c>
      <c r="CI28" s="4">
        <f t="shared" si="9"/>
        <v>4.2076682454234324E-12</v>
      </c>
      <c r="CJ28" s="4">
        <f t="shared" si="9"/>
        <v>4.2102914014229237E-12</v>
      </c>
      <c r="CK28" s="4">
        <f t="shared" si="9"/>
        <v>4.2129162162347702E-12</v>
      </c>
      <c r="CL28" s="4">
        <f t="shared" si="9"/>
        <v>4.2155426909266518E-12</v>
      </c>
      <c r="CM28" s="4">
        <f t="shared" si="9"/>
        <v>4.2181708265668845E-12</v>
      </c>
      <c r="CN28" s="4">
        <f t="shared" si="9"/>
        <v>4.2208006242244224E-12</v>
      </c>
      <c r="CO28" s="4">
        <f t="shared" si="9"/>
        <v>4.2234320849688583E-12</v>
      </c>
      <c r="CP28" s="4">
        <f t="shared" si="9"/>
        <v>4.2260652098704276E-12</v>
      </c>
      <c r="CQ28" s="4">
        <f t="shared" si="9"/>
        <v>4.2287000000000012E-12</v>
      </c>
    </row>
    <row r="29" spans="1:95">
      <c r="A29" s="3">
        <v>27</v>
      </c>
      <c r="B29" s="17" t="str">
        <f>データファイル用!$B30</f>
        <v>MEWS Fibreboard I - Paper Facer</v>
      </c>
      <c r="C29" s="18">
        <f>データファイル用!G30</f>
        <v>3.7765999999999999E-12</v>
      </c>
      <c r="D29" s="19">
        <f>データファイル用!H30</f>
        <v>7.7051999999999997E-3</v>
      </c>
      <c r="E29" s="20">
        <f>データファイル用!I30</f>
        <v>-1.1480999999999999</v>
      </c>
      <c r="F29" s="42">
        <f>データファイル用!J30</f>
        <v>1.0643</v>
      </c>
      <c r="G29" s="4">
        <f t="shared" si="12"/>
        <v>0</v>
      </c>
      <c r="H29" s="4">
        <f t="shared" si="12"/>
        <v>1.1834530332353834E-12</v>
      </c>
      <c r="I29" s="4">
        <f t="shared" si="12"/>
        <v>1.2131983633119648E-12</v>
      </c>
      <c r="J29" s="4">
        <f t="shared" si="12"/>
        <v>1.2417637791076318E-12</v>
      </c>
      <c r="K29" s="4">
        <f t="shared" si="12"/>
        <v>1.270413750613704E-12</v>
      </c>
      <c r="L29" s="4">
        <f t="shared" si="12"/>
        <v>1.2995166725104245E-12</v>
      </c>
      <c r="M29" s="4">
        <f t="shared" si="12"/>
        <v>1.3292306595790927E-12</v>
      </c>
      <c r="N29" s="4">
        <f t="shared" si="12"/>
        <v>1.3596409648892498E-12</v>
      </c>
      <c r="O29" s="4">
        <f t="shared" si="12"/>
        <v>1.3908020258377056E-12</v>
      </c>
      <c r="P29" s="4">
        <f t="shared" si="12"/>
        <v>1.4227535976276713E-12</v>
      </c>
      <c r="Q29" s="4">
        <f t="shared" si="12"/>
        <v>1.4555279140265844E-12</v>
      </c>
      <c r="R29" s="4">
        <f t="shared" si="12"/>
        <v>1.489153209949576E-12</v>
      </c>
      <c r="S29" s="4">
        <f t="shared" si="12"/>
        <v>1.5236555935389945E-12</v>
      </c>
      <c r="T29" s="4">
        <f t="shared" si="12"/>
        <v>1.5590601035468704E-12</v>
      </c>
      <c r="U29" s="4">
        <f t="shared" si="12"/>
        <v>1.5953913372473491E-12</v>
      </c>
      <c r="V29" s="4">
        <f t="shared" si="12"/>
        <v>1.6326738397365495E-12</v>
      </c>
      <c r="W29" s="4">
        <f t="shared" si="10"/>
        <v>1.6709323548723575E-12</v>
      </c>
      <c r="X29" s="4">
        <f t="shared" si="10"/>
        <v>1.7101919931206641E-12</v>
      </c>
      <c r="Y29" s="4">
        <f t="shared" si="10"/>
        <v>1.7504783480366291E-12</v>
      </c>
      <c r="Z29" s="4">
        <f t="shared" si="10"/>
        <v>1.7918175802366205E-12</v>
      </c>
      <c r="AA29" s="4">
        <f t="shared" si="10"/>
        <v>1.8342364804045966E-12</v>
      </c>
      <c r="AB29" s="4">
        <f t="shared" si="10"/>
        <v>1.8777625185853768E-12</v>
      </c>
      <c r="AC29" s="4">
        <f t="shared" si="10"/>
        <v>1.9224238844257401E-12</v>
      </c>
      <c r="AD29" s="4">
        <f t="shared" si="10"/>
        <v>1.9682495214196084E-12</v>
      </c>
      <c r="AE29" s="4">
        <f t="shared" si="14"/>
        <v>2.0152691571976144E-12</v>
      </c>
      <c r="AF29" s="4">
        <f t="shared" si="14"/>
        <v>2.0635133312454869E-12</v>
      </c>
      <c r="AG29" s="4">
        <f t="shared" si="14"/>
        <v>2.1130134210046834E-12</v>
      </c>
      <c r="AH29" s="4">
        <f t="shared" si="14"/>
        <v>2.1638016670211328E-12</v>
      </c>
      <c r="AI29" s="4">
        <f t="shared" si="14"/>
        <v>2.2159111976133516E-12</v>
      </c>
      <c r="AJ29" s="4">
        <f t="shared" si="14"/>
        <v>2.269376053397864E-12</v>
      </c>
      <c r="AK29" s="4">
        <f t="shared" si="14"/>
        <v>2.3242312119175873E-12</v>
      </c>
      <c r="AL29" s="4">
        <f t="shared" si="14"/>
        <v>2.38051261255425E-12</v>
      </c>
      <c r="AM29" s="4">
        <f t="shared" si="14"/>
        <v>2.4382571818605057E-12</v>
      </c>
      <c r="AN29" s="4">
        <f t="shared" si="14"/>
        <v>2.4975028594150657E-12</v>
      </c>
      <c r="AO29" s="4">
        <f t="shared" si="14"/>
        <v>2.5582886242812451E-12</v>
      </c>
      <c r="AP29" s="4">
        <f t="shared" si="14"/>
        <v>2.6206545221328025E-12</v>
      </c>
      <c r="AQ29" s="4">
        <f t="shared" si="14"/>
        <v>2.6846416930992174E-12</v>
      </c>
      <c r="AR29" s="4">
        <f t="shared" si="14"/>
        <v>2.7502924003740978E-12</v>
      </c>
      <c r="AS29" s="4">
        <f t="shared" si="14"/>
        <v>2.8176500596244313E-12</v>
      </c>
      <c r="AT29" s="4">
        <f t="shared" si="14"/>
        <v>2.8867592692341542E-12</v>
      </c>
      <c r="AU29" s="4">
        <f t="shared" si="13"/>
        <v>2.9576658414126211E-12</v>
      </c>
      <c r="AV29" s="4">
        <f t="shared" si="13"/>
        <v>3.0304168341965614E-12</v>
      </c>
      <c r="AW29" s="4">
        <f t="shared" si="13"/>
        <v>3.1050605843729027E-12</v>
      </c>
      <c r="AX29" s="4">
        <f t="shared" si="13"/>
        <v>3.1816467413490834E-12</v>
      </c>
      <c r="AY29" s="4">
        <f t="shared" si="13"/>
        <v>3.2602263019971957E-12</v>
      </c>
      <c r="AZ29" s="4">
        <f t="shared" si="13"/>
        <v>3.3408516464982767E-12</v>
      </c>
      <c r="BA29" s="4">
        <f t="shared" si="13"/>
        <v>3.4235765752132731E-12</v>
      </c>
      <c r="BB29" s="4">
        <f t="shared" si="11"/>
        <v>3.5084563466076181E-12</v>
      </c>
      <c r="BC29" s="4">
        <f t="shared" si="11"/>
        <v>3.5955477162568777E-12</v>
      </c>
      <c r="BD29" s="4">
        <f t="shared" si="11"/>
        <v>3.5999613781655947E-12</v>
      </c>
      <c r="BE29" s="4">
        <f t="shared" si="11"/>
        <v>3.6043807218628388E-12</v>
      </c>
      <c r="BF29" s="4">
        <f t="shared" si="11"/>
        <v>3.6088057547473695E-12</v>
      </c>
      <c r="BG29" s="4">
        <f t="shared" si="11"/>
        <v>3.6132364842278387E-12</v>
      </c>
      <c r="BH29" s="4">
        <f t="shared" si="11"/>
        <v>3.6176729177228001E-12</v>
      </c>
      <c r="BI29" s="4">
        <f t="shared" si="11"/>
        <v>3.6221150626607262E-12</v>
      </c>
      <c r="BJ29" s="4">
        <f t="shared" si="11"/>
        <v>3.6265629264800175E-12</v>
      </c>
      <c r="BK29" s="4">
        <f t="shared" si="11"/>
        <v>3.631016516629017E-12</v>
      </c>
      <c r="BL29" s="4">
        <f t="shared" si="11"/>
        <v>3.6354758405660263E-12</v>
      </c>
      <c r="BM29" s="4">
        <f t="shared" si="11"/>
        <v>3.6399409057593141E-12</v>
      </c>
      <c r="BN29" s="4">
        <f t="shared" si="11"/>
        <v>3.644411719687134E-12</v>
      </c>
      <c r="BO29" s="4">
        <f t="shared" si="11"/>
        <v>3.6488882898377336E-12</v>
      </c>
      <c r="BP29" s="4">
        <f t="shared" si="11"/>
        <v>3.653370623709371E-12</v>
      </c>
      <c r="BQ29" s="4">
        <f t="shared" si="11"/>
        <v>3.6578587288103251E-12</v>
      </c>
      <c r="BR29" s="4">
        <f t="shared" si="7"/>
        <v>3.6623526126589131E-12</v>
      </c>
      <c r="BS29" s="4">
        <f t="shared" si="4"/>
        <v>3.6668522827834973E-12</v>
      </c>
      <c r="BT29" s="4">
        <f t="shared" si="4"/>
        <v>3.6713577467225066E-12</v>
      </c>
      <c r="BU29" s="4">
        <f t="shared" si="4"/>
        <v>3.6758690120244439E-12</v>
      </c>
      <c r="BV29" s="4">
        <f t="shared" si="4"/>
        <v>3.6803860862479014E-12</v>
      </c>
      <c r="BW29" s="4">
        <f t="shared" si="4"/>
        <v>3.6849089769615721E-12</v>
      </c>
      <c r="BX29" s="4">
        <f t="shared" si="4"/>
        <v>3.6894376917442665E-12</v>
      </c>
      <c r="BY29" s="4">
        <f t="shared" si="4"/>
        <v>3.6939722381849265E-12</v>
      </c>
      <c r="BZ29" s="4">
        <f t="shared" si="4"/>
        <v>3.6985126238826341E-12</v>
      </c>
      <c r="CA29" s="4">
        <f t="shared" si="4"/>
        <v>3.7030588564466272E-12</v>
      </c>
      <c r="CB29" s="4">
        <f t="shared" si="4"/>
        <v>3.707610943496315E-12</v>
      </c>
      <c r="CC29" s="4">
        <f t="shared" si="4"/>
        <v>3.7121688926612901E-12</v>
      </c>
      <c r="CD29" s="4">
        <f t="shared" si="4"/>
        <v>3.71673271158134E-12</v>
      </c>
      <c r="CE29" s="4">
        <f t="shared" si="4"/>
        <v>3.7213024079064646E-12</v>
      </c>
      <c r="CF29" s="4">
        <f t="shared" si="4"/>
        <v>3.725877989296887E-12</v>
      </c>
      <c r="CG29" s="4">
        <f t="shared" si="4"/>
        <v>3.7304594634230685E-12</v>
      </c>
      <c r="CH29" s="4">
        <f t="shared" si="9"/>
        <v>3.7350468379657194E-12</v>
      </c>
      <c r="CI29" s="4">
        <f t="shared" si="9"/>
        <v>3.7396401206158164E-12</v>
      </c>
      <c r="CJ29" s="4">
        <f t="shared" si="9"/>
        <v>3.7442393190746147E-12</v>
      </c>
      <c r="CK29" s="4">
        <f t="shared" si="9"/>
        <v>3.7488444410536614E-12</v>
      </c>
      <c r="CL29" s="4">
        <f t="shared" si="9"/>
        <v>3.753455494274807E-12</v>
      </c>
      <c r="CM29" s="4">
        <f t="shared" si="9"/>
        <v>3.7580724864702258E-12</v>
      </c>
      <c r="CN29" s="4">
        <f t="shared" si="9"/>
        <v>3.7626954253824211E-12</v>
      </c>
      <c r="CO29" s="4">
        <f t="shared" si="9"/>
        <v>3.7673243187642459E-12</v>
      </c>
      <c r="CP29" s="4">
        <f t="shared" si="9"/>
        <v>3.7719591743789105E-12</v>
      </c>
      <c r="CQ29" s="4">
        <f t="shared" si="9"/>
        <v>3.7766000000000015E-12</v>
      </c>
    </row>
    <row r="30" spans="1:95">
      <c r="A30" s="3">
        <v>28</v>
      </c>
      <c r="B30" s="17" t="str">
        <f>データファイル用!$B31</f>
        <v>MEWS Fibreboard II - Plain</v>
      </c>
      <c r="C30" s="18">
        <f>データファイル用!G31</f>
        <v>4.0851000000000002E-11</v>
      </c>
      <c r="D30" s="19">
        <f>データファイル用!H31</f>
        <v>2.5929999999999998E-3</v>
      </c>
      <c r="E30" s="20">
        <f>データファイル用!I31</f>
        <v>-0.27904000000000001</v>
      </c>
      <c r="F30" s="42">
        <f>データファイル用!J31</f>
        <v>-0.27904000000000001</v>
      </c>
      <c r="G30" s="4" t="e">
        <f t="shared" si="12"/>
        <v>#DIV/0!</v>
      </c>
      <c r="H30" s="4">
        <f t="shared" si="12"/>
        <v>7.0247652549053815E-11</v>
      </c>
      <c r="I30" s="4">
        <f t="shared" si="12"/>
        <v>6.0802735477296198E-11</v>
      </c>
      <c r="J30" s="4">
        <f t="shared" si="12"/>
        <v>5.6565455573572845E-11</v>
      </c>
      <c r="K30" s="4">
        <f t="shared" si="12"/>
        <v>5.3998250836376152E-11</v>
      </c>
      <c r="L30" s="4">
        <f t="shared" si="12"/>
        <v>5.2219001490031482E-11</v>
      </c>
      <c r="M30" s="4">
        <f t="shared" si="12"/>
        <v>5.0886811050848232E-11</v>
      </c>
      <c r="N30" s="4">
        <f t="shared" si="12"/>
        <v>4.9837868925674284E-11</v>
      </c>
      <c r="O30" s="4">
        <f t="shared" si="12"/>
        <v>4.898216802699617E-11</v>
      </c>
      <c r="P30" s="4">
        <f t="shared" si="12"/>
        <v>4.8265504885091321E-11</v>
      </c>
      <c r="Q30" s="4">
        <f t="shared" si="12"/>
        <v>4.7652977217029482E-11</v>
      </c>
      <c r="R30" s="4">
        <f t="shared" si="12"/>
        <v>4.7120931434875436E-11</v>
      </c>
      <c r="S30" s="4">
        <f t="shared" si="12"/>
        <v>4.6652676203358575E-11</v>
      </c>
      <c r="T30" s="4">
        <f t="shared" si="12"/>
        <v>4.623604093047849E-11</v>
      </c>
      <c r="U30" s="4">
        <f t="shared" si="12"/>
        <v>4.5861907538093706E-11</v>
      </c>
      <c r="V30" s="4">
        <f t="shared" si="12"/>
        <v>4.5523287286201221E-11</v>
      </c>
      <c r="W30" s="4">
        <f t="shared" si="10"/>
        <v>4.5214718260353419E-11</v>
      </c>
      <c r="X30" s="4">
        <f t="shared" si="10"/>
        <v>4.4931859487640149E-11</v>
      </c>
      <c r="Y30" s="4">
        <f t="shared" si="10"/>
        <v>4.4671209958764348E-11</v>
      </c>
      <c r="Z30" s="4">
        <f t="shared" si="10"/>
        <v>4.4429909452244916E-11</v>
      </c>
      <c r="AA30" s="4">
        <f t="shared" si="10"/>
        <v>4.4205594376166915E-11</v>
      </c>
      <c r="AB30" s="4">
        <f t="shared" si="10"/>
        <v>4.3996291490125316E-11</v>
      </c>
      <c r="AC30" s="4">
        <f t="shared" si="10"/>
        <v>4.3800338256009997E-11</v>
      </c>
      <c r="AD30" s="4">
        <f t="shared" si="10"/>
        <v>4.3616322259242188E-11</v>
      </c>
      <c r="AE30" s="4">
        <f t="shared" si="14"/>
        <v>4.3443034517525558E-11</v>
      </c>
      <c r="AF30" s="4">
        <f t="shared" si="14"/>
        <v>4.327943305668347E-11</v>
      </c>
      <c r="AG30" s="4">
        <f t="shared" si="14"/>
        <v>4.3124614181865089E-11</v>
      </c>
      <c r="AH30" s="4">
        <f t="shared" si="14"/>
        <v>4.2977789589261315E-11</v>
      </c>
      <c r="AI30" s="4">
        <f t="shared" si="14"/>
        <v>4.2838267961724446E-11</v>
      </c>
      <c r="AJ30" s="4">
        <f t="shared" si="14"/>
        <v>4.2705440043323544E-11</v>
      </c>
      <c r="AK30" s="4">
        <f t="shared" si="14"/>
        <v>4.2578766439534104E-11</v>
      </c>
      <c r="AL30" s="4">
        <f t="shared" si="14"/>
        <v>4.2457767572224146E-11</v>
      </c>
      <c r="AM30" s="4">
        <f t="shared" si="14"/>
        <v>4.2342015352478157E-11</v>
      </c>
      <c r="AN30" s="4">
        <f t="shared" si="14"/>
        <v>4.2231126233628856E-11</v>
      </c>
      <c r="AO30" s="4">
        <f t="shared" si="14"/>
        <v>4.2124755381325794E-11</v>
      </c>
      <c r="AP30" s="4">
        <f t="shared" si="14"/>
        <v>4.2022591753825878E-11</v>
      </c>
      <c r="AQ30" s="4">
        <f t="shared" si="14"/>
        <v>4.1924353928731219E-11</v>
      </c>
      <c r="AR30" s="4">
        <f t="shared" si="14"/>
        <v>4.1829786545549258E-11</v>
      </c>
      <c r="AS30" s="4">
        <f t="shared" si="14"/>
        <v>4.1738657259184427E-11</v>
      </c>
      <c r="AT30" s="4">
        <f t="shared" si="14"/>
        <v>4.1650754119598589E-11</v>
      </c>
      <c r="AU30" s="4">
        <f t="shared" si="13"/>
        <v>4.1565883308730546E-11</v>
      </c>
      <c r="AV30" s="4">
        <f t="shared" si="13"/>
        <v>4.1483867178335227E-11</v>
      </c>
      <c r="AW30" s="4">
        <f t="shared" si="13"/>
        <v>4.1404542542432261E-11</v>
      </c>
      <c r="AX30" s="4">
        <f t="shared" si="13"/>
        <v>4.1327759186103631E-11</v>
      </c>
      <c r="AY30" s="4">
        <f t="shared" si="13"/>
        <v>4.1253378558877445E-11</v>
      </c>
      <c r="AZ30" s="4">
        <f t="shared" si="13"/>
        <v>4.1181272626208221E-11</v>
      </c>
      <c r="BA30" s="4">
        <f t="shared" si="13"/>
        <v>4.1111322856864294E-11</v>
      </c>
      <c r="BB30" s="4">
        <f t="shared" si="11"/>
        <v>4.1043419327558544E-11</v>
      </c>
      <c r="BC30" s="4">
        <f t="shared" si="11"/>
        <v>4.0977459929060497E-11</v>
      </c>
      <c r="BD30" s="4">
        <f t="shared" si="11"/>
        <v>4.0974211259901928E-11</v>
      </c>
      <c r="BE30" s="4">
        <f t="shared" si="11"/>
        <v>4.0970967200791946E-11</v>
      </c>
      <c r="BF30" s="4">
        <f t="shared" si="11"/>
        <v>4.0967727740339342E-11</v>
      </c>
      <c r="BG30" s="4">
        <f t="shared" si="11"/>
        <v>4.0964492867192969E-11</v>
      </c>
      <c r="BH30" s="4">
        <f t="shared" si="11"/>
        <v>4.0961262570041539E-11</v>
      </c>
      <c r="BI30" s="4">
        <f t="shared" si="11"/>
        <v>4.0958036837613477E-11</v>
      </c>
      <c r="BJ30" s="4">
        <f t="shared" si="11"/>
        <v>4.0954815658676696E-11</v>
      </c>
      <c r="BK30" s="4">
        <f t="shared" si="11"/>
        <v>4.0951599022038493E-11</v>
      </c>
      <c r="BL30" s="4">
        <f t="shared" si="11"/>
        <v>4.0948386916545248E-11</v>
      </c>
      <c r="BM30" s="4">
        <f t="shared" si="11"/>
        <v>4.0945179331082375E-11</v>
      </c>
      <c r="BN30" s="4">
        <f t="shared" si="11"/>
        <v>4.0941976254574061E-11</v>
      </c>
      <c r="BO30" s="4">
        <f t="shared" si="11"/>
        <v>4.0938777675983145E-11</v>
      </c>
      <c r="BP30" s="4">
        <f t="shared" si="11"/>
        <v>4.0935583584310878E-11</v>
      </c>
      <c r="BQ30" s="4">
        <f t="shared" si="11"/>
        <v>4.0932393968596831E-11</v>
      </c>
      <c r="BR30" s="4">
        <f t="shared" si="7"/>
        <v>4.0929208817918648E-11</v>
      </c>
      <c r="BS30" s="4">
        <f t="shared" si="4"/>
        <v>4.0926028121391891E-11</v>
      </c>
      <c r="BT30" s="4">
        <f t="shared" si="4"/>
        <v>4.0922851868169955E-11</v>
      </c>
      <c r="BU30" s="4">
        <f t="shared" si="4"/>
        <v>4.091968004744376E-11</v>
      </c>
      <c r="BV30" s="4">
        <f t="shared" si="4"/>
        <v>4.0916512648441664E-11</v>
      </c>
      <c r="BW30" s="4">
        <f t="shared" si="4"/>
        <v>4.0913349660429297E-11</v>
      </c>
      <c r="BX30" s="4">
        <f t="shared" si="4"/>
        <v>4.0910191072709355E-11</v>
      </c>
      <c r="BY30" s="4">
        <f t="shared" si="4"/>
        <v>4.0907036874621501E-11</v>
      </c>
      <c r="BZ30" s="4">
        <f t="shared" si="4"/>
        <v>4.0903887055542086E-11</v>
      </c>
      <c r="CA30" s="4">
        <f t="shared" si="4"/>
        <v>4.0900741604884105E-11</v>
      </c>
      <c r="CB30" s="4">
        <f t="shared" si="4"/>
        <v>4.089760051209697E-11</v>
      </c>
      <c r="CC30" s="4">
        <f t="shared" ref="CC30:CQ78" si="15">$C30*IF(AND(CC$2=0,$D30=0),1,CC$2^$D30)*EXP($E30*(1-IF(AND(CC$2=0,$F30=0),1,CC$2^$F30)))</f>
        <v>4.0894463766666365E-11</v>
      </c>
      <c r="CD30" s="4">
        <f t="shared" si="15"/>
        <v>4.0891331358114068E-11</v>
      </c>
      <c r="CE30" s="4">
        <f t="shared" si="15"/>
        <v>4.0888203275997811E-11</v>
      </c>
      <c r="CF30" s="4">
        <f t="shared" si="15"/>
        <v>4.0885079509911091E-11</v>
      </c>
      <c r="CG30" s="4">
        <f t="shared" si="15"/>
        <v>4.0881960049483074E-11</v>
      </c>
      <c r="CH30" s="4">
        <f t="shared" si="15"/>
        <v>4.0878844884378346E-11</v>
      </c>
      <c r="CI30" s="4">
        <f t="shared" si="15"/>
        <v>4.087573400429684E-11</v>
      </c>
      <c r="CJ30" s="4">
        <f t="shared" si="15"/>
        <v>4.0872627398973606E-11</v>
      </c>
      <c r="CK30" s="4">
        <f t="shared" si="15"/>
        <v>4.0869525058178734E-11</v>
      </c>
      <c r="CL30" s="4">
        <f t="shared" si="15"/>
        <v>4.0866426971717133E-11</v>
      </c>
      <c r="CM30" s="4">
        <f t="shared" si="15"/>
        <v>4.0863333129428407E-11</v>
      </c>
      <c r="CN30" s="4">
        <f t="shared" si="15"/>
        <v>4.0860243521186709E-11</v>
      </c>
      <c r="CO30" s="4">
        <f t="shared" si="15"/>
        <v>4.0857158136900546E-11</v>
      </c>
      <c r="CP30" s="4">
        <f t="shared" si="15"/>
        <v>4.0854076966512693E-11</v>
      </c>
      <c r="CQ30" s="4">
        <f t="shared" si="15"/>
        <v>4.0850999999999995E-11</v>
      </c>
    </row>
    <row r="31" spans="1:95">
      <c r="A31" s="3">
        <v>29</v>
      </c>
      <c r="B31" s="23" t="str">
        <f>データファイル用!$B32</f>
        <v>MEWS Fibreboard III - Foil Facer</v>
      </c>
      <c r="C31" s="18">
        <f>データファイル用!G32</f>
        <v>0</v>
      </c>
      <c r="D31" s="19">
        <f>データファイル用!H32</f>
        <v>0</v>
      </c>
      <c r="E31" s="20">
        <f>データファイル用!I32</f>
        <v>0</v>
      </c>
      <c r="F31" s="42">
        <f>データファイル用!J32</f>
        <v>0</v>
      </c>
      <c r="G31" s="4">
        <f t="shared" si="12"/>
        <v>0</v>
      </c>
      <c r="H31" s="4">
        <f t="shared" si="12"/>
        <v>0</v>
      </c>
      <c r="I31" s="4">
        <f t="shared" si="12"/>
        <v>0</v>
      </c>
      <c r="J31" s="4">
        <f t="shared" si="12"/>
        <v>0</v>
      </c>
      <c r="K31" s="4">
        <f t="shared" si="12"/>
        <v>0</v>
      </c>
      <c r="L31" s="4">
        <f t="shared" si="12"/>
        <v>0</v>
      </c>
      <c r="M31" s="4">
        <f t="shared" si="12"/>
        <v>0</v>
      </c>
      <c r="N31" s="4">
        <f t="shared" si="12"/>
        <v>0</v>
      </c>
      <c r="O31" s="4">
        <f t="shared" si="12"/>
        <v>0</v>
      </c>
      <c r="P31" s="4">
        <f t="shared" si="12"/>
        <v>0</v>
      </c>
      <c r="Q31" s="4">
        <f t="shared" si="12"/>
        <v>0</v>
      </c>
      <c r="R31" s="4">
        <f t="shared" si="12"/>
        <v>0</v>
      </c>
      <c r="S31" s="4">
        <f t="shared" si="12"/>
        <v>0</v>
      </c>
      <c r="T31" s="4">
        <f t="shared" si="12"/>
        <v>0</v>
      </c>
      <c r="U31" s="4">
        <f t="shared" si="12"/>
        <v>0</v>
      </c>
      <c r="V31" s="4">
        <f t="shared" si="12"/>
        <v>0</v>
      </c>
      <c r="W31" s="4">
        <f t="shared" si="10"/>
        <v>0</v>
      </c>
      <c r="X31" s="4">
        <f t="shared" si="10"/>
        <v>0</v>
      </c>
      <c r="Y31" s="4">
        <f t="shared" si="10"/>
        <v>0</v>
      </c>
      <c r="Z31" s="4">
        <f t="shared" si="10"/>
        <v>0</v>
      </c>
      <c r="AA31" s="4">
        <f t="shared" si="10"/>
        <v>0</v>
      </c>
      <c r="AB31" s="4">
        <f t="shared" si="10"/>
        <v>0</v>
      </c>
      <c r="AC31" s="4">
        <f t="shared" si="10"/>
        <v>0</v>
      </c>
      <c r="AD31" s="4">
        <f t="shared" si="10"/>
        <v>0</v>
      </c>
      <c r="AE31" s="4">
        <f t="shared" si="14"/>
        <v>0</v>
      </c>
      <c r="AF31" s="4">
        <f t="shared" si="14"/>
        <v>0</v>
      </c>
      <c r="AG31" s="4">
        <f t="shared" si="14"/>
        <v>0</v>
      </c>
      <c r="AH31" s="4">
        <f t="shared" si="14"/>
        <v>0</v>
      </c>
      <c r="AI31" s="4">
        <f t="shared" si="14"/>
        <v>0</v>
      </c>
      <c r="AJ31" s="4">
        <f t="shared" si="14"/>
        <v>0</v>
      </c>
      <c r="AK31" s="4">
        <f t="shared" si="14"/>
        <v>0</v>
      </c>
      <c r="AL31" s="4">
        <f t="shared" si="14"/>
        <v>0</v>
      </c>
      <c r="AM31" s="4">
        <f t="shared" si="14"/>
        <v>0</v>
      </c>
      <c r="AN31" s="4">
        <f t="shared" si="14"/>
        <v>0</v>
      </c>
      <c r="AO31" s="4">
        <f t="shared" si="14"/>
        <v>0</v>
      </c>
      <c r="AP31" s="4">
        <f t="shared" si="14"/>
        <v>0</v>
      </c>
      <c r="AQ31" s="4">
        <f t="shared" si="14"/>
        <v>0</v>
      </c>
      <c r="AR31" s="4">
        <f t="shared" si="14"/>
        <v>0</v>
      </c>
      <c r="AS31" s="4">
        <f t="shared" si="14"/>
        <v>0</v>
      </c>
      <c r="AT31" s="4">
        <f t="shared" si="14"/>
        <v>0</v>
      </c>
      <c r="AU31" s="4">
        <f t="shared" si="13"/>
        <v>0</v>
      </c>
      <c r="AV31" s="4">
        <f t="shared" si="13"/>
        <v>0</v>
      </c>
      <c r="AW31" s="4">
        <f t="shared" si="13"/>
        <v>0</v>
      </c>
      <c r="AX31" s="4">
        <f t="shared" si="13"/>
        <v>0</v>
      </c>
      <c r="AY31" s="4">
        <f t="shared" si="13"/>
        <v>0</v>
      </c>
      <c r="AZ31" s="4">
        <f t="shared" si="13"/>
        <v>0</v>
      </c>
      <c r="BA31" s="4">
        <f t="shared" si="13"/>
        <v>0</v>
      </c>
      <c r="BB31" s="4">
        <f t="shared" si="11"/>
        <v>0</v>
      </c>
      <c r="BC31" s="4">
        <f t="shared" si="11"/>
        <v>0</v>
      </c>
      <c r="BD31" s="4">
        <f t="shared" si="11"/>
        <v>0</v>
      </c>
      <c r="BE31" s="4">
        <f t="shared" si="11"/>
        <v>0</v>
      </c>
      <c r="BF31" s="4">
        <f t="shared" si="11"/>
        <v>0</v>
      </c>
      <c r="BG31" s="4">
        <f t="shared" si="11"/>
        <v>0</v>
      </c>
      <c r="BH31" s="4">
        <f t="shared" si="11"/>
        <v>0</v>
      </c>
      <c r="BI31" s="4">
        <f t="shared" si="11"/>
        <v>0</v>
      </c>
      <c r="BJ31" s="4">
        <f t="shared" si="11"/>
        <v>0</v>
      </c>
      <c r="BK31" s="4">
        <f t="shared" si="11"/>
        <v>0</v>
      </c>
      <c r="BL31" s="4">
        <f t="shared" si="11"/>
        <v>0</v>
      </c>
      <c r="BM31" s="4">
        <f t="shared" si="11"/>
        <v>0</v>
      </c>
      <c r="BN31" s="4">
        <f t="shared" si="11"/>
        <v>0</v>
      </c>
      <c r="BO31" s="4">
        <f t="shared" si="11"/>
        <v>0</v>
      </c>
      <c r="BP31" s="4">
        <f t="shared" si="11"/>
        <v>0</v>
      </c>
      <c r="BQ31" s="4">
        <f t="shared" si="11"/>
        <v>0</v>
      </c>
      <c r="BR31" s="4">
        <f t="shared" si="7"/>
        <v>0</v>
      </c>
      <c r="BS31" s="4">
        <f t="shared" ref="BS31:CH47" si="16">$C31*IF(AND(BS$2=0,$D31=0),1,BS$2^$D31)*EXP($E31*(1-IF(AND(BS$2=0,$F31=0),1,BS$2^$F31)))</f>
        <v>0</v>
      </c>
      <c r="BT31" s="4">
        <f t="shared" si="16"/>
        <v>0</v>
      </c>
      <c r="BU31" s="4">
        <f t="shared" si="16"/>
        <v>0</v>
      </c>
      <c r="BV31" s="4">
        <f t="shared" si="16"/>
        <v>0</v>
      </c>
      <c r="BW31" s="4">
        <f t="shared" si="16"/>
        <v>0</v>
      </c>
      <c r="BX31" s="4">
        <f t="shared" si="16"/>
        <v>0</v>
      </c>
      <c r="BY31" s="4">
        <f t="shared" si="16"/>
        <v>0</v>
      </c>
      <c r="BZ31" s="4">
        <f t="shared" si="16"/>
        <v>0</v>
      </c>
      <c r="CA31" s="4">
        <f t="shared" si="16"/>
        <v>0</v>
      </c>
      <c r="CB31" s="4">
        <f t="shared" si="16"/>
        <v>0</v>
      </c>
      <c r="CC31" s="4">
        <f t="shared" si="16"/>
        <v>0</v>
      </c>
      <c r="CD31" s="4">
        <f t="shared" si="16"/>
        <v>0</v>
      </c>
      <c r="CE31" s="4">
        <f t="shared" si="16"/>
        <v>0</v>
      </c>
      <c r="CF31" s="4">
        <f t="shared" si="16"/>
        <v>0</v>
      </c>
      <c r="CG31" s="4">
        <f t="shared" si="16"/>
        <v>0</v>
      </c>
      <c r="CH31" s="4">
        <f t="shared" si="16"/>
        <v>0</v>
      </c>
      <c r="CI31" s="4">
        <f t="shared" si="15"/>
        <v>0</v>
      </c>
      <c r="CJ31" s="4">
        <f t="shared" si="15"/>
        <v>0</v>
      </c>
      <c r="CK31" s="4">
        <f t="shared" si="15"/>
        <v>0</v>
      </c>
      <c r="CL31" s="4">
        <f t="shared" si="15"/>
        <v>0</v>
      </c>
      <c r="CM31" s="4">
        <f t="shared" si="15"/>
        <v>0</v>
      </c>
      <c r="CN31" s="4">
        <f t="shared" si="15"/>
        <v>0</v>
      </c>
      <c r="CO31" s="4">
        <f t="shared" si="15"/>
        <v>0</v>
      </c>
      <c r="CP31" s="4">
        <f t="shared" si="15"/>
        <v>0</v>
      </c>
      <c r="CQ31" s="4">
        <f t="shared" si="15"/>
        <v>0</v>
      </c>
    </row>
    <row r="32" spans="1:95">
      <c r="A32" s="3">
        <v>30</v>
      </c>
      <c r="B32" s="17" t="str">
        <f>データファイル用!$B33</f>
        <v>MEWS Fibreboard IV - Plain</v>
      </c>
      <c r="C32" s="18">
        <f>データファイル用!G33</f>
        <v>4.2229999999999999E-11</v>
      </c>
      <c r="D32" s="19">
        <f>データファイル用!H33</f>
        <v>2.4525000000000002E-2</v>
      </c>
      <c r="E32" s="20">
        <f>データファイル用!I33</f>
        <v>-7.5055999999999998E-2</v>
      </c>
      <c r="F32" s="42">
        <f>データファイル用!J33</f>
        <v>1.7909999999999999</v>
      </c>
      <c r="G32" s="4">
        <f t="shared" si="12"/>
        <v>0</v>
      </c>
      <c r="H32" s="4">
        <f t="shared" si="12"/>
        <v>3.5594833754129851E-11</v>
      </c>
      <c r="I32" s="4">
        <f t="shared" si="12"/>
        <v>3.6211156719554352E-11</v>
      </c>
      <c r="J32" s="4">
        <f t="shared" si="12"/>
        <v>3.6582223992066545E-11</v>
      </c>
      <c r="K32" s="4">
        <f t="shared" si="12"/>
        <v>3.6853321116345582E-11</v>
      </c>
      <c r="L32" s="4">
        <f t="shared" si="12"/>
        <v>3.7070386216940715E-11</v>
      </c>
      <c r="M32" s="4">
        <f t="shared" si="12"/>
        <v>3.7253982471205244E-11</v>
      </c>
      <c r="N32" s="4">
        <f t="shared" si="12"/>
        <v>3.7415111069018257E-11</v>
      </c>
      <c r="O32" s="4">
        <f t="shared" si="12"/>
        <v>3.7560349516209343E-11</v>
      </c>
      <c r="P32" s="4">
        <f t="shared" si="12"/>
        <v>3.7693943486137189E-11</v>
      </c>
      <c r="Q32" s="4">
        <f t="shared" si="12"/>
        <v>3.7818791966311414E-11</v>
      </c>
      <c r="R32" s="4">
        <f t="shared" si="12"/>
        <v>3.7936961638585498E-11</v>
      </c>
      <c r="S32" s="4">
        <f t="shared" si="12"/>
        <v>3.8049977072499421E-11</v>
      </c>
      <c r="T32" s="4">
        <f t="shared" si="12"/>
        <v>3.8158994639988459E-11</v>
      </c>
      <c r="U32" s="4">
        <f t="shared" si="12"/>
        <v>3.8264911932919669E-11</v>
      </c>
      <c r="V32" s="4">
        <f t="shared" si="12"/>
        <v>3.8368439409679658E-11</v>
      </c>
      <c r="W32" s="4">
        <f t="shared" si="10"/>
        <v>3.8470148906819745E-11</v>
      </c>
      <c r="X32" s="4">
        <f t="shared" si="10"/>
        <v>3.8570507434916565E-11</v>
      </c>
      <c r="Y32" s="4">
        <f t="shared" si="10"/>
        <v>3.8669901307134024E-11</v>
      </c>
      <c r="Z32" s="4">
        <f t="shared" si="10"/>
        <v>3.8768653737498515E-11</v>
      </c>
      <c r="AA32" s="4">
        <f t="shared" si="10"/>
        <v>3.8867037919258358E-11</v>
      </c>
      <c r="AB32" s="4">
        <f t="shared" si="10"/>
        <v>3.8965286906985248E-11</v>
      </c>
      <c r="AC32" s="4">
        <f t="shared" si="10"/>
        <v>3.9063601194991573E-11</v>
      </c>
      <c r="AD32" s="4">
        <f t="shared" si="10"/>
        <v>3.9162154606875105E-11</v>
      </c>
      <c r="AE32" s="4">
        <f t="shared" si="14"/>
        <v>3.9261098927817347E-11</v>
      </c>
      <c r="AF32" s="4">
        <f t="shared" si="14"/>
        <v>3.9360567587901803E-11</v>
      </c>
      <c r="AG32" s="4">
        <f t="shared" si="14"/>
        <v>3.9460678620065071E-11</v>
      </c>
      <c r="AH32" s="4">
        <f t="shared" si="14"/>
        <v>3.9561537057198207E-11</v>
      </c>
      <c r="AI32" s="4">
        <f t="shared" si="14"/>
        <v>3.9663236891015086E-11</v>
      </c>
      <c r="AJ32" s="4">
        <f t="shared" si="14"/>
        <v>3.9765862685166689E-11</v>
      </c>
      <c r="AK32" s="4">
        <f t="shared" si="14"/>
        <v>3.9869490913117398E-11</v>
      </c>
      <c r="AL32" s="4">
        <f t="shared" si="14"/>
        <v>3.9974191075098947E-11</v>
      </c>
      <c r="AM32" s="4">
        <f t="shared" si="14"/>
        <v>4.0080026636373097E-11</v>
      </c>
      <c r="AN32" s="4">
        <f t="shared" si="14"/>
        <v>4.0187055819925287E-11</v>
      </c>
      <c r="AO32" s="4">
        <f t="shared" si="14"/>
        <v>4.0295332279779715E-11</v>
      </c>
      <c r="AP32" s="4">
        <f t="shared" si="14"/>
        <v>4.0404905675802022E-11</v>
      </c>
      <c r="AQ32" s="4">
        <f t="shared" si="14"/>
        <v>4.0515822166733334E-11</v>
      </c>
      <c r="AR32" s="4">
        <f t="shared" si="14"/>
        <v>4.0628124834980547E-11</v>
      </c>
      <c r="AS32" s="4">
        <f t="shared" si="14"/>
        <v>4.0741854054156539E-11</v>
      </c>
      <c r="AT32" s="4">
        <f t="shared" si="14"/>
        <v>4.0857047808359665E-11</v>
      </c>
      <c r="AU32" s="4">
        <f t="shared" si="13"/>
        <v>4.0973741970583613E-11</v>
      </c>
      <c r="AV32" s="4">
        <f t="shared" si="13"/>
        <v>4.1091970546367093E-11</v>
      </c>
      <c r="AW32" s="4">
        <f t="shared" si="13"/>
        <v>4.1211765887758193E-11</v>
      </c>
      <c r="AX32" s="4">
        <f t="shared" si="13"/>
        <v>4.13331588818292E-11</v>
      </c>
      <c r="AY32" s="4">
        <f t="shared" si="13"/>
        <v>4.1456179117293037E-11</v>
      </c>
      <c r="AZ32" s="4">
        <f t="shared" si="13"/>
        <v>4.1580855032211198E-11</v>
      </c>
      <c r="BA32" s="4">
        <f t="shared" si="13"/>
        <v>4.1707214045320804E-11</v>
      </c>
      <c r="BB32" s="4">
        <f t="shared" si="11"/>
        <v>4.1835282673125821E-11</v>
      </c>
      <c r="BC32" s="4">
        <f t="shared" si="11"/>
        <v>4.1965086634579574E-11</v>
      </c>
      <c r="BD32" s="4">
        <f t="shared" si="11"/>
        <v>4.1971622836642729E-11</v>
      </c>
      <c r="BE32" s="4">
        <f t="shared" si="11"/>
        <v>4.1978163442790369E-11</v>
      </c>
      <c r="BF32" s="4">
        <f t="shared" si="11"/>
        <v>4.1984708456102404E-11</v>
      </c>
      <c r="BG32" s="4">
        <f t="shared" si="11"/>
        <v>4.1991257879654977E-11</v>
      </c>
      <c r="BH32" s="4">
        <f t="shared" si="11"/>
        <v>4.199781171652041E-11</v>
      </c>
      <c r="BI32" s="4">
        <f t="shared" si="11"/>
        <v>4.2004369969767278E-11</v>
      </c>
      <c r="BJ32" s="4">
        <f t="shared" si="11"/>
        <v>4.2010932642460397E-11</v>
      </c>
      <c r="BK32" s="4">
        <f t="shared" si="11"/>
        <v>4.2017499737660882E-11</v>
      </c>
      <c r="BL32" s="4">
        <f t="shared" si="11"/>
        <v>4.2024071258426182E-11</v>
      </c>
      <c r="BM32" s="4">
        <f t="shared" si="11"/>
        <v>4.2030647207810021E-11</v>
      </c>
      <c r="BN32" s="4">
        <f t="shared" si="11"/>
        <v>4.2037227588862517E-11</v>
      </c>
      <c r="BO32" s="4">
        <f t="shared" si="11"/>
        <v>4.2043812404630184E-11</v>
      </c>
      <c r="BP32" s="4">
        <f t="shared" si="11"/>
        <v>4.2050401658155895E-11</v>
      </c>
      <c r="BQ32" s="4">
        <f t="shared" si="11"/>
        <v>4.2056995352478983E-11</v>
      </c>
      <c r="BR32" s="4">
        <f t="shared" si="7"/>
        <v>4.2063593490635228E-11</v>
      </c>
      <c r="BS32" s="4">
        <f t="shared" si="16"/>
        <v>4.2070196075656879E-11</v>
      </c>
      <c r="BT32" s="4">
        <f t="shared" si="16"/>
        <v>4.2076803110572684E-11</v>
      </c>
      <c r="BU32" s="4">
        <f t="shared" si="16"/>
        <v>4.2083414598407896E-11</v>
      </c>
      <c r="BV32" s="4">
        <f t="shared" si="16"/>
        <v>4.2090030542184339E-11</v>
      </c>
      <c r="BW32" s="4">
        <f t="shared" si="16"/>
        <v>4.209665094492039E-11</v>
      </c>
      <c r="BX32" s="4">
        <f t="shared" si="16"/>
        <v>4.2103275809631025E-11</v>
      </c>
      <c r="BY32" s="4">
        <f t="shared" si="16"/>
        <v>4.2109905139327796E-11</v>
      </c>
      <c r="BZ32" s="4">
        <f t="shared" si="16"/>
        <v>4.2116538937018919E-11</v>
      </c>
      <c r="CA32" s="4">
        <f t="shared" si="16"/>
        <v>4.2123177205709282E-11</v>
      </c>
      <c r="CB32" s="4">
        <f t="shared" si="16"/>
        <v>4.2129819948400416E-11</v>
      </c>
      <c r="CC32" s="4">
        <f t="shared" si="16"/>
        <v>4.2136467168090557E-11</v>
      </c>
      <c r="CD32" s="4">
        <f t="shared" si="16"/>
        <v>4.2143118867774688E-11</v>
      </c>
      <c r="CE32" s="4">
        <f t="shared" si="16"/>
        <v>4.2149775050444521E-11</v>
      </c>
      <c r="CF32" s="4">
        <f t="shared" si="16"/>
        <v>4.2156435719088518E-11</v>
      </c>
      <c r="CG32" s="4">
        <f t="shared" si="16"/>
        <v>4.216310087669196E-11</v>
      </c>
      <c r="CH32" s="4">
        <f t="shared" si="16"/>
        <v>4.2169770526236917E-11</v>
      </c>
      <c r="CI32" s="4">
        <f t="shared" si="15"/>
        <v>4.2176444670702293E-11</v>
      </c>
      <c r="CJ32" s="4">
        <f t="shared" si="15"/>
        <v>4.2183123313063851E-11</v>
      </c>
      <c r="CK32" s="4">
        <f t="shared" si="15"/>
        <v>4.2189806456294213E-11</v>
      </c>
      <c r="CL32" s="4">
        <f t="shared" si="15"/>
        <v>4.2196494103362905E-11</v>
      </c>
      <c r="CM32" s="4">
        <f t="shared" si="15"/>
        <v>4.2203186257236379E-11</v>
      </c>
      <c r="CN32" s="4">
        <f t="shared" si="15"/>
        <v>4.2209882920877996E-11</v>
      </c>
      <c r="CO32" s="4">
        <f t="shared" si="15"/>
        <v>4.2216584097248099E-11</v>
      </c>
      <c r="CP32" s="4">
        <f t="shared" si="15"/>
        <v>4.2223289789303995E-11</v>
      </c>
      <c r="CQ32" s="4">
        <f t="shared" si="15"/>
        <v>4.2229999999999999E-11</v>
      </c>
    </row>
    <row r="33" spans="1:95">
      <c r="A33" s="3">
        <v>31</v>
      </c>
      <c r="B33" s="17" t="str">
        <f>データファイル用!$B34</f>
        <v>MEWS Fibreboard V - Black Coat</v>
      </c>
      <c r="C33" s="18">
        <f>データファイル用!G34</f>
        <v>2.6295000000000001E-11</v>
      </c>
      <c r="D33" s="19">
        <f>データファイル用!H34</f>
        <v>1.0676E-2</v>
      </c>
      <c r="E33" s="20">
        <f>データファイル用!I34</f>
        <v>-0.10521999999999999</v>
      </c>
      <c r="F33" s="42">
        <f>データファイル用!J34</f>
        <v>1.0928</v>
      </c>
      <c r="G33" s="4">
        <f t="shared" si="12"/>
        <v>0</v>
      </c>
      <c r="H33" s="4">
        <f t="shared" si="12"/>
        <v>2.2733913337110478E-11</v>
      </c>
      <c r="I33" s="4">
        <f t="shared" si="12"/>
        <v>2.2940778878643603E-11</v>
      </c>
      <c r="J33" s="4">
        <f t="shared" si="12"/>
        <v>2.3080436657409862E-11</v>
      </c>
      <c r="K33" s="4">
        <f t="shared" si="12"/>
        <v>2.3193055771878809E-11</v>
      </c>
      <c r="L33" s="4">
        <f t="shared" si="12"/>
        <v>2.3291163692661064E-11</v>
      </c>
      <c r="M33" s="4">
        <f t="shared" si="12"/>
        <v>2.3380305881340288E-11</v>
      </c>
      <c r="N33" s="4">
        <f t="shared" si="12"/>
        <v>2.3463419973135011E-11</v>
      </c>
      <c r="O33" s="4">
        <f t="shared" si="12"/>
        <v>2.3542246498645319E-11</v>
      </c>
      <c r="P33" s="4">
        <f t="shared" si="12"/>
        <v>2.3617899444370848E-11</v>
      </c>
      <c r="Q33" s="4">
        <f t="shared" si="12"/>
        <v>2.3691133348774313E-11</v>
      </c>
      <c r="R33" s="4">
        <f t="shared" si="12"/>
        <v>2.3762481982941066E-11</v>
      </c>
      <c r="S33" s="4">
        <f t="shared" si="12"/>
        <v>2.3832336174030572E-11</v>
      </c>
      <c r="T33" s="4">
        <f t="shared" si="12"/>
        <v>2.3900990208757415E-11</v>
      </c>
      <c r="U33" s="4">
        <f t="shared" si="12"/>
        <v>2.39686708852965E-11</v>
      </c>
      <c r="V33" s="4">
        <f t="shared" si="12"/>
        <v>2.4035556446593887E-11</v>
      </c>
      <c r="W33" s="4">
        <f t="shared" si="10"/>
        <v>2.4101789341268895E-11</v>
      </c>
      <c r="X33" s="4">
        <f t="shared" si="10"/>
        <v>2.4167485073901325E-11</v>
      </c>
      <c r="Y33" s="4">
        <f t="shared" si="10"/>
        <v>2.4232738496219336E-11</v>
      </c>
      <c r="Z33" s="4">
        <f t="shared" si="10"/>
        <v>2.4297628376121904E-11</v>
      </c>
      <c r="AA33" s="4">
        <f t="shared" si="10"/>
        <v>2.4362220779102222E-11</v>
      </c>
      <c r="AB33" s="4">
        <f t="shared" si="10"/>
        <v>2.4426571612890267E-11</v>
      </c>
      <c r="AC33" s="4">
        <f t="shared" si="10"/>
        <v>2.4490728571123572E-11</v>
      </c>
      <c r="AD33" s="4">
        <f t="shared" si="10"/>
        <v>2.455473263796337E-11</v>
      </c>
      <c r="AE33" s="4">
        <f t="shared" si="14"/>
        <v>2.4618619266979014E-11</v>
      </c>
      <c r="AF33" s="4">
        <f t="shared" si="14"/>
        <v>2.468241931499008E-11</v>
      </c>
      <c r="AG33" s="4">
        <f t="shared" si="14"/>
        <v>2.47461597892224E-11</v>
      </c>
      <c r="AH33" s="4">
        <f t="shared" si="14"/>
        <v>2.4809864450585945E-11</v>
      </c>
      <c r="AI33" s="4">
        <f t="shared" si="14"/>
        <v>2.4873554304887139E-11</v>
      </c>
      <c r="AJ33" s="4">
        <f t="shared" si="14"/>
        <v>2.4937248005900387E-11</v>
      </c>
      <c r="AK33" s="4">
        <f t="shared" si="14"/>
        <v>2.5000962188490209E-11</v>
      </c>
      <c r="AL33" s="4">
        <f t="shared" si="14"/>
        <v>2.5064711745757006E-11</v>
      </c>
      <c r="AM33" s="4">
        <f t="shared" si="14"/>
        <v>2.5128510061040731E-11</v>
      </c>
      <c r="AN33" s="4">
        <f t="shared" si="14"/>
        <v>2.519236920325683E-11</v>
      </c>
      <c r="AO33" s="4">
        <f t="shared" si="14"/>
        <v>2.5256300092247287E-11</v>
      </c>
      <c r="AP33" s="4">
        <f t="shared" si="14"/>
        <v>2.5320312639456973E-11</v>
      </c>
      <c r="AQ33" s="4">
        <f t="shared" si="14"/>
        <v>2.5384415868185096E-11</v>
      </c>
      <c r="AR33" s="4">
        <f t="shared" si="14"/>
        <v>2.5448618016835788E-11</v>
      </c>
      <c r="AS33" s="4">
        <f t="shared" si="14"/>
        <v>2.5512926627943868E-11</v>
      </c>
      <c r="AT33" s="4">
        <f t="shared" si="14"/>
        <v>2.5577348625239867E-11</v>
      </c>
      <c r="AU33" s="4">
        <f t="shared" si="13"/>
        <v>2.5641890380611343E-11</v>
      </c>
      <c r="AV33" s="4">
        <f t="shared" si="13"/>
        <v>2.5706557772491509E-11</v>
      </c>
      <c r="AW33" s="4">
        <f t="shared" si="13"/>
        <v>2.5771356236944031E-11</v>
      </c>
      <c r="AX33" s="4">
        <f t="shared" si="13"/>
        <v>2.5836290812500217E-11</v>
      </c>
      <c r="AY33" s="4">
        <f t="shared" si="13"/>
        <v>2.590136617963225E-11</v>
      </c>
      <c r="AZ33" s="4">
        <f t="shared" si="13"/>
        <v>2.5966586695604445E-11</v>
      </c>
      <c r="BA33" s="4">
        <f t="shared" si="13"/>
        <v>2.6031956425328514E-11</v>
      </c>
      <c r="BB33" s="4">
        <f t="shared" si="11"/>
        <v>2.609747916875262E-11</v>
      </c>
      <c r="BC33" s="4">
        <f t="shared" si="11"/>
        <v>2.616315848523474E-11</v>
      </c>
      <c r="BD33" s="4">
        <f t="shared" si="11"/>
        <v>2.6166446621902016E-11</v>
      </c>
      <c r="BE33" s="4">
        <f t="shared" si="11"/>
        <v>2.6169735158798506E-11</v>
      </c>
      <c r="BF33" s="4">
        <f t="shared" si="11"/>
        <v>2.6173024096326872E-11</v>
      </c>
      <c r="BG33" s="4">
        <f t="shared" si="11"/>
        <v>2.6176313434888544E-11</v>
      </c>
      <c r="BH33" s="4">
        <f t="shared" si="11"/>
        <v>2.6179603174883731E-11</v>
      </c>
      <c r="BI33" s="4">
        <f t="shared" si="11"/>
        <v>2.618289331671143E-11</v>
      </c>
      <c r="BJ33" s="4">
        <f t="shared" si="11"/>
        <v>2.6186183860769395E-11</v>
      </c>
      <c r="BK33" s="4">
        <f t="shared" si="11"/>
        <v>2.6189474807454199E-11</v>
      </c>
      <c r="BL33" s="4">
        <f t="shared" si="11"/>
        <v>2.6192766157161185E-11</v>
      </c>
      <c r="BM33" s="4">
        <f t="shared" si="11"/>
        <v>2.6196057910284514E-11</v>
      </c>
      <c r="BN33" s="4">
        <f t="shared" si="11"/>
        <v>2.6199350067217152E-11</v>
      </c>
      <c r="BO33" s="4">
        <f t="shared" si="11"/>
        <v>2.6202642628350867E-11</v>
      </c>
      <c r="BP33" s="4">
        <f t="shared" si="11"/>
        <v>2.6205935594076242E-11</v>
      </c>
      <c r="BQ33" s="4">
        <f t="shared" si="11"/>
        <v>2.6209228964782701E-11</v>
      </c>
      <c r="BR33" s="4">
        <f t="shared" si="7"/>
        <v>2.6212522740858478E-11</v>
      </c>
      <c r="BS33" s="4">
        <f t="shared" si="16"/>
        <v>2.621581692269065E-11</v>
      </c>
      <c r="BT33" s="4">
        <f t="shared" si="16"/>
        <v>2.6219111510665126E-11</v>
      </c>
      <c r="BU33" s="4">
        <f t="shared" si="16"/>
        <v>2.6222406505166658E-11</v>
      </c>
      <c r="BV33" s="4">
        <f t="shared" si="16"/>
        <v>2.6225701906578852E-11</v>
      </c>
      <c r="BW33" s="4">
        <f t="shared" si="16"/>
        <v>2.6228997715284168E-11</v>
      </c>
      <c r="BX33" s="4">
        <f t="shared" si="16"/>
        <v>2.6232293931663917E-11</v>
      </c>
      <c r="BY33" s="4">
        <f t="shared" si="16"/>
        <v>2.6235590556098293E-11</v>
      </c>
      <c r="BZ33" s="4">
        <f t="shared" si="16"/>
        <v>2.623888758896633E-11</v>
      </c>
      <c r="CA33" s="4">
        <f t="shared" si="16"/>
        <v>2.6242185030645965E-11</v>
      </c>
      <c r="CB33" s="4">
        <f t="shared" si="16"/>
        <v>2.6245482881514003E-11</v>
      </c>
      <c r="CC33" s="4">
        <f t="shared" si="16"/>
        <v>2.6248781141946129E-11</v>
      </c>
      <c r="CD33" s="4">
        <f t="shared" si="16"/>
        <v>2.6252079812316928E-11</v>
      </c>
      <c r="CE33" s="4">
        <f t="shared" si="16"/>
        <v>2.6255378892999871E-11</v>
      </c>
      <c r="CF33" s="4">
        <f t="shared" si="16"/>
        <v>2.6258678384367331E-11</v>
      </c>
      <c r="CG33" s="4">
        <f t="shared" si="16"/>
        <v>2.6261978286790591E-11</v>
      </c>
      <c r="CH33" s="4">
        <f t="shared" si="16"/>
        <v>2.6265278600639839E-11</v>
      </c>
      <c r="CI33" s="4">
        <f t="shared" si="15"/>
        <v>2.6268579326284172E-11</v>
      </c>
      <c r="CJ33" s="4">
        <f t="shared" si="15"/>
        <v>2.6271880464091618E-11</v>
      </c>
      <c r="CK33" s="4">
        <f t="shared" si="15"/>
        <v>2.6275182014429122E-11</v>
      </c>
      <c r="CL33" s="4">
        <f t="shared" si="15"/>
        <v>2.6278483977662562E-11</v>
      </c>
      <c r="CM33" s="4">
        <f t="shared" si="15"/>
        <v>2.6281786354156738E-11</v>
      </c>
      <c r="CN33" s="4">
        <f t="shared" si="15"/>
        <v>2.6285089144275407E-11</v>
      </c>
      <c r="CO33" s="4">
        <f t="shared" si="15"/>
        <v>2.6288392348381257E-11</v>
      </c>
      <c r="CP33" s="4">
        <f t="shared" si="15"/>
        <v>2.6291695966835929E-11</v>
      </c>
      <c r="CQ33" s="4">
        <f t="shared" si="15"/>
        <v>2.6295000000000001E-11</v>
      </c>
    </row>
    <row r="34" spans="1:95">
      <c r="A34" s="3">
        <v>32</v>
      </c>
      <c r="B34" s="17" t="str">
        <f>データファイル用!$B35</f>
        <v>MEWS Fibreboard VI - Black Coat</v>
      </c>
      <c r="C34" s="18">
        <f>データファイル用!G35</f>
        <v>2.6000000000000001E-11</v>
      </c>
      <c r="D34" s="19">
        <f>データファイル用!H35</f>
        <v>2.4108E-11</v>
      </c>
      <c r="E34" s="20">
        <f>データファイル用!I35</f>
        <v>5.6659E-10</v>
      </c>
      <c r="F34" s="42">
        <f>データファイル用!J35</f>
        <v>28.398</v>
      </c>
      <c r="G34" s="4">
        <f t="shared" si="12"/>
        <v>0</v>
      </c>
      <c r="H34" s="4">
        <f t="shared" si="12"/>
        <v>2.6000000012279258E-11</v>
      </c>
      <c r="I34" s="4">
        <f t="shared" si="12"/>
        <v>2.6000000012713725E-11</v>
      </c>
      <c r="J34" s="4">
        <f t="shared" si="12"/>
        <v>2.6000000012967876E-11</v>
      </c>
      <c r="K34" s="4">
        <f t="shared" si="12"/>
        <v>2.6000000013148198E-11</v>
      </c>
      <c r="L34" s="4">
        <f t="shared" si="12"/>
        <v>2.6000000013288066E-11</v>
      </c>
      <c r="M34" s="4">
        <f t="shared" si="12"/>
        <v>2.6000000013402346E-11</v>
      </c>
      <c r="N34" s="4">
        <f t="shared" si="12"/>
        <v>2.6000000013498968E-11</v>
      </c>
      <c r="O34" s="4">
        <f t="shared" si="12"/>
        <v>2.6000000013582668E-11</v>
      </c>
      <c r="P34" s="4">
        <f t="shared" si="12"/>
        <v>2.6000000013656494E-11</v>
      </c>
      <c r="Q34" s="4">
        <f t="shared" si="12"/>
        <v>2.6000000013722536E-11</v>
      </c>
      <c r="R34" s="4">
        <f t="shared" si="12"/>
        <v>2.6000000013782277E-11</v>
      </c>
      <c r="S34" s="4">
        <f t="shared" si="12"/>
        <v>2.6000000013836816E-11</v>
      </c>
      <c r="T34" s="4">
        <f t="shared" si="12"/>
        <v>2.6000000013886987E-11</v>
      </c>
      <c r="U34" s="4">
        <f t="shared" si="12"/>
        <v>2.6000000013933438E-11</v>
      </c>
      <c r="V34" s="4">
        <f t="shared" si="12"/>
        <v>2.6000000013976684E-11</v>
      </c>
      <c r="W34" s="4">
        <f t="shared" si="10"/>
        <v>2.6000000014017138E-11</v>
      </c>
      <c r="X34" s="4">
        <f t="shared" si="10"/>
        <v>2.6000000014055137E-11</v>
      </c>
      <c r="Y34" s="4">
        <f t="shared" si="10"/>
        <v>2.6000000014090964E-11</v>
      </c>
      <c r="Z34" s="4">
        <f t="shared" si="10"/>
        <v>2.6000000014124853E-11</v>
      </c>
      <c r="AA34" s="4">
        <f t="shared" si="10"/>
        <v>2.6000000014157006E-11</v>
      </c>
      <c r="AB34" s="4">
        <f t="shared" si="10"/>
        <v>2.6000000014187586E-11</v>
      </c>
      <c r="AC34" s="4">
        <f t="shared" si="10"/>
        <v>2.6000000014216747E-11</v>
      </c>
      <c r="AD34" s="4">
        <f t="shared" si="10"/>
        <v>2.600000001424461E-11</v>
      </c>
      <c r="AE34" s="4">
        <f t="shared" si="14"/>
        <v>2.6000000014271286E-11</v>
      </c>
      <c r="AF34" s="4">
        <f t="shared" si="14"/>
        <v>2.6000000014296874E-11</v>
      </c>
      <c r="AG34" s="4">
        <f t="shared" si="14"/>
        <v>2.6000000014321454E-11</v>
      </c>
      <c r="AH34" s="4">
        <f t="shared" si="14"/>
        <v>2.6000000014345109E-11</v>
      </c>
      <c r="AI34" s="4">
        <f t="shared" si="14"/>
        <v>2.6000000014367902E-11</v>
      </c>
      <c r="AJ34" s="4">
        <f t="shared" si="14"/>
        <v>2.60000000143899E-11</v>
      </c>
      <c r="AK34" s="4">
        <f t="shared" si="14"/>
        <v>2.6000000014411141E-11</v>
      </c>
      <c r="AL34" s="4">
        <f t="shared" si="14"/>
        <v>2.6000000014431685E-11</v>
      </c>
      <c r="AM34" s="4">
        <f t="shared" si="14"/>
        <v>2.600000001445156E-11</v>
      </c>
      <c r="AN34" s="4">
        <f t="shared" si="14"/>
        <v>2.6000000014470779E-11</v>
      </c>
      <c r="AO34" s="4">
        <f t="shared" si="14"/>
        <v>2.6000000014489345E-11</v>
      </c>
      <c r="AP34" s="4">
        <f t="shared" si="14"/>
        <v>2.6000000014507191E-11</v>
      </c>
      <c r="AQ34" s="4">
        <f t="shared" si="14"/>
        <v>2.6000000014524123E-11</v>
      </c>
      <c r="AR34" s="4">
        <f t="shared" si="14"/>
        <v>2.6000000014539755E-11</v>
      </c>
      <c r="AS34" s="4">
        <f t="shared" si="14"/>
        <v>2.6000000014553242E-11</v>
      </c>
      <c r="AT34" s="4">
        <f t="shared" si="14"/>
        <v>2.60000000145629E-11</v>
      </c>
      <c r="AU34" s="4">
        <f t="shared" si="13"/>
        <v>2.6000000014565398E-11</v>
      </c>
      <c r="AV34" s="4">
        <f t="shared" si="13"/>
        <v>2.6000000014554383E-11</v>
      </c>
      <c r="AW34" s="4">
        <f t="shared" si="13"/>
        <v>2.6000000014517841E-11</v>
      </c>
      <c r="AX34" s="4">
        <f t="shared" si="13"/>
        <v>2.6000000014433504E-11</v>
      </c>
      <c r="AY34" s="4">
        <f t="shared" si="13"/>
        <v>2.6000000014260678E-11</v>
      </c>
      <c r="AZ34" s="4">
        <f t="shared" si="13"/>
        <v>2.6000000013925997E-11</v>
      </c>
      <c r="BA34" s="4">
        <f t="shared" si="13"/>
        <v>2.6000000013299045E-11</v>
      </c>
      <c r="BB34" s="4">
        <f t="shared" si="11"/>
        <v>2.6000000012150838E-11</v>
      </c>
      <c r="BC34" s="4">
        <f t="shared" si="11"/>
        <v>2.6000000010084279E-11</v>
      </c>
      <c r="BD34" s="4">
        <f t="shared" si="11"/>
        <v>2.6000000009946253E-11</v>
      </c>
      <c r="BE34" s="4">
        <f t="shared" si="11"/>
        <v>2.6000000009804217E-11</v>
      </c>
      <c r="BF34" s="4">
        <f t="shared" si="11"/>
        <v>2.6000000009658055E-11</v>
      </c>
      <c r="BG34" s="4">
        <f t="shared" si="11"/>
        <v>2.600000000950766E-11</v>
      </c>
      <c r="BH34" s="4">
        <f t="shared" si="11"/>
        <v>2.6000000009352906E-11</v>
      </c>
      <c r="BI34" s="4">
        <f t="shared" si="11"/>
        <v>2.600000000919368E-11</v>
      </c>
      <c r="BJ34" s="4">
        <f t="shared" si="11"/>
        <v>2.600000000902985E-11</v>
      </c>
      <c r="BK34" s="4">
        <f t="shared" si="11"/>
        <v>2.6000000008861293E-11</v>
      </c>
      <c r="BL34" s="4">
        <f t="shared" si="11"/>
        <v>2.6000000008687879E-11</v>
      </c>
      <c r="BM34" s="4">
        <f t="shared" si="11"/>
        <v>2.6000000008509476E-11</v>
      </c>
      <c r="BN34" s="4">
        <f t="shared" si="11"/>
        <v>2.6000000008325942E-11</v>
      </c>
      <c r="BO34" s="4">
        <f t="shared" si="11"/>
        <v>2.6000000008137128E-11</v>
      </c>
      <c r="BP34" s="4">
        <f t="shared" si="11"/>
        <v>2.6000000007942906E-11</v>
      </c>
      <c r="BQ34" s="4">
        <f t="shared" si="11"/>
        <v>2.6000000007743119E-11</v>
      </c>
      <c r="BR34" s="4">
        <f t="shared" si="7"/>
        <v>2.6000000007537603E-11</v>
      </c>
      <c r="BS34" s="4">
        <f t="shared" si="16"/>
        <v>2.600000000732622E-11</v>
      </c>
      <c r="BT34" s="4">
        <f t="shared" si="16"/>
        <v>2.6000000007108797E-11</v>
      </c>
      <c r="BU34" s="4">
        <f t="shared" si="16"/>
        <v>2.6000000006885171E-11</v>
      </c>
      <c r="BV34" s="4">
        <f t="shared" si="16"/>
        <v>2.6000000006655176E-11</v>
      </c>
      <c r="BW34" s="4">
        <f t="shared" si="16"/>
        <v>2.6000000006418631E-11</v>
      </c>
      <c r="BX34" s="4">
        <f t="shared" si="16"/>
        <v>2.6000000006175366E-11</v>
      </c>
      <c r="BY34" s="4">
        <f t="shared" si="16"/>
        <v>2.6000000005925192E-11</v>
      </c>
      <c r="BZ34" s="4">
        <f t="shared" si="16"/>
        <v>2.600000000566792E-11</v>
      </c>
      <c r="CA34" s="4">
        <f t="shared" si="16"/>
        <v>2.6000000005403354E-11</v>
      </c>
      <c r="CB34" s="4">
        <f t="shared" si="16"/>
        <v>2.6000000005131299E-11</v>
      </c>
      <c r="CC34" s="4">
        <f t="shared" si="16"/>
        <v>2.6000000004851557E-11</v>
      </c>
      <c r="CD34" s="4">
        <f t="shared" si="16"/>
        <v>2.6000000004563912E-11</v>
      </c>
      <c r="CE34" s="4">
        <f t="shared" si="16"/>
        <v>2.6000000004268149E-11</v>
      </c>
      <c r="CF34" s="4">
        <f t="shared" si="16"/>
        <v>2.6000000003964054E-11</v>
      </c>
      <c r="CG34" s="4">
        <f t="shared" si="16"/>
        <v>2.6000000003651399E-11</v>
      </c>
      <c r="CH34" s="4">
        <f t="shared" si="16"/>
        <v>2.6000000003329949E-11</v>
      </c>
      <c r="CI34" s="4">
        <f t="shared" si="15"/>
        <v>2.6000000002999474E-11</v>
      </c>
      <c r="CJ34" s="4">
        <f t="shared" si="15"/>
        <v>2.6000000002659729E-11</v>
      </c>
      <c r="CK34" s="4">
        <f t="shared" si="15"/>
        <v>2.6000000002310449E-11</v>
      </c>
      <c r="CL34" s="4">
        <f t="shared" si="15"/>
        <v>2.6000000001951397E-11</v>
      </c>
      <c r="CM34" s="4">
        <f t="shared" si="15"/>
        <v>2.6000000001582303E-11</v>
      </c>
      <c r="CN34" s="4">
        <f t="shared" si="15"/>
        <v>2.6000000001202899E-11</v>
      </c>
      <c r="CO34" s="4">
        <f t="shared" si="15"/>
        <v>2.6000000000812896E-11</v>
      </c>
      <c r="CP34" s="4">
        <f t="shared" si="15"/>
        <v>2.6000000000412034E-11</v>
      </c>
      <c r="CQ34" s="4">
        <f t="shared" si="15"/>
        <v>2.6000000000000001E-11</v>
      </c>
    </row>
    <row r="35" spans="1:95">
      <c r="A35" s="3">
        <v>33</v>
      </c>
      <c r="B35" s="17" t="str">
        <f>データファイル用!$B36</f>
        <v>MEWS Fibreboard VII - Black Coat</v>
      </c>
      <c r="C35" s="18">
        <f>データファイル用!G36</f>
        <v>2.2048999999999999E-11</v>
      </c>
      <c r="D35" s="19">
        <f>データファイル用!H36</f>
        <v>4.1456000000000002E-3</v>
      </c>
      <c r="E35" s="20">
        <f>データファイル用!I36</f>
        <v>-0.26156000000000001</v>
      </c>
      <c r="F35" s="42">
        <f>データファイル用!J36</f>
        <v>1.1554</v>
      </c>
      <c r="G35" s="4">
        <f t="shared" si="12"/>
        <v>0</v>
      </c>
      <c r="H35" s="4">
        <f t="shared" si="12"/>
        <v>1.674898799653004E-11</v>
      </c>
      <c r="I35" s="4">
        <f t="shared" si="12"/>
        <v>1.6856013724420595E-11</v>
      </c>
      <c r="J35" s="4">
        <f t="shared" si="12"/>
        <v>1.694850319858152E-11</v>
      </c>
      <c r="K35" s="4">
        <f t="shared" si="12"/>
        <v>1.7036677490567396E-11</v>
      </c>
      <c r="L35" s="4">
        <f t="shared" si="12"/>
        <v>1.7123467105396355E-11</v>
      </c>
      <c r="M35" s="4">
        <f t="shared" si="12"/>
        <v>1.7210058726983555E-11</v>
      </c>
      <c r="N35" s="4">
        <f t="shared" si="12"/>
        <v>1.7297022937412931E-11</v>
      </c>
      <c r="O35" s="4">
        <f t="shared" si="12"/>
        <v>1.7384663690219684E-11</v>
      </c>
      <c r="P35" s="4">
        <f t="shared" si="12"/>
        <v>1.7473153958843173E-11</v>
      </c>
      <c r="Q35" s="4">
        <f t="shared" si="12"/>
        <v>1.7562596562926416E-11</v>
      </c>
      <c r="R35" s="4">
        <f t="shared" si="12"/>
        <v>1.7653054349541399E-11</v>
      </c>
      <c r="S35" s="4">
        <f t="shared" si="12"/>
        <v>1.7744566335380564E-11</v>
      </c>
      <c r="T35" s="4">
        <f t="shared" si="12"/>
        <v>1.7837156852455704E-11</v>
      </c>
      <c r="U35" s="4">
        <f t="shared" si="12"/>
        <v>1.7930840970285989E-11</v>
      </c>
      <c r="V35" s="4">
        <f t="shared" si="12"/>
        <v>1.8025627829329997E-11</v>
      </c>
      <c r="W35" s="4">
        <f t="shared" si="10"/>
        <v>1.812152275117362E-11</v>
      </c>
      <c r="X35" s="4">
        <f t="shared" si="10"/>
        <v>1.821852860630289E-11</v>
      </c>
      <c r="Y35" s="4">
        <f t="shared" si="10"/>
        <v>1.83166467175861E-11</v>
      </c>
      <c r="Z35" s="4">
        <f t="shared" si="10"/>
        <v>1.8415877465953441E-11</v>
      </c>
      <c r="AA35" s="4">
        <f t="shared" si="10"/>
        <v>1.8516220700913295E-11</v>
      </c>
      <c r="AB35" s="4">
        <f t="shared" si="10"/>
        <v>1.8617676020814002E-11</v>
      </c>
      <c r="AC35" s="4">
        <f t="shared" si="10"/>
        <v>1.8720242964819788E-11</v>
      </c>
      <c r="AD35" s="4">
        <f t="shared" si="10"/>
        <v>1.8823921144267984E-11</v>
      </c>
      <c r="AE35" s="4">
        <f t="shared" si="14"/>
        <v>1.8928710331959223E-11</v>
      </c>
      <c r="AF35" s="4">
        <f t="shared" si="14"/>
        <v>1.9034610522007198E-11</v>
      </c>
      <c r="AG35" s="4">
        <f t="shared" si="14"/>
        <v>1.914162196895441E-11</v>
      </c>
      <c r="AH35" s="4">
        <f t="shared" si="14"/>
        <v>1.9249745212226663E-11</v>
      </c>
      <c r="AI35" s="4">
        <f t="shared" si="14"/>
        <v>1.9358981090203462E-11</v>
      </c>
      <c r="AJ35" s="4">
        <f t="shared" si="14"/>
        <v>1.94693307469428E-11</v>
      </c>
      <c r="AK35" s="4">
        <f t="shared" si="14"/>
        <v>1.958079563373383E-11</v>
      </c>
      <c r="AL35" s="4">
        <f t="shared" si="14"/>
        <v>1.9693377507041126E-11</v>
      </c>
      <c r="AM35" s="4">
        <f t="shared" si="14"/>
        <v>1.9807078423970432E-11</v>
      </c>
      <c r="AN35" s="4">
        <f t="shared" si="14"/>
        <v>1.9921900736074493E-11</v>
      </c>
      <c r="AO35" s="4">
        <f t="shared" si="14"/>
        <v>2.0037847082092817E-11</v>
      </c>
      <c r="AP35" s="4">
        <f t="shared" si="14"/>
        <v>2.0154920380055935E-11</v>
      </c>
      <c r="AQ35" s="4">
        <f t="shared" si="14"/>
        <v>2.0273123819065297E-11</v>
      </c>
      <c r="AR35" s="4">
        <f t="shared" si="14"/>
        <v>2.0392460850972555E-11</v>
      </c>
      <c r="AS35" s="4">
        <f t="shared" si="14"/>
        <v>2.0512935182117434E-11</v>
      </c>
      <c r="AT35" s="4">
        <f t="shared" si="14"/>
        <v>2.0634550765236062E-11</v>
      </c>
      <c r="AU35" s="4">
        <f t="shared" si="13"/>
        <v>2.0757311791616379E-11</v>
      </c>
      <c r="AV35" s="4">
        <f t="shared" si="13"/>
        <v>2.0881222683551573E-11</v>
      </c>
      <c r="AW35" s="4">
        <f t="shared" si="13"/>
        <v>2.1006288087123179E-11</v>
      </c>
      <c r="AX35" s="4">
        <f t="shared" si="13"/>
        <v>2.1132512865331783E-11</v>
      </c>
      <c r="AY35" s="4">
        <f t="shared" si="13"/>
        <v>2.1259902091582724E-11</v>
      </c>
      <c r="AZ35" s="4">
        <f t="shared" si="13"/>
        <v>2.1388461043527155E-11</v>
      </c>
      <c r="BA35" s="4">
        <f t="shared" si="13"/>
        <v>2.15181951972532E-11</v>
      </c>
      <c r="BB35" s="4">
        <f t="shared" si="11"/>
        <v>2.1649110221818631E-11</v>
      </c>
      <c r="BC35" s="4">
        <f t="shared" si="11"/>
        <v>2.178121197411368E-11</v>
      </c>
      <c r="BD35" s="4">
        <f t="shared" si="11"/>
        <v>2.1787848320904416E-11</v>
      </c>
      <c r="BE35" s="4">
        <f t="shared" si="11"/>
        <v>2.1794487650343982E-11</v>
      </c>
      <c r="BF35" s="4">
        <f t="shared" si="11"/>
        <v>2.1801129963200338E-11</v>
      </c>
      <c r="BG35" s="4">
        <f t="shared" si="11"/>
        <v>2.1807775260242542E-11</v>
      </c>
      <c r="BH35" s="4">
        <f t="shared" si="11"/>
        <v>2.1814423542240767E-11</v>
      </c>
      <c r="BI35" s="4">
        <f t="shared" si="11"/>
        <v>2.1821074809966301E-11</v>
      </c>
      <c r="BJ35" s="4">
        <f t="shared" si="11"/>
        <v>2.1827729064191543E-11</v>
      </c>
      <c r="BK35" s="4">
        <f t="shared" si="11"/>
        <v>2.1834386305689984E-11</v>
      </c>
      <c r="BL35" s="4">
        <f t="shared" si="11"/>
        <v>2.1841046535236239E-11</v>
      </c>
      <c r="BM35" s="4">
        <f t="shared" si="11"/>
        <v>2.1847709753606015E-11</v>
      </c>
      <c r="BN35" s="4">
        <f t="shared" si="11"/>
        <v>2.1854375961576133E-11</v>
      </c>
      <c r="BO35" s="4">
        <f t="shared" si="11"/>
        <v>2.18610451599245E-11</v>
      </c>
      <c r="BP35" s="4">
        <f t="shared" si="11"/>
        <v>2.1867717349430137E-11</v>
      </c>
      <c r="BQ35" s="4">
        <f t="shared" si="11"/>
        <v>2.1874392530873166E-11</v>
      </c>
      <c r="BR35" s="4">
        <f t="shared" si="7"/>
        <v>2.1881070705034794E-11</v>
      </c>
      <c r="BS35" s="4">
        <f t="shared" si="16"/>
        <v>2.1887751872697333E-11</v>
      </c>
      <c r="BT35" s="4">
        <f t="shared" si="16"/>
        <v>2.1894436034644195E-11</v>
      </c>
      <c r="BU35" s="4">
        <f t="shared" si="16"/>
        <v>2.190112319165987E-11</v>
      </c>
      <c r="BV35" s="4">
        <f t="shared" si="16"/>
        <v>2.1907813344529959E-11</v>
      </c>
      <c r="BW35" s="4">
        <f t="shared" si="16"/>
        <v>2.1914506494041145E-11</v>
      </c>
      <c r="BX35" s="4">
        <f t="shared" si="16"/>
        <v>2.19212026409812E-11</v>
      </c>
      <c r="BY35" s="4">
        <f t="shared" si="16"/>
        <v>2.1927901786138992E-11</v>
      </c>
      <c r="BZ35" s="4">
        <f t="shared" si="16"/>
        <v>2.193460393030447E-11</v>
      </c>
      <c r="CA35" s="4">
        <f t="shared" si="16"/>
        <v>2.1941309074268667E-11</v>
      </c>
      <c r="CB35" s="4">
        <f t="shared" si="16"/>
        <v>2.1948017218823711E-11</v>
      </c>
      <c r="CC35" s="4">
        <f t="shared" si="16"/>
        <v>2.1954728364762812E-11</v>
      </c>
      <c r="CD35" s="4">
        <f t="shared" si="16"/>
        <v>2.1961442512880249E-11</v>
      </c>
      <c r="CE35" s="4">
        <f t="shared" si="16"/>
        <v>2.1968159663971396E-11</v>
      </c>
      <c r="CF35" s="4">
        <f t="shared" si="16"/>
        <v>2.1974879818832704E-11</v>
      </c>
      <c r="CG35" s="4">
        <f t="shared" si="16"/>
        <v>2.1981602978261706E-11</v>
      </c>
      <c r="CH35" s="4">
        <f t="shared" si="16"/>
        <v>2.1988329143057008E-11</v>
      </c>
      <c r="CI35" s="4">
        <f t="shared" si="15"/>
        <v>2.1995058314018287E-11</v>
      </c>
      <c r="CJ35" s="4">
        <f t="shared" si="15"/>
        <v>2.2001790491946303E-11</v>
      </c>
      <c r="CK35" s="4">
        <f t="shared" si="15"/>
        <v>2.200852567764289E-11</v>
      </c>
      <c r="CL35" s="4">
        <f t="shared" si="15"/>
        <v>2.2015263871910951E-11</v>
      </c>
      <c r="CM35" s="4">
        <f t="shared" si="15"/>
        <v>2.202200507555447E-11</v>
      </c>
      <c r="CN35" s="4">
        <f t="shared" si="15"/>
        <v>2.2028749289378483E-11</v>
      </c>
      <c r="CO35" s="4">
        <f t="shared" si="15"/>
        <v>2.2035496514189108E-11</v>
      </c>
      <c r="CP35" s="4">
        <f t="shared" si="15"/>
        <v>2.2042246750793533E-11</v>
      </c>
      <c r="CQ35" s="4">
        <f t="shared" si="15"/>
        <v>2.2049000000000005E-11</v>
      </c>
    </row>
    <row r="36" spans="1:95">
      <c r="A36" s="3">
        <v>34</v>
      </c>
      <c r="B36" s="17" t="str">
        <f>データファイル用!$B37</f>
        <v>MEWS Fibreboard VIII - Black Coat</v>
      </c>
      <c r="C36" s="18">
        <f>データファイル用!G37</f>
        <v>2.3059E-11</v>
      </c>
      <c r="D36" s="19">
        <f>データファイル用!H37</f>
        <v>6.7203999999999996E-3</v>
      </c>
      <c r="E36" s="20">
        <f>データファイル用!I37</f>
        <v>-0.17938999999999999</v>
      </c>
      <c r="F36" s="42">
        <f>データファイル用!J37</f>
        <v>1.0027999999999999</v>
      </c>
      <c r="G36" s="4">
        <f t="shared" si="12"/>
        <v>0</v>
      </c>
      <c r="H36" s="4">
        <f t="shared" si="12"/>
        <v>1.8838911740875106E-11</v>
      </c>
      <c r="I36" s="4">
        <f t="shared" si="12"/>
        <v>1.899441965423017E-11</v>
      </c>
      <c r="J36" s="4">
        <f t="shared" si="12"/>
        <v>1.9114321049276735E-11</v>
      </c>
      <c r="K36" s="4">
        <f t="shared" si="12"/>
        <v>1.9219825179781032E-11</v>
      </c>
      <c r="L36" s="4">
        <f t="shared" si="12"/>
        <v>1.9317580169890296E-11</v>
      </c>
      <c r="M36" s="4">
        <f t="shared" si="12"/>
        <v>1.9410545664540766E-11</v>
      </c>
      <c r="N36" s="4">
        <f t="shared" si="12"/>
        <v>1.9500299121339342E-11</v>
      </c>
      <c r="O36" s="4">
        <f t="shared" si="12"/>
        <v>1.9587781264184807E-11</v>
      </c>
      <c r="P36" s="4">
        <f t="shared" si="12"/>
        <v>1.9673598312455551E-11</v>
      </c>
      <c r="Q36" s="4">
        <f t="shared" si="12"/>
        <v>1.975816382998421E-11</v>
      </c>
      <c r="R36" s="4">
        <f t="shared" si="12"/>
        <v>1.9841772575577798E-11</v>
      </c>
      <c r="S36" s="4">
        <f t="shared" si="12"/>
        <v>1.9924642062799376E-11</v>
      </c>
      <c r="T36" s="4">
        <f t="shared" si="12"/>
        <v>2.0006937412949438E-11</v>
      </c>
      <c r="U36" s="4">
        <f t="shared" si="12"/>
        <v>2.00887869614852E-11</v>
      </c>
      <c r="V36" s="4">
        <f t="shared" si="12"/>
        <v>2.017029246008471E-11</v>
      </c>
      <c r="W36" s="4">
        <f t="shared" si="10"/>
        <v>2.0251535974359268E-11</v>
      </c>
      <c r="X36" s="4">
        <f t="shared" si="10"/>
        <v>2.0332584683071754E-11</v>
      </c>
      <c r="Y36" s="4">
        <f t="shared" si="10"/>
        <v>2.0413494300772187E-11</v>
      </c>
      <c r="Z36" s="4">
        <f t="shared" si="10"/>
        <v>2.0494311571761142E-11</v>
      </c>
      <c r="AA36" s="4">
        <f t="shared" si="10"/>
        <v>2.0575076122033645E-11</v>
      </c>
      <c r="AB36" s="4">
        <f t="shared" si="10"/>
        <v>2.0655821857700925E-11</v>
      </c>
      <c r="AC36" s="4">
        <f t="shared" si="10"/>
        <v>2.0736578036850027E-11</v>
      </c>
      <c r="AD36" s="4">
        <f t="shared" si="10"/>
        <v>2.081737010219809E-11</v>
      </c>
      <c r="AE36" s="4">
        <f t="shared" si="14"/>
        <v>2.0898220335808917E-11</v>
      </c>
      <c r="AF36" s="4">
        <f t="shared" si="14"/>
        <v>2.0979148379588854E-11</v>
      </c>
      <c r="AG36" s="4">
        <f t="shared" si="14"/>
        <v>2.1060171653247253E-11</v>
      </c>
      <c r="AH36" s="4">
        <f t="shared" si="14"/>
        <v>2.1141305693015072E-11</v>
      </c>
      <c r="AI36" s="4">
        <f t="shared" si="14"/>
        <v>2.1222564428470441E-11</v>
      </c>
      <c r="AJ36" s="4">
        <f t="shared" si="14"/>
        <v>2.1303960410547291E-11</v>
      </c>
      <c r="AK36" s="4">
        <f t="shared" si="14"/>
        <v>2.1385505000692069E-11</v>
      </c>
      <c r="AL36" s="4">
        <f t="shared" si="14"/>
        <v>2.1467208528840229E-11</v>
      </c>
      <c r="AM36" s="4">
        <f t="shared" si="14"/>
        <v>2.1549080426174297E-11</v>
      </c>
      <c r="AN36" s="4">
        <f t="shared" si="14"/>
        <v>2.1631129337337837E-11</v>
      </c>
      <c r="AO36" s="4">
        <f t="shared" si="14"/>
        <v>2.1713363215799826E-11</v>
      </c>
      <c r="AP36" s="4">
        <f t="shared" si="14"/>
        <v>2.1795789405312042E-11</v>
      </c>
      <c r="AQ36" s="4">
        <f t="shared" si="14"/>
        <v>2.18784147098203E-11</v>
      </c>
      <c r="AR36" s="4">
        <f t="shared" si="14"/>
        <v>2.196124545373582E-11</v>
      </c>
      <c r="AS36" s="4">
        <f t="shared" si="14"/>
        <v>2.2044287534116268E-11</v>
      </c>
      <c r="AT36" s="4">
        <f t="shared" si="14"/>
        <v>2.2127546466023234E-11</v>
      </c>
      <c r="AU36" s="4">
        <f t="shared" si="13"/>
        <v>2.2211027422097644E-11</v>
      </c>
      <c r="AV36" s="4">
        <f t="shared" si="13"/>
        <v>2.2294735267213997E-11</v>
      </c>
      <c r="AW36" s="4">
        <f t="shared" si="13"/>
        <v>2.2378674588928558E-11</v>
      </c>
      <c r="AX36" s="4">
        <f t="shared" si="13"/>
        <v>2.2462849724318441E-11</v>
      </c>
      <c r="AY36" s="4">
        <f t="shared" si="13"/>
        <v>2.2547264783712029E-11</v>
      </c>
      <c r="AZ36" s="4">
        <f t="shared" si="13"/>
        <v>2.2631923671732291E-11</v>
      </c>
      <c r="BA36" s="4">
        <f t="shared" si="13"/>
        <v>2.271683010600923E-11</v>
      </c>
      <c r="BB36" s="4">
        <f t="shared" si="11"/>
        <v>2.2801987633864062E-11</v>
      </c>
      <c r="BC36" s="4">
        <f t="shared" si="11"/>
        <v>2.2887399647222836E-11</v>
      </c>
      <c r="BD36" s="4">
        <f t="shared" si="11"/>
        <v>2.2891676987003054E-11</v>
      </c>
      <c r="BE36" s="4">
        <f t="shared" si="11"/>
        <v>2.2895954971546109E-11</v>
      </c>
      <c r="BF36" s="4">
        <f t="shared" si="11"/>
        <v>2.2900233601248538E-11</v>
      </c>
      <c r="BG36" s="4">
        <f t="shared" si="11"/>
        <v>2.2904512876506078E-11</v>
      </c>
      <c r="BH36" s="4">
        <f t="shared" si="11"/>
        <v>2.2908792797713669E-11</v>
      </c>
      <c r="BI36" s="4">
        <f t="shared" si="11"/>
        <v>2.291307336526545E-11</v>
      </c>
      <c r="BJ36" s="4">
        <f t="shared" si="11"/>
        <v>2.2917354579554769E-11</v>
      </c>
      <c r="BK36" s="4">
        <f t="shared" si="11"/>
        <v>2.2921636440974173E-11</v>
      </c>
      <c r="BL36" s="4">
        <f t="shared" si="11"/>
        <v>2.292591894991544E-11</v>
      </c>
      <c r="BM36" s="4">
        <f t="shared" si="11"/>
        <v>2.2930202106769548E-11</v>
      </c>
      <c r="BN36" s="4">
        <f t="shared" si="11"/>
        <v>2.2934485911926697E-11</v>
      </c>
      <c r="BO36" s="4">
        <f t="shared" si="11"/>
        <v>2.2938770365776324E-11</v>
      </c>
      <c r="BP36" s="4">
        <f t="shared" si="11"/>
        <v>2.2943055468707076E-11</v>
      </c>
      <c r="BQ36" s="4">
        <f t="shared" si="11"/>
        <v>2.2947341221106834E-11</v>
      </c>
      <c r="BR36" s="4">
        <f t="shared" si="7"/>
        <v>2.2951627623362726E-11</v>
      </c>
      <c r="BS36" s="4">
        <f t="shared" si="16"/>
        <v>2.2955914675861087E-11</v>
      </c>
      <c r="BT36" s="4">
        <f t="shared" si="16"/>
        <v>2.2960202378987526E-11</v>
      </c>
      <c r="BU36" s="4">
        <f t="shared" si="16"/>
        <v>2.2964490733126873E-11</v>
      </c>
      <c r="BV36" s="4">
        <f t="shared" si="16"/>
        <v>2.2968779738663209E-11</v>
      </c>
      <c r="BW36" s="4">
        <f t="shared" si="16"/>
        <v>2.2973069395979864E-11</v>
      </c>
      <c r="BX36" s="4">
        <f t="shared" si="16"/>
        <v>2.2977359705459426E-11</v>
      </c>
      <c r="BY36" s="4">
        <f t="shared" si="16"/>
        <v>2.2981650667483731E-11</v>
      </c>
      <c r="BZ36" s="4">
        <f t="shared" si="16"/>
        <v>2.2985942282433879E-11</v>
      </c>
      <c r="CA36" s="4">
        <f t="shared" si="16"/>
        <v>2.2990234550690241E-11</v>
      </c>
      <c r="CB36" s="4">
        <f t="shared" si="16"/>
        <v>2.2994527472632431E-11</v>
      </c>
      <c r="CC36" s="4">
        <f t="shared" si="16"/>
        <v>2.2998821048639347E-11</v>
      </c>
      <c r="CD36" s="4">
        <f t="shared" si="16"/>
        <v>2.3003115279089162E-11</v>
      </c>
      <c r="CE36" s="4">
        <f t="shared" si="16"/>
        <v>2.3007410164359315E-11</v>
      </c>
      <c r="CF36" s="4">
        <f t="shared" si="16"/>
        <v>2.3011705704826527E-11</v>
      </c>
      <c r="CG36" s="4">
        <f t="shared" si="16"/>
        <v>2.3016001900866796E-11</v>
      </c>
      <c r="CH36" s="4">
        <f t="shared" si="16"/>
        <v>2.3020298752855416E-11</v>
      </c>
      <c r="CI36" s="4">
        <f t="shared" si="15"/>
        <v>2.3024596261166945E-11</v>
      </c>
      <c r="CJ36" s="4">
        <f t="shared" si="15"/>
        <v>2.3028894426175253E-11</v>
      </c>
      <c r="CK36" s="4">
        <f t="shared" si="15"/>
        <v>2.3033193248253502E-11</v>
      </c>
      <c r="CL36" s="4">
        <f t="shared" si="15"/>
        <v>2.3037492727774136E-11</v>
      </c>
      <c r="CM36" s="4">
        <f t="shared" si="15"/>
        <v>2.3041792865108904E-11</v>
      </c>
      <c r="CN36" s="4">
        <f t="shared" si="15"/>
        <v>2.3046093660628863E-11</v>
      </c>
      <c r="CO36" s="4">
        <f t="shared" si="15"/>
        <v>2.3050395114704369E-11</v>
      </c>
      <c r="CP36" s="4">
        <f t="shared" si="15"/>
        <v>2.3054697227705094E-11</v>
      </c>
      <c r="CQ36" s="4">
        <f t="shared" si="15"/>
        <v>2.3059E-11</v>
      </c>
    </row>
    <row r="37" spans="1:95">
      <c r="A37" s="3">
        <v>35</v>
      </c>
      <c r="B37" s="17" t="str">
        <f>データファイル用!$B38</f>
        <v>MEWS Siding I - OSB</v>
      </c>
      <c r="C37" s="18">
        <f>データファイル用!G38</f>
        <v>1.7362E-12</v>
      </c>
      <c r="D37" s="19">
        <f>データファイル用!H38</f>
        <v>1.6454E-3</v>
      </c>
      <c r="E37" s="20">
        <f>データファイル用!I38</f>
        <v>-3.4899</v>
      </c>
      <c r="F37" s="42">
        <f>データファイル用!J38</f>
        <v>1.4213</v>
      </c>
      <c r="G37" s="4">
        <f t="shared" si="12"/>
        <v>0</v>
      </c>
      <c r="H37" s="4">
        <f t="shared" si="12"/>
        <v>5.3332557095151322E-14</v>
      </c>
      <c r="I37" s="4">
        <f t="shared" si="12"/>
        <v>5.4610497995312102E-14</v>
      </c>
      <c r="J37" s="4">
        <f t="shared" si="12"/>
        <v>5.6200618721459789E-14</v>
      </c>
      <c r="K37" s="4">
        <f t="shared" si="12"/>
        <v>5.8074762820262492E-14</v>
      </c>
      <c r="L37" s="4">
        <f t="shared" si="12"/>
        <v>6.022280780414537E-14</v>
      </c>
      <c r="M37" s="4">
        <f t="shared" si="12"/>
        <v>6.2644893935250525E-14</v>
      </c>
      <c r="N37" s="4">
        <f t="shared" si="12"/>
        <v>6.5347823685997155E-14</v>
      </c>
      <c r="O37" s="4">
        <f t="shared" si="12"/>
        <v>6.8343339943432243E-14</v>
      </c>
      <c r="P37" s="4">
        <f t="shared" si="12"/>
        <v>7.1647266947233519E-14</v>
      </c>
      <c r="Q37" s="4">
        <f t="shared" si="12"/>
        <v>7.5279094781910165E-14</v>
      </c>
      <c r="R37" s="4">
        <f t="shared" si="12"/>
        <v>7.9261817682857048E-14</v>
      </c>
      <c r="S37" s="4">
        <f t="shared" si="12"/>
        <v>8.3621933028315399E-14</v>
      </c>
      <c r="T37" s="4">
        <f t="shared" si="12"/>
        <v>8.8389552646753805E-14</v>
      </c>
      <c r="U37" s="4">
        <f t="shared" si="12"/>
        <v>9.3598600612246232E-14</v>
      </c>
      <c r="V37" s="4">
        <f t="shared" si="12"/>
        <v>9.9287083932961307E-14</v>
      </c>
      <c r="W37" s="4">
        <f t="shared" si="10"/>
        <v>1.0549742966210221E-13</v>
      </c>
      <c r="X37" s="4">
        <f t="shared" si="10"/>
        <v>1.1227688642165907E-13</v>
      </c>
      <c r="Y37" s="4">
        <f t="shared" si="10"/>
        <v>1.1967799135116924E-13</v>
      </c>
      <c r="Z37" s="4">
        <f t="shared" si="10"/>
        <v>1.277591057244966E-13</v>
      </c>
      <c r="AA37" s="4">
        <f t="shared" si="10"/>
        <v>1.365850242792978E-13</v>
      </c>
      <c r="AB37" s="4">
        <f t="shared" si="10"/>
        <v>1.4622766488940277E-13</v>
      </c>
      <c r="AC37" s="4">
        <f t="shared" si="10"/>
        <v>1.5676684671279065E-13</v>
      </c>
      <c r="AD37" s="4">
        <f t="shared" si="10"/>
        <v>1.6829116645602826E-13</v>
      </c>
      <c r="AE37" s="4">
        <f t="shared" si="14"/>
        <v>1.8089898397419844E-13</v>
      </c>
      <c r="AF37" s="4">
        <f t="shared" si="14"/>
        <v>1.946995301243023E-13</v>
      </c>
      <c r="AG37" s="4">
        <f t="shared" si="14"/>
        <v>2.0981415165383771E-13</v>
      </c>
      <c r="AH37" s="4">
        <f t="shared" si="14"/>
        <v>2.263777099760196E-13</v>
      </c>
      <c r="AI37" s="4">
        <f t="shared" si="14"/>
        <v>2.4454015300026953E-13</v>
      </c>
      <c r="AJ37" s="4">
        <f t="shared" si="14"/>
        <v>2.6446828179454849E-13</v>
      </c>
      <c r="AK37" s="4">
        <f t="shared" si="14"/>
        <v>2.8634773680187006E-13</v>
      </c>
      <c r="AL37" s="4">
        <f t="shared" si="14"/>
        <v>3.1038523166890738E-13</v>
      </c>
      <c r="AM37" s="4">
        <f t="shared" si="14"/>
        <v>3.3681106652827392E-13</v>
      </c>
      <c r="AN37" s="4">
        <f t="shared" si="14"/>
        <v>3.6588195687364942E-13</v>
      </c>
      <c r="AO37" s="4">
        <f t="shared" si="14"/>
        <v>3.9788421905322559E-13</v>
      </c>
      <c r="AP37" s="4">
        <f t="shared" si="14"/>
        <v>4.3313735896721081E-13</v>
      </c>
      <c r="AQ37" s="4">
        <f t="shared" si="14"/>
        <v>4.7199811688672501E-13</v>
      </c>
      <c r="AR37" s="4">
        <f t="shared" si="14"/>
        <v>5.1486502852579512E-13</v>
      </c>
      <c r="AS37" s="4">
        <f t="shared" si="14"/>
        <v>5.6218357072296154E-13</v>
      </c>
      <c r="AT37" s="4">
        <f t="shared" si="14"/>
        <v>6.144519694706492E-13</v>
      </c>
      <c r="AU37" s="4">
        <f t="shared" si="13"/>
        <v>6.7222775873687628E-13</v>
      </c>
      <c r="AV37" s="4">
        <f t="shared" si="13"/>
        <v>7.3613519074797878E-13</v>
      </c>
      <c r="AW37" s="4">
        <f t="shared" si="13"/>
        <v>8.0687361236433495E-13</v>
      </c>
      <c r="AX37" s="4">
        <f t="shared" si="13"/>
        <v>8.8522693813829031E-13</v>
      </c>
      <c r="AY37" s="4">
        <f t="shared" si="13"/>
        <v>9.7207436888738147E-13</v>
      </c>
      <c r="AZ37" s="4">
        <f t="shared" si="13"/>
        <v>1.0684025254834564E-12</v>
      </c>
      <c r="BA37" s="4">
        <f t="shared" si="13"/>
        <v>1.1753191914370283E-12</v>
      </c>
      <c r="BB37" s="4">
        <f t="shared" si="11"/>
        <v>1.2940688851926258E-12</v>
      </c>
      <c r="BC37" s="4">
        <f t="shared" si="11"/>
        <v>1.4260505143591095E-12</v>
      </c>
      <c r="BD37" s="4">
        <f t="shared" si="11"/>
        <v>1.433024355942582E-12</v>
      </c>
      <c r="BE37" s="4">
        <f t="shared" si="11"/>
        <v>1.4400353786318725E-12</v>
      </c>
      <c r="BF37" s="4">
        <f t="shared" si="11"/>
        <v>1.4470837925107597E-12</v>
      </c>
      <c r="BG37" s="4">
        <f t="shared" si="11"/>
        <v>1.4541698089071193E-12</v>
      </c>
      <c r="BH37" s="4">
        <f t="shared" si="11"/>
        <v>1.4612936404005831E-12</v>
      </c>
      <c r="BI37" s="4">
        <f t="shared" si="11"/>
        <v>1.4684555008302466E-12</v>
      </c>
      <c r="BJ37" s="4">
        <f t="shared" si="11"/>
        <v>1.4756556053024324E-12</v>
      </c>
      <c r="BK37" s="4">
        <f t="shared" si="11"/>
        <v>1.4828941701984925E-12</v>
      </c>
      <c r="BL37" s="4">
        <f t="shared" si="11"/>
        <v>1.4901714131826697E-12</v>
      </c>
      <c r="BM37" s="4">
        <f t="shared" si="11"/>
        <v>1.4974875532100037E-12</v>
      </c>
      <c r="BN37" s="4">
        <f t="shared" si="11"/>
        <v>1.5048428105342898E-12</v>
      </c>
      <c r="BO37" s="4">
        <f t="shared" si="11"/>
        <v>1.5122374067160865E-12</v>
      </c>
      <c r="BP37" s="4">
        <f t="shared" si="11"/>
        <v>1.5196715646307775E-12</v>
      </c>
      <c r="BQ37" s="4">
        <f t="shared" si="11"/>
        <v>1.5271455084766822E-12</v>
      </c>
      <c r="BR37" s="4">
        <f t="shared" si="7"/>
        <v>1.5346594637832176E-12</v>
      </c>
      <c r="BS37" s="4">
        <f t="shared" si="16"/>
        <v>1.5422136574191158E-12</v>
      </c>
      <c r="BT37" s="4">
        <f t="shared" si="16"/>
        <v>1.5498083176006898E-12</v>
      </c>
      <c r="BU37" s="4">
        <f t="shared" si="16"/>
        <v>1.5574436739001543E-12</v>
      </c>
      <c r="BV37" s="4">
        <f t="shared" si="16"/>
        <v>1.5651199572540008E-12</v>
      </c>
      <c r="BW37" s="4">
        <f t="shared" si="16"/>
        <v>1.572837399971422E-12</v>
      </c>
      <c r="BX37" s="4">
        <f t="shared" si="16"/>
        <v>1.5805962357427953E-12</v>
      </c>
      <c r="BY37" s="4">
        <f t="shared" si="16"/>
        <v>1.5883966996482157E-12</v>
      </c>
      <c r="BZ37" s="4">
        <f t="shared" si="16"/>
        <v>1.596239028166087E-12</v>
      </c>
      <c r="CA37" s="4">
        <f t="shared" si="16"/>
        <v>1.6041234591817658E-12</v>
      </c>
      <c r="CB37" s="4">
        <f t="shared" si="16"/>
        <v>1.6120502319962604E-12</v>
      </c>
      <c r="CC37" s="4">
        <f t="shared" si="16"/>
        <v>1.6200195873349879E-12</v>
      </c>
      <c r="CD37" s="4">
        <f t="shared" si="16"/>
        <v>1.6280317673565851E-12</v>
      </c>
      <c r="CE37" s="4">
        <f t="shared" si="16"/>
        <v>1.6360870156617743E-12</v>
      </c>
      <c r="CF37" s="4">
        <f t="shared" si="16"/>
        <v>1.6441855773022898E-12</v>
      </c>
      <c r="CG37" s="4">
        <f t="shared" si="16"/>
        <v>1.6523276987898596E-12</v>
      </c>
      <c r="CH37" s="4">
        <f t="shared" si="16"/>
        <v>1.6605136281052435E-12</v>
      </c>
      <c r="CI37" s="4">
        <f t="shared" si="15"/>
        <v>1.6687436147073303E-12</v>
      </c>
      <c r="CJ37" s="4">
        <f t="shared" si="15"/>
        <v>1.6770179095422944E-12</v>
      </c>
      <c r="CK37" s="4">
        <f t="shared" si="15"/>
        <v>1.6853367650528051E-12</v>
      </c>
      <c r="CL37" s="4">
        <f t="shared" si="15"/>
        <v>1.6937004351873068E-12</v>
      </c>
      <c r="CM37" s="4">
        <f t="shared" si="15"/>
        <v>1.7021091754093434E-12</v>
      </c>
      <c r="CN37" s="4">
        <f t="shared" si="15"/>
        <v>1.7105632427069563E-12</v>
      </c>
      <c r="CO37" s="4">
        <f t="shared" si="15"/>
        <v>1.7190628956021327E-12</v>
      </c>
      <c r="CP37" s="4">
        <f t="shared" si="15"/>
        <v>1.727608394160322E-12</v>
      </c>
      <c r="CQ37" s="4">
        <f t="shared" si="15"/>
        <v>1.7362000000000039E-12</v>
      </c>
    </row>
    <row r="38" spans="1:95">
      <c r="A38" s="3">
        <v>36</v>
      </c>
      <c r="B38" s="17" t="str">
        <f>データファイル用!$B39</f>
        <v>MEWS Siding II - Plywood</v>
      </c>
      <c r="C38" s="18">
        <f>データファイル用!G39</f>
        <v>4.7166000000000003E-12</v>
      </c>
      <c r="D38" s="19">
        <f>データファイル用!H39</f>
        <v>2.1179000000000001</v>
      </c>
      <c r="E38" s="20">
        <f>データファイル用!I39</f>
        <v>-1.349</v>
      </c>
      <c r="F38" s="42">
        <f>データファイル用!J39</f>
        <v>0.46764</v>
      </c>
      <c r="G38" s="4">
        <f t="shared" si="12"/>
        <v>0</v>
      </c>
      <c r="H38" s="4">
        <f t="shared" si="12"/>
        <v>3.8331190230087905E-16</v>
      </c>
      <c r="I38" s="4">
        <f t="shared" si="12"/>
        <v>1.8076096212519154E-15</v>
      </c>
      <c r="J38" s="4">
        <f t="shared" si="12"/>
        <v>4.5414784299669894E-15</v>
      </c>
      <c r="K38" s="4">
        <f t="shared" si="12"/>
        <v>8.7991307561629109E-15</v>
      </c>
      <c r="L38" s="4">
        <f t="shared" si="12"/>
        <v>1.4772834258617311E-14</v>
      </c>
      <c r="M38" s="4">
        <f t="shared" si="12"/>
        <v>2.2642596678305067E-14</v>
      </c>
      <c r="N38" s="4">
        <f t="shared" si="12"/>
        <v>3.2580701876807074E-14</v>
      </c>
      <c r="O38" s="4">
        <f t="shared" si="12"/>
        <v>4.4754258380144815E-14</v>
      </c>
      <c r="P38" s="4">
        <f t="shared" si="12"/>
        <v>5.932679365988331E-14</v>
      </c>
      <c r="Q38" s="4">
        <f t="shared" si="12"/>
        <v>7.6459326235899455E-14</v>
      </c>
      <c r="R38" s="4">
        <f t="shared" si="12"/>
        <v>9.6311125447813744E-14</v>
      </c>
      <c r="S38" s="4">
        <f t="shared" si="12"/>
        <v>1.1904027185654739E-13</v>
      </c>
      <c r="T38" s="4">
        <f t="shared" si="12"/>
        <v>1.4480408387953321E-13</v>
      </c>
      <c r="U38" s="4">
        <f t="shared" si="12"/>
        <v>1.7375945105978787E-13</v>
      </c>
      <c r="V38" s="4">
        <f t="shared" si="12"/>
        <v>2.0606310003974161E-13</v>
      </c>
      <c r="W38" s="4">
        <f t="shared" si="10"/>
        <v>2.4187181072010952E-13</v>
      </c>
      <c r="X38" s="4">
        <f t="shared" si="10"/>
        <v>2.813425947044114E-13</v>
      </c>
      <c r="Y38" s="4">
        <f t="shared" si="10"/>
        <v>3.2463284463551828E-13</v>
      </c>
      <c r="Z38" s="4">
        <f t="shared" si="10"/>
        <v>3.7190046068936134E-13</v>
      </c>
      <c r="AA38" s="4">
        <f t="shared" si="10"/>
        <v>4.2330395887965567E-13</v>
      </c>
      <c r="AB38" s="4">
        <f t="shared" si="10"/>
        <v>4.7900256469237238E-13</v>
      </c>
      <c r="AC38" s="4">
        <f t="shared" si="10"/>
        <v>5.3915629475245241E-13</v>
      </c>
      <c r="AD38" s="4">
        <f t="shared" si="10"/>
        <v>6.0392602862752491E-13</v>
      </c>
      <c r="AE38" s="4">
        <f t="shared" si="14"/>
        <v>6.7347357242851156E-13</v>
      </c>
      <c r="AF38" s="4">
        <f t="shared" si="14"/>
        <v>7.4796171553100348E-13</v>
      </c>
      <c r="AG38" s="4">
        <f t="shared" si="14"/>
        <v>8.2755428148417702E-13</v>
      </c>
      <c r="AH38" s="4">
        <f t="shared" si="14"/>
        <v>9.1241617397487389E-13</v>
      </c>
      <c r="AI38" s="4">
        <f t="shared" si="14"/>
        <v>1.0027134185585507E-12</v>
      </c>
      <c r="AJ38" s="4">
        <f t="shared" si="14"/>
        <v>1.0986132007454738E-12</v>
      </c>
      <c r="AK38" s="4">
        <f t="shared" si="14"/>
        <v>1.2002839009321205E-12</v>
      </c>
      <c r="AL38" s="4">
        <f t="shared" si="14"/>
        <v>1.3078951265884967E-12</v>
      </c>
      <c r="AM38" s="4">
        <f t="shared" si="14"/>
        <v>1.4216177420478072E-12</v>
      </c>
      <c r="AN38" s="4">
        <f t="shared" si="14"/>
        <v>1.5416238961923597E-12</v>
      </c>
      <c r="AO38" s="4">
        <f t="shared" si="14"/>
        <v>1.6680870482863626E-12</v>
      </c>
      <c r="AP38" s="4">
        <f t="shared" si="14"/>
        <v>1.8011819921704632E-12</v>
      </c>
      <c r="AQ38" s="4">
        <f t="shared" si="14"/>
        <v>1.9410848790030639E-12</v>
      </c>
      <c r="AR38" s="4">
        <f t="shared" si="14"/>
        <v>2.0879732387084639E-12</v>
      </c>
      <c r="AS38" s="4">
        <f t="shared" si="14"/>
        <v>2.2420260002708342E-12</v>
      </c>
      <c r="AT38" s="4">
        <f t="shared" si="14"/>
        <v>2.4034235109952675E-12</v>
      </c>
      <c r="AU38" s="4">
        <f t="shared" si="13"/>
        <v>2.5723475548419553E-12</v>
      </c>
      <c r="AV38" s="4">
        <f t="shared" si="13"/>
        <v>2.7489813699267E-12</v>
      </c>
      <c r="AW38" s="4">
        <f t="shared" si="13"/>
        <v>2.9335096652698247E-12</v>
      </c>
      <c r="AX38" s="4">
        <f t="shared" si="13"/>
        <v>3.1261186368660671E-12</v>
      </c>
      <c r="AY38" s="4">
        <f t="shared" si="13"/>
        <v>3.3269959831397593E-12</v>
      </c>
      <c r="AZ38" s="4">
        <f t="shared" si="13"/>
        <v>3.5363309198425094E-12</v>
      </c>
      <c r="BA38" s="4">
        <f t="shared" si="13"/>
        <v>3.754314194444327E-12</v>
      </c>
      <c r="BB38" s="4">
        <f t="shared" si="11"/>
        <v>3.9811381000637848E-12</v>
      </c>
      <c r="BC38" s="4">
        <f t="shared" si="11"/>
        <v>4.2169964889779927E-12</v>
      </c>
      <c r="BD38" s="4">
        <f t="shared" si="11"/>
        <v>4.2290300623066108E-12</v>
      </c>
      <c r="BE38" s="4">
        <f t="shared" si="11"/>
        <v>4.241086734607165E-12</v>
      </c>
      <c r="BF38" s="4">
        <f t="shared" si="11"/>
        <v>4.2531665304212607E-12</v>
      </c>
      <c r="BG38" s="4">
        <f t="shared" si="11"/>
        <v>4.2652694743004223E-12</v>
      </c>
      <c r="BH38" s="4">
        <f t="shared" si="11"/>
        <v>4.2773955908060913E-12</v>
      </c>
      <c r="BI38" s="4">
        <f t="shared" si="11"/>
        <v>4.2895449045096323E-12</v>
      </c>
      <c r="BJ38" s="4">
        <f t="shared" si="11"/>
        <v>4.3017174399923345E-12</v>
      </c>
      <c r="BK38" s="4">
        <f t="shared" si="11"/>
        <v>4.3139132218454195E-12</v>
      </c>
      <c r="BL38" s="4">
        <f t="shared" si="11"/>
        <v>4.3261322746700434E-12</v>
      </c>
      <c r="BM38" s="4">
        <f t="shared" si="11"/>
        <v>4.3383746230773011E-12</v>
      </c>
      <c r="BN38" s="4">
        <f t="shared" si="11"/>
        <v>4.350640291688227E-12</v>
      </c>
      <c r="BO38" s="4">
        <f t="shared" si="11"/>
        <v>4.3629293051338047E-12</v>
      </c>
      <c r="BP38" s="4">
        <f t="shared" si="11"/>
        <v>4.3752416880549667E-12</v>
      </c>
      <c r="BQ38" s="4">
        <f t="shared" si="11"/>
        <v>4.3875774651025985E-12</v>
      </c>
      <c r="BR38" s="4">
        <f t="shared" si="7"/>
        <v>4.3999366609375455E-12</v>
      </c>
      <c r="BS38" s="4">
        <f t="shared" si="16"/>
        <v>4.4123193002306109E-12</v>
      </c>
      <c r="BT38" s="4">
        <f t="shared" si="16"/>
        <v>4.4247254076625674E-12</v>
      </c>
      <c r="BU38" s="4">
        <f t="shared" si="16"/>
        <v>4.4371550079241556E-12</v>
      </c>
      <c r="BV38" s="4">
        <f t="shared" si="16"/>
        <v>4.4496081257160902E-12</v>
      </c>
      <c r="BW38" s="4">
        <f t="shared" si="16"/>
        <v>4.4620847857490584E-12</v>
      </c>
      <c r="BX38" s="4">
        <f t="shared" si="16"/>
        <v>4.4745850127437357E-12</v>
      </c>
      <c r="BY38" s="4">
        <f t="shared" si="16"/>
        <v>4.4871088314307771E-12</v>
      </c>
      <c r="BZ38" s="4">
        <f t="shared" si="16"/>
        <v>4.4996562665508292E-12</v>
      </c>
      <c r="CA38" s="4">
        <f t="shared" si="16"/>
        <v>4.512227342854526E-12</v>
      </c>
      <c r="CB38" s="4">
        <f t="shared" si="16"/>
        <v>4.5248220851025063E-12</v>
      </c>
      <c r="CC38" s="4">
        <f t="shared" si="16"/>
        <v>4.5374405180653996E-12</v>
      </c>
      <c r="CD38" s="4">
        <f t="shared" si="16"/>
        <v>4.5500826665238478E-12</v>
      </c>
      <c r="CE38" s="4">
        <f t="shared" si="16"/>
        <v>4.5627485552684936E-12</v>
      </c>
      <c r="CF38" s="4">
        <f t="shared" si="16"/>
        <v>4.5754382090999952E-12</v>
      </c>
      <c r="CG38" s="4">
        <f t="shared" si="16"/>
        <v>4.5881516528290261E-12</v>
      </c>
      <c r="CH38" s="4">
        <f t="shared" si="16"/>
        <v>4.6008889112762779E-12</v>
      </c>
      <c r="CI38" s="4">
        <f t="shared" si="15"/>
        <v>4.6136500092724639E-12</v>
      </c>
      <c r="CJ38" s="4">
        <f t="shared" si="15"/>
        <v>4.6264349716583282E-12</v>
      </c>
      <c r="CK38" s="4">
        <f t="shared" si="15"/>
        <v>4.6392438232846408E-12</v>
      </c>
      <c r="CL38" s="4">
        <f t="shared" si="15"/>
        <v>4.6520765890122091E-12</v>
      </c>
      <c r="CM38" s="4">
        <f t="shared" si="15"/>
        <v>4.6649332937118799E-12</v>
      </c>
      <c r="CN38" s="4">
        <f t="shared" si="15"/>
        <v>4.6778139622645368E-12</v>
      </c>
      <c r="CO38" s="4">
        <f t="shared" si="15"/>
        <v>4.6907186195611138E-12</v>
      </c>
      <c r="CP38" s="4">
        <f t="shared" si="15"/>
        <v>4.7036472905025918E-12</v>
      </c>
      <c r="CQ38" s="4">
        <f t="shared" si="15"/>
        <v>4.7166000000000052E-12</v>
      </c>
    </row>
    <row r="39" spans="1:95">
      <c r="A39" s="3">
        <v>37</v>
      </c>
      <c r="B39" s="17" t="str">
        <f>データファイル用!$B40</f>
        <v>MEWS Siding III - Fibreboard</v>
      </c>
      <c r="C39" s="18">
        <f>データファイル用!G40</f>
        <v>8.5431999999999994E-12</v>
      </c>
      <c r="D39" s="19">
        <f>データファイル用!H40</f>
        <v>2.7275000000000001E-2</v>
      </c>
      <c r="E39" s="20">
        <f>データファイル用!I40</f>
        <v>-1.42</v>
      </c>
      <c r="F39" s="42">
        <f>データファイル用!J40</f>
        <v>1.0923</v>
      </c>
      <c r="G39" s="4">
        <f t="shared" si="12"/>
        <v>0</v>
      </c>
      <c r="H39" s="4">
        <f t="shared" si="12"/>
        <v>1.8931229935931946E-12</v>
      </c>
      <c r="I39" s="4">
        <f t="shared" si="12"/>
        <v>1.9729727034631279E-12</v>
      </c>
      <c r="J39" s="4">
        <f t="shared" si="12"/>
        <v>2.042377625683205E-12</v>
      </c>
      <c r="K39" s="4">
        <f t="shared" si="12"/>
        <v>2.1090209104713775E-12</v>
      </c>
      <c r="L39" s="4">
        <f t="shared" si="12"/>
        <v>2.1752528643067342E-12</v>
      </c>
      <c r="M39" s="4">
        <f t="shared" si="12"/>
        <v>2.2421121009693834E-12</v>
      </c>
      <c r="N39" s="4">
        <f t="shared" si="12"/>
        <v>2.3101613036299782E-12</v>
      </c>
      <c r="O39" s="4">
        <f t="shared" si="12"/>
        <v>2.3797516976007029E-12</v>
      </c>
      <c r="P39" s="4">
        <f t="shared" si="12"/>
        <v>2.4511279783084756E-12</v>
      </c>
      <c r="Q39" s="4">
        <f t="shared" si="12"/>
        <v>2.5244764981125077E-12</v>
      </c>
      <c r="R39" s="4">
        <f t="shared" si="12"/>
        <v>2.5999498210497525E-12</v>
      </c>
      <c r="S39" s="4">
        <f t="shared" si="12"/>
        <v>2.677680259168508E-12</v>
      </c>
      <c r="T39" s="4">
        <f t="shared" si="12"/>
        <v>2.7577878144656033E-12</v>
      </c>
      <c r="U39" s="4">
        <f t="shared" si="12"/>
        <v>2.8403850840066157E-12</v>
      </c>
      <c r="V39" s="4">
        <f t="shared" si="12"/>
        <v>2.9255804253382567E-12</v>
      </c>
      <c r="W39" s="4">
        <f t="shared" si="10"/>
        <v>3.0134800801674113E-12</v>
      </c>
      <c r="X39" s="4">
        <f t="shared" si="10"/>
        <v>3.1041896508210177E-12</v>
      </c>
      <c r="Y39" s="4">
        <f t="shared" si="10"/>
        <v>3.1978151619441082E-12</v>
      </c>
      <c r="Z39" s="4">
        <f t="shared" si="10"/>
        <v>3.2944638493801726E-12</v>
      </c>
      <c r="AA39" s="4">
        <f t="shared" si="10"/>
        <v>3.3942447656381433E-12</v>
      </c>
      <c r="AB39" s="4">
        <f t="shared" si="10"/>
        <v>3.4972692598147367E-12</v>
      </c>
      <c r="AC39" s="4">
        <f t="shared" si="10"/>
        <v>3.6036513703485646E-12</v>
      </c>
      <c r="AD39" s="4">
        <f t="shared" si="10"/>
        <v>3.7135081566173408E-12</v>
      </c>
      <c r="AE39" s="4">
        <f t="shared" si="14"/>
        <v>3.8269599873623137E-12</v>
      </c>
      <c r="AF39" s="4">
        <f t="shared" si="14"/>
        <v>3.9441307986039903E-12</v>
      </c>
      <c r="AG39" s="4">
        <f t="shared" si="14"/>
        <v>4.0651483301212611E-12</v>
      </c>
      <c r="AH39" s="4">
        <f t="shared" si="14"/>
        <v>4.1901443470996397E-12</v>
      </c>
      <c r="AI39" s="4">
        <f t="shared" si="14"/>
        <v>4.3192548518352429E-12</v>
      </c>
      <c r="AJ39" s="4">
        <f t="shared" si="14"/>
        <v>4.4526202891660506E-12</v>
      </c>
      <c r="AK39" s="4">
        <f t="shared" si="14"/>
        <v>4.5903857484328071E-12</v>
      </c>
      <c r="AL39" s="4">
        <f t="shared" si="14"/>
        <v>4.7327011641430336E-12</v>
      </c>
      <c r="AM39" s="4">
        <f t="shared" si="14"/>
        <v>4.879721517052209E-12</v>
      </c>
      <c r="AN39" s="4">
        <f t="shared" si="14"/>
        <v>5.0316070370377087E-12</v>
      </c>
      <c r="AO39" s="4">
        <f t="shared" si="14"/>
        <v>5.1885234088897837E-12</v>
      </c>
      <c r="AP39" s="4">
        <f t="shared" si="14"/>
        <v>5.3506419819563735E-12</v>
      </c>
      <c r="AQ39" s="4">
        <f t="shared" si="14"/>
        <v>5.5181399844378914E-12</v>
      </c>
      <c r="AR39" s="4">
        <f t="shared" si="14"/>
        <v>5.6912007430225492E-12</v>
      </c>
      <c r="AS39" s="4">
        <f t="shared" si="14"/>
        <v>5.8700139084733964E-12</v>
      </c>
      <c r="AT39" s="4">
        <f t="shared" si="14"/>
        <v>6.0547756877188908E-12</v>
      </c>
      <c r="AU39" s="4">
        <f t="shared" si="13"/>
        <v>6.2456890829546903E-12</v>
      </c>
      <c r="AV39" s="4">
        <f t="shared" si="13"/>
        <v>6.4429641382320094E-12</v>
      </c>
      <c r="AW39" s="4">
        <f t="shared" si="13"/>
        <v>6.6468181939848293E-12</v>
      </c>
      <c r="AX39" s="4">
        <f t="shared" si="13"/>
        <v>6.8574761499323479E-12</v>
      </c>
      <c r="AY39" s="4">
        <f t="shared" si="13"/>
        <v>7.0751707367829476E-12</v>
      </c>
      <c r="AZ39" s="4">
        <f t="shared" si="13"/>
        <v>7.300142797160583E-12</v>
      </c>
      <c r="BA39" s="4">
        <f t="shared" si="13"/>
        <v>7.5326415761726911E-12</v>
      </c>
      <c r="BB39" s="4">
        <f t="shared" si="11"/>
        <v>7.7729250220402383E-12</v>
      </c>
      <c r="BC39" s="4">
        <f t="shared" si="11"/>
        <v>8.0212600972144278E-12</v>
      </c>
      <c r="BD39" s="4">
        <f t="shared" si="11"/>
        <v>8.0338931217201299E-12</v>
      </c>
      <c r="BE39" s="4">
        <f t="shared" si="11"/>
        <v>8.046546999198072E-12</v>
      </c>
      <c r="BF39" s="4">
        <f t="shared" si="11"/>
        <v>8.0592217648701135E-12</v>
      </c>
      <c r="BG39" s="4">
        <f t="shared" si="11"/>
        <v>8.0719174540187499E-12</v>
      </c>
      <c r="BH39" s="4">
        <f t="shared" si="11"/>
        <v>8.0846341019872182E-12</v>
      </c>
      <c r="BI39" s="4">
        <f t="shared" si="11"/>
        <v>8.0973717441796063E-12</v>
      </c>
      <c r="BJ39" s="4">
        <f t="shared" si="11"/>
        <v>8.1101304160609565E-12</v>
      </c>
      <c r="BK39" s="4">
        <f t="shared" si="11"/>
        <v>8.1229101531573693E-12</v>
      </c>
      <c r="BL39" s="4">
        <f t="shared" si="11"/>
        <v>8.1357109910561173E-12</v>
      </c>
      <c r="BM39" s="4">
        <f t="shared" si="11"/>
        <v>8.1485329654057562E-12</v>
      </c>
      <c r="BN39" s="4">
        <f t="shared" si="11"/>
        <v>8.1613761119162172E-12</v>
      </c>
      <c r="BO39" s="4">
        <f t="shared" si="11"/>
        <v>8.174240466358926E-12</v>
      </c>
      <c r="BP39" s="4">
        <f t="shared" si="11"/>
        <v>8.1871260645669137E-12</v>
      </c>
      <c r="BQ39" s="4">
        <f t="shared" si="11"/>
        <v>8.2000329424349109E-12</v>
      </c>
      <c r="BR39" s="4">
        <f t="shared" si="7"/>
        <v>8.2129611359194699E-12</v>
      </c>
      <c r="BS39" s="4">
        <f t="shared" si="16"/>
        <v>8.2259106810390704E-12</v>
      </c>
      <c r="BT39" s="4">
        <f t="shared" si="16"/>
        <v>8.2388816138742207E-12</v>
      </c>
      <c r="BU39" s="4">
        <f t="shared" si="16"/>
        <v>8.2518739705675744E-12</v>
      </c>
      <c r="BV39" s="4">
        <f t="shared" si="16"/>
        <v>8.264887787324037E-12</v>
      </c>
      <c r="BW39" s="4">
        <f t="shared" si="16"/>
        <v>8.2779231004108722E-12</v>
      </c>
      <c r="BX39" s="4">
        <f t="shared" si="16"/>
        <v>8.290979946157817E-12</v>
      </c>
      <c r="BY39" s="4">
        <f t="shared" si="16"/>
        <v>8.3040583609571897E-12</v>
      </c>
      <c r="BZ39" s="4">
        <f t="shared" si="16"/>
        <v>8.3171583812639968E-12</v>
      </c>
      <c r="CA39" s="4">
        <f t="shared" si="16"/>
        <v>8.3302800435960408E-12</v>
      </c>
      <c r="CB39" s="4">
        <f t="shared" si="16"/>
        <v>8.3434233845340401E-12</v>
      </c>
      <c r="CC39" s="4">
        <f t="shared" si="16"/>
        <v>8.3565884407217323E-12</v>
      </c>
      <c r="CD39" s="4">
        <f t="shared" si="16"/>
        <v>8.3697752488659859E-12</v>
      </c>
      <c r="CE39" s="4">
        <f t="shared" si="16"/>
        <v>8.3829838457369079E-12</v>
      </c>
      <c r="CF39" s="4">
        <f t="shared" si="16"/>
        <v>8.3962142681679642E-12</v>
      </c>
      <c r="CG39" s="4">
        <f t="shared" si="16"/>
        <v>8.4094665530560791E-12</v>
      </c>
      <c r="CH39" s="4">
        <f t="shared" si="16"/>
        <v>8.4227407373617584E-12</v>
      </c>
      <c r="CI39" s="4">
        <f t="shared" si="15"/>
        <v>8.4360368581091927E-12</v>
      </c>
      <c r="CJ39" s="4">
        <f t="shared" si="15"/>
        <v>8.4493549523863658E-12</v>
      </c>
      <c r="CK39" s="4">
        <f t="shared" si="15"/>
        <v>8.4626950573451835E-12</v>
      </c>
      <c r="CL39" s="4">
        <f t="shared" si="15"/>
        <v>8.4760572102015633E-12</v>
      </c>
      <c r="CM39" s="4">
        <f t="shared" si="15"/>
        <v>8.4894414482355658E-12</v>
      </c>
      <c r="CN39" s="4">
        <f t="shared" si="15"/>
        <v>8.5028478087914943E-12</v>
      </c>
      <c r="CO39" s="4">
        <f t="shared" si="15"/>
        <v>8.5162763292780231E-12</v>
      </c>
      <c r="CP39" s="4">
        <f t="shared" si="15"/>
        <v>8.5297270471682839E-12</v>
      </c>
      <c r="CQ39" s="4">
        <f t="shared" si="15"/>
        <v>8.5432000000000058E-12</v>
      </c>
    </row>
    <row r="40" spans="1:95">
      <c r="A40" s="3">
        <v>38</v>
      </c>
      <c r="B40" s="17" t="str">
        <f>データファイル用!$B41</f>
        <v>MEWS Siding IV - Fibreboard</v>
      </c>
      <c r="C40" s="18">
        <f>データファイル用!G41</f>
        <v>5.9021999999999996E-12</v>
      </c>
      <c r="D40" s="19">
        <f>データファイル用!H41</f>
        <v>1.0795999999999999</v>
      </c>
      <c r="E40" s="20">
        <f>データファイル用!I41</f>
        <v>-0.71948000000000001</v>
      </c>
      <c r="F40" s="42">
        <f>データファイル用!J41</f>
        <v>0.82594000000000001</v>
      </c>
      <c r="G40" s="4">
        <f t="shared" si="12"/>
        <v>0</v>
      </c>
      <c r="H40" s="4">
        <f t="shared" si="12"/>
        <v>4.3319810614431492E-14</v>
      </c>
      <c r="I40" s="4">
        <f t="shared" si="12"/>
        <v>9.3587707035130663E-14</v>
      </c>
      <c r="J40" s="4">
        <f t="shared" si="12"/>
        <v>1.4792218934810783E-13</v>
      </c>
      <c r="K40" s="4">
        <f t="shared" si="12"/>
        <v>2.0564716928260914E-13</v>
      </c>
      <c r="L40" s="4">
        <f t="shared" si="12"/>
        <v>2.6643970941075765E-13</v>
      </c>
      <c r="M40" s="4">
        <f t="shared" si="12"/>
        <v>3.3011449729675504E-13</v>
      </c>
      <c r="N40" s="4">
        <f t="shared" si="12"/>
        <v>3.9655556972679251E-13</v>
      </c>
      <c r="O40" s="4">
        <f t="shared" si="12"/>
        <v>4.6568725320038192E-13</v>
      </c>
      <c r="P40" s="4">
        <f t="shared" si="12"/>
        <v>5.37459557045384E-13</v>
      </c>
      <c r="Q40" s="4">
        <f t="shared" si="12"/>
        <v>6.11839981578988E-13</v>
      </c>
      <c r="R40" s="4">
        <f t="shared" si="12"/>
        <v>6.8880854983027969E-13</v>
      </c>
      <c r="S40" s="4">
        <f t="shared" si="12"/>
        <v>7.683546111448557E-13</v>
      </c>
      <c r="T40" s="4">
        <f t="shared" si="12"/>
        <v>8.5047468757331988E-13</v>
      </c>
      <c r="U40" s="4">
        <f t="shared" si="12"/>
        <v>9.3517096794871755E-13</v>
      </c>
      <c r="V40" s="4">
        <f t="shared" si="12"/>
        <v>1.0224502222338528E-12</v>
      </c>
      <c r="W40" s="4">
        <f t="shared" si="10"/>
        <v>1.1123229986318465E-12</v>
      </c>
      <c r="X40" s="4">
        <f t="shared" si="10"/>
        <v>1.2048030168419312E-12</v>
      </c>
      <c r="Y40" s="4">
        <f t="shared" si="10"/>
        <v>1.2999067009740138E-12</v>
      </c>
      <c r="Z40" s="4">
        <f t="shared" si="10"/>
        <v>1.3976528141737093E-12</v>
      </c>
      <c r="AA40" s="4">
        <f t="shared" si="10"/>
        <v>1.4980621687974839E-12</v>
      </c>
      <c r="AB40" s="4">
        <f t="shared" si="10"/>
        <v>1.6011573936914472E-12</v>
      </c>
      <c r="AC40" s="4">
        <f t="shared" si="10"/>
        <v>1.7069627453041978E-12</v>
      </c>
      <c r="AD40" s="4">
        <f t="shared" si="10"/>
        <v>1.8155039529168133E-12</v>
      </c>
      <c r="AE40" s="4">
        <f t="shared" si="14"/>
        <v>1.9268080907603074E-12</v>
      </c>
      <c r="AF40" s="4">
        <f t="shared" si="14"/>
        <v>2.0409034715635762E-12</v>
      </c>
      <c r="AG40" s="4">
        <f t="shared" si="14"/>
        <v>2.1578195573589557E-12</v>
      </c>
      <c r="AH40" s="4">
        <f t="shared" si="14"/>
        <v>2.2775868843163696E-12</v>
      </c>
      <c r="AI40" s="4">
        <f t="shared" si="14"/>
        <v>2.4002369990802307E-12</v>
      </c>
      <c r="AJ40" s="4">
        <f t="shared" si="14"/>
        <v>2.5258024046135229E-12</v>
      </c>
      <c r="AK40" s="4">
        <f t="shared" si="14"/>
        <v>2.6543165139579817E-12</v>
      </c>
      <c r="AL40" s="4">
        <f t="shared" si="14"/>
        <v>2.785813610630953E-12</v>
      </c>
      <c r="AM40" s="4">
        <f t="shared" si="14"/>
        <v>2.9203288146220742E-12</v>
      </c>
      <c r="AN40" s="4">
        <f t="shared" si="14"/>
        <v>3.0578980531433302E-12</v>
      </c>
      <c r="AO40" s="4">
        <f t="shared" si="14"/>
        <v>3.1985580354367722E-12</v>
      </c>
      <c r="AP40" s="4">
        <f t="shared" si="14"/>
        <v>3.3423462310644452E-12</v>
      </c>
      <c r="AQ40" s="4">
        <f t="shared" si="14"/>
        <v>3.4893008512017074E-12</v>
      </c>
      <c r="AR40" s="4">
        <f t="shared" si="14"/>
        <v>3.6394608325333402E-12</v>
      </c>
      <c r="AS40" s="4">
        <f t="shared" si="14"/>
        <v>3.7928658234154578E-12</v>
      </c>
      <c r="AT40" s="4">
        <f t="shared" si="14"/>
        <v>3.9495561720184378E-12</v>
      </c>
      <c r="AU40" s="4">
        <f t="shared" si="13"/>
        <v>4.1095729162090168E-12</v>
      </c>
      <c r="AV40" s="4">
        <f t="shared" si="13"/>
        <v>4.2729577749652866E-12</v>
      </c>
      <c r="AW40" s="4">
        <f t="shared" si="13"/>
        <v>4.4397531411479519E-12</v>
      </c>
      <c r="AX40" s="4">
        <f t="shared" si="13"/>
        <v>4.6100020754759798E-12</v>
      </c>
      <c r="AY40" s="4">
        <f t="shared" si="13"/>
        <v>4.7837483015755859E-12</v>
      </c>
      <c r="AZ40" s="4">
        <f t="shared" si="13"/>
        <v>4.9610362019890611E-12</v>
      </c>
      <c r="BA40" s="4">
        <f t="shared" si="13"/>
        <v>5.1419108150448384E-12</v>
      </c>
      <c r="BB40" s="4">
        <f t="shared" si="11"/>
        <v>5.3264178325028579E-12</v>
      </c>
      <c r="BC40" s="4">
        <f t="shared" si="11"/>
        <v>5.5146035979000691E-12</v>
      </c>
      <c r="BD40" s="4">
        <f t="shared" si="11"/>
        <v>5.5241102934927666E-12</v>
      </c>
      <c r="BE40" s="4">
        <f t="shared" si="11"/>
        <v>5.5336263092228849E-12</v>
      </c>
      <c r="BF40" s="4">
        <f t="shared" si="11"/>
        <v>5.5431516510114597E-12</v>
      </c>
      <c r="BG40" s="4">
        <f t="shared" si="11"/>
        <v>5.5526863247835842E-12</v>
      </c>
      <c r="BH40" s="4">
        <f t="shared" si="11"/>
        <v>5.5622303364684194E-12</v>
      </c>
      <c r="BI40" s="4">
        <f t="shared" si="11"/>
        <v>5.5717836919991905E-12</v>
      </c>
      <c r="BJ40" s="4">
        <f t="shared" si="11"/>
        <v>5.5813463973131818E-12</v>
      </c>
      <c r="BK40" s="4">
        <f t="shared" si="11"/>
        <v>5.5909184583517483E-12</v>
      </c>
      <c r="BL40" s="4">
        <f t="shared" si="11"/>
        <v>5.600499881060303E-12</v>
      </c>
      <c r="BM40" s="4">
        <f t="shared" si="11"/>
        <v>5.6100906713883246E-12</v>
      </c>
      <c r="BN40" s="4">
        <f t="shared" si="11"/>
        <v>5.6196908352893553E-12</v>
      </c>
      <c r="BO40" s="4">
        <f t="shared" si="11"/>
        <v>5.6293003787210034E-12</v>
      </c>
      <c r="BP40" s="4">
        <f t="shared" si="11"/>
        <v>5.6389193076449381E-12</v>
      </c>
      <c r="BQ40" s="4">
        <f t="shared" si="11"/>
        <v>5.6485476280268926E-12</v>
      </c>
      <c r="BR40" s="4">
        <f t="shared" si="7"/>
        <v>5.658185345836665E-12</v>
      </c>
      <c r="BS40" s="4">
        <f t="shared" si="16"/>
        <v>5.6678324670481196E-12</v>
      </c>
      <c r="BT40" s="4">
        <f t="shared" si="16"/>
        <v>5.6774889976391794E-12</v>
      </c>
      <c r="BU40" s="4">
        <f t="shared" si="16"/>
        <v>5.6871549435918359E-12</v>
      </c>
      <c r="BV40" s="4">
        <f t="shared" si="16"/>
        <v>5.6968303108921425E-12</v>
      </c>
      <c r="BW40" s="4">
        <f t="shared" si="16"/>
        <v>5.7065151055302196E-12</v>
      </c>
      <c r="BX40" s="4">
        <f t="shared" si="16"/>
        <v>5.7162093335002485E-12</v>
      </c>
      <c r="BY40" s="4">
        <f t="shared" si="16"/>
        <v>5.7259130008004777E-12</v>
      </c>
      <c r="BZ40" s="4">
        <f t="shared" si="16"/>
        <v>5.7356261134332181E-12</v>
      </c>
      <c r="CA40" s="4">
        <f t="shared" si="16"/>
        <v>5.7453486774048463E-12</v>
      </c>
      <c r="CB40" s="4">
        <f t="shared" si="16"/>
        <v>5.7550806987258052E-12</v>
      </c>
      <c r="CC40" s="4">
        <f t="shared" si="16"/>
        <v>5.7648221834105993E-12</v>
      </c>
      <c r="CD40" s="4">
        <f t="shared" si="16"/>
        <v>5.7745731374778013E-12</v>
      </c>
      <c r="CE40" s="4">
        <f t="shared" si="16"/>
        <v>5.7843335669500478E-12</v>
      </c>
      <c r="CF40" s="4">
        <f t="shared" si="16"/>
        <v>5.794103477854041E-12</v>
      </c>
      <c r="CG40" s="4">
        <f t="shared" si="16"/>
        <v>5.803882876220548E-12</v>
      </c>
      <c r="CH40" s="4">
        <f t="shared" si="16"/>
        <v>5.8136717680844021E-12</v>
      </c>
      <c r="CI40" s="4">
        <f t="shared" si="15"/>
        <v>5.8234701594845051E-12</v>
      </c>
      <c r="CJ40" s="4">
        <f t="shared" si="15"/>
        <v>5.8332780564638184E-12</v>
      </c>
      <c r="CK40" s="4">
        <f t="shared" si="15"/>
        <v>5.8430954650693755E-12</v>
      </c>
      <c r="CL40" s="4">
        <f t="shared" si="15"/>
        <v>5.8529223913522749E-12</v>
      </c>
      <c r="CM40" s="4">
        <f t="shared" si="15"/>
        <v>5.8627588413676805E-12</v>
      </c>
      <c r="CN40" s="4">
        <f t="shared" si="15"/>
        <v>5.8726048211748246E-12</v>
      </c>
      <c r="CO40" s="4">
        <f t="shared" si="15"/>
        <v>5.882460336837004E-12</v>
      </c>
      <c r="CP40" s="4">
        <f t="shared" si="15"/>
        <v>5.8923253944215868E-12</v>
      </c>
      <c r="CQ40" s="4">
        <f t="shared" si="15"/>
        <v>5.9022000000000037E-12</v>
      </c>
    </row>
    <row r="41" spans="1:95">
      <c r="A41" s="3">
        <v>39</v>
      </c>
      <c r="B41" s="17" t="str">
        <f>データファイル用!$B42</f>
        <v>MEWS Siding V - Fibreboard</v>
      </c>
      <c r="C41" s="18">
        <f>データファイル用!G42</f>
        <v>5.8208000000000004E-12</v>
      </c>
      <c r="D41" s="19">
        <f>データファイル用!H42</f>
        <v>1.9232E-4</v>
      </c>
      <c r="E41" s="20">
        <f>データファイル用!I42</f>
        <v>-0.43539</v>
      </c>
      <c r="F41" s="42">
        <f>データファイル用!J42</f>
        <v>1.0055000000000001</v>
      </c>
      <c r="G41" s="4">
        <f t="shared" si="12"/>
        <v>0</v>
      </c>
      <c r="H41" s="4">
        <f t="shared" si="12"/>
        <v>3.7955062159255796E-12</v>
      </c>
      <c r="I41" s="4">
        <f t="shared" si="12"/>
        <v>3.8287510207090175E-12</v>
      </c>
      <c r="J41" s="4">
        <f t="shared" si="12"/>
        <v>3.8621689058692811E-12</v>
      </c>
      <c r="K41" s="4">
        <f t="shared" si="12"/>
        <v>3.8958529786449474E-12</v>
      </c>
      <c r="L41" s="4">
        <f t="shared" si="12"/>
        <v>3.9298292045760047E-12</v>
      </c>
      <c r="M41" s="4">
        <f t="shared" si="12"/>
        <v>3.9641085719196135E-12</v>
      </c>
      <c r="N41" s="4">
        <f t="shared" si="12"/>
        <v>3.9986971582426972E-12</v>
      </c>
      <c r="O41" s="4">
        <f t="shared" si="12"/>
        <v>4.0335990938435665E-12</v>
      </c>
      <c r="P41" s="4">
        <f t="shared" si="12"/>
        <v>4.0688176513994283E-12</v>
      </c>
      <c r="Q41" s="4">
        <f t="shared" si="12"/>
        <v>4.1043557066078601E-12</v>
      </c>
      <c r="R41" s="4">
        <f t="shared" si="12"/>
        <v>4.1402159522217546E-12</v>
      </c>
      <c r="S41" s="4">
        <f t="shared" si="12"/>
        <v>4.1764010042870304E-12</v>
      </c>
      <c r="T41" s="4">
        <f t="shared" si="12"/>
        <v>4.2129134573369749E-12</v>
      </c>
      <c r="U41" s="4">
        <f t="shared" si="12"/>
        <v>4.2497559139150725E-12</v>
      </c>
      <c r="V41" s="4">
        <f t="shared" si="12"/>
        <v>4.2869310005821384E-12</v>
      </c>
      <c r="W41" s="4">
        <f t="shared" si="10"/>
        <v>4.3244413765598664E-12</v>
      </c>
      <c r="X41" s="4">
        <f t="shared" si="10"/>
        <v>4.3622897382641515E-12</v>
      </c>
      <c r="Y41" s="4">
        <f t="shared" si="10"/>
        <v>4.4004788215103439E-12</v>
      </c>
      <c r="Z41" s="4">
        <f t="shared" si="10"/>
        <v>4.4390114023943075E-12</v>
      </c>
      <c r="AA41" s="4">
        <f t="shared" si="10"/>
        <v>4.4778902974271587E-12</v>
      </c>
      <c r="AB41" s="4">
        <f t="shared" si="10"/>
        <v>4.5171183632614887E-12</v>
      </c>
      <c r="AC41" s="4">
        <f t="shared" si="10"/>
        <v>4.5566984962083855E-12</v>
      </c>
      <c r="AD41" s="4">
        <f t="shared" si="10"/>
        <v>4.5966336316631515E-12</v>
      </c>
      <c r="AE41" s="4">
        <f t="shared" si="14"/>
        <v>4.6369267435089686E-12</v>
      </c>
      <c r="AF41" s="4">
        <f t="shared" si="14"/>
        <v>4.6775808435383967E-12</v>
      </c>
      <c r="AG41" s="4">
        <f t="shared" si="14"/>
        <v>4.7185989809147767E-12</v>
      </c>
      <c r="AH41" s="4">
        <f t="shared" si="14"/>
        <v>4.7599842416847569E-12</v>
      </c>
      <c r="AI41" s="4">
        <f t="shared" si="14"/>
        <v>4.8017397483465725E-12</v>
      </c>
      <c r="AJ41" s="4">
        <f t="shared" si="14"/>
        <v>4.8438686594748176E-12</v>
      </c>
      <c r="AK41" s="4">
        <f t="shared" si="14"/>
        <v>4.8863741694001531E-12</v>
      </c>
      <c r="AL41" s="4">
        <f t="shared" si="14"/>
        <v>4.9292595079411415E-12</v>
      </c>
      <c r="AM41" s="4">
        <f t="shared" si="14"/>
        <v>4.9725279401847997E-12</v>
      </c>
      <c r="AN41" s="4">
        <f t="shared" si="14"/>
        <v>5.0161827663122094E-12</v>
      </c>
      <c r="AO41" s="4">
        <f t="shared" si="14"/>
        <v>5.0602273214655512E-12</v>
      </c>
      <c r="AP41" s="4">
        <f t="shared" si="14"/>
        <v>5.1046649756530343E-12</v>
      </c>
      <c r="AQ41" s="4">
        <f t="shared" si="14"/>
        <v>5.1494991336884706E-12</v>
      </c>
      <c r="AR41" s="4">
        <f t="shared" si="14"/>
        <v>5.1947332351623992E-12</v>
      </c>
      <c r="AS41" s="4">
        <f t="shared" si="14"/>
        <v>5.2403707544420361E-12</v>
      </c>
      <c r="AT41" s="4">
        <f t="shared" si="14"/>
        <v>5.2864152006974624E-12</v>
      </c>
      <c r="AU41" s="4">
        <f t="shared" si="13"/>
        <v>5.3328701179518308E-12</v>
      </c>
      <c r="AV41" s="4">
        <f t="shared" si="13"/>
        <v>5.379739085153481E-12</v>
      </c>
      <c r="AW41" s="4">
        <f t="shared" si="13"/>
        <v>5.4270257162681568E-12</v>
      </c>
      <c r="AX41" s="4">
        <f t="shared" si="13"/>
        <v>5.474733660389654E-12</v>
      </c>
      <c r="AY41" s="4">
        <f t="shared" si="13"/>
        <v>5.5228666018674195E-12</v>
      </c>
      <c r="AZ41" s="4">
        <f t="shared" si="13"/>
        <v>5.571428260449782E-12</v>
      </c>
      <c r="BA41" s="4">
        <f t="shared" si="13"/>
        <v>5.6204223914416135E-12</v>
      </c>
      <c r="BB41" s="4">
        <f t="shared" si="11"/>
        <v>5.6698527858753859E-12</v>
      </c>
      <c r="BC41" s="4">
        <f t="shared" si="11"/>
        <v>5.7197232706946251E-12</v>
      </c>
      <c r="BD41" s="4">
        <f t="shared" si="11"/>
        <v>5.7222284164473138E-12</v>
      </c>
      <c r="BE41" s="4">
        <f t="shared" si="11"/>
        <v>5.724734672561303E-12</v>
      </c>
      <c r="BF41" s="4">
        <f t="shared" si="11"/>
        <v>5.7272420395220774E-12</v>
      </c>
      <c r="BG41" s="4">
        <f t="shared" si="11"/>
        <v>5.7297505178153465E-12</v>
      </c>
      <c r="BH41" s="4">
        <f t="shared" si="11"/>
        <v>5.7322601079270496E-12</v>
      </c>
      <c r="BI41" s="4">
        <f t="shared" si="11"/>
        <v>5.7347708103433542E-12</v>
      </c>
      <c r="BJ41" s="4">
        <f t="shared" si="11"/>
        <v>5.7372826255506521E-12</v>
      </c>
      <c r="BK41" s="4">
        <f t="shared" si="11"/>
        <v>5.7397955540355655E-12</v>
      </c>
      <c r="BL41" s="4">
        <f t="shared" si="11"/>
        <v>5.7423095962849402E-12</v>
      </c>
      <c r="BM41" s="4">
        <f t="shared" si="11"/>
        <v>5.7448247527858539E-12</v>
      </c>
      <c r="BN41" s="4">
        <f t="shared" si="11"/>
        <v>5.7473410240256081E-12</v>
      </c>
      <c r="BO41" s="4">
        <f t="shared" si="11"/>
        <v>5.7498584104917345E-12</v>
      </c>
      <c r="BP41" s="4">
        <f t="shared" si="11"/>
        <v>5.7523769126719902E-12</v>
      </c>
      <c r="BQ41" s="4">
        <f t="shared" ref="BQ41:CF63" si="17">$C41*IF(AND(BQ$2=0,$D41=0),1,BQ$2^$D41)*EXP($E41*(1-IF(AND(BQ$2=0,$F41=0),1,BQ$2^$F41)))</f>
        <v>5.7548965310543632E-12</v>
      </c>
      <c r="BR41" s="4">
        <f t="shared" si="17"/>
        <v>5.7574172661270654E-12</v>
      </c>
      <c r="BS41" s="4">
        <f t="shared" si="17"/>
        <v>5.7599391183785396E-12</v>
      </c>
      <c r="BT41" s="4">
        <f t="shared" si="16"/>
        <v>5.7624620882974551E-12</v>
      </c>
      <c r="BU41" s="4">
        <f t="shared" si="16"/>
        <v>5.7649861763727093E-12</v>
      </c>
      <c r="BV41" s="4">
        <f t="shared" si="16"/>
        <v>5.7675113830934279E-12</v>
      </c>
      <c r="BW41" s="4">
        <f t="shared" si="16"/>
        <v>5.7700377089489672E-12</v>
      </c>
      <c r="BX41" s="4">
        <f t="shared" si="16"/>
        <v>5.7725651544289067E-12</v>
      </c>
      <c r="BY41" s="4">
        <f t="shared" si="16"/>
        <v>5.7750937200230569E-12</v>
      </c>
      <c r="BZ41" s="4">
        <f t="shared" si="16"/>
        <v>5.7776234062214586E-12</v>
      </c>
      <c r="CA41" s="4">
        <f t="shared" si="16"/>
        <v>5.7801542135143777E-12</v>
      </c>
      <c r="CB41" s="4">
        <f t="shared" si="16"/>
        <v>5.7826861423923089E-12</v>
      </c>
      <c r="CC41" s="4">
        <f t="shared" si="16"/>
        <v>5.7852191933459788E-12</v>
      </c>
      <c r="CD41" s="4">
        <f t="shared" si="16"/>
        <v>5.7877533668663385E-12</v>
      </c>
      <c r="CE41" s="4">
        <f t="shared" si="16"/>
        <v>5.7902886634445716E-12</v>
      </c>
      <c r="CF41" s="4">
        <f t="shared" si="16"/>
        <v>5.7928250835720865E-12</v>
      </c>
      <c r="CG41" s="4">
        <f t="shared" si="16"/>
        <v>5.7953626277405232E-12</v>
      </c>
      <c r="CH41" s="4">
        <f t="shared" si="16"/>
        <v>5.7979012964417506E-12</v>
      </c>
      <c r="CI41" s="4">
        <f t="shared" si="15"/>
        <v>5.8004410901678644E-12</v>
      </c>
      <c r="CJ41" s="4">
        <f t="shared" si="15"/>
        <v>5.802982009411192E-12</v>
      </c>
      <c r="CK41" s="4">
        <f t="shared" si="15"/>
        <v>5.8055240546642881E-12</v>
      </c>
      <c r="CL41" s="4">
        <f t="shared" si="15"/>
        <v>5.8080672264199382E-12</v>
      </c>
      <c r="CM41" s="4">
        <f t="shared" si="15"/>
        <v>5.8106115251711558E-12</v>
      </c>
      <c r="CN41" s="4">
        <f t="shared" si="15"/>
        <v>5.8131569514111827E-12</v>
      </c>
      <c r="CO41" s="4">
        <f t="shared" si="15"/>
        <v>5.8157035056334945E-12</v>
      </c>
      <c r="CP41" s="4">
        <f t="shared" si="15"/>
        <v>5.8182511883317895E-12</v>
      </c>
      <c r="CQ41" s="4">
        <f t="shared" si="15"/>
        <v>5.820800000000002E-12</v>
      </c>
    </row>
    <row r="42" spans="1:95">
      <c r="A42" s="3">
        <v>40</v>
      </c>
      <c r="B42" s="17" t="str">
        <f>データファイル用!$B43</f>
        <v>MEWS EIFS Base Coat + Finish Coat</v>
      </c>
      <c r="C42" s="18">
        <f>データファイル用!G43</f>
        <v>3.5E-12</v>
      </c>
      <c r="D42" s="19">
        <f>データファイル用!H43</f>
        <v>0</v>
      </c>
      <c r="E42" s="20">
        <f>データファイル用!I43</f>
        <v>0</v>
      </c>
      <c r="F42" s="42">
        <f>データファイル用!J43</f>
        <v>0</v>
      </c>
      <c r="G42" s="4">
        <f t="shared" si="12"/>
        <v>3.5E-12</v>
      </c>
      <c r="H42" s="4">
        <f t="shared" si="12"/>
        <v>3.5E-12</v>
      </c>
      <c r="I42" s="4">
        <f t="shared" si="12"/>
        <v>3.5E-12</v>
      </c>
      <c r="J42" s="4">
        <f t="shared" si="12"/>
        <v>3.5E-12</v>
      </c>
      <c r="K42" s="4">
        <f t="shared" si="12"/>
        <v>3.5E-12</v>
      </c>
      <c r="L42" s="4">
        <f t="shared" si="12"/>
        <v>3.5E-12</v>
      </c>
      <c r="M42" s="4">
        <f t="shared" si="12"/>
        <v>3.5E-12</v>
      </c>
      <c r="N42" s="4">
        <f t="shared" si="12"/>
        <v>3.5E-12</v>
      </c>
      <c r="O42" s="4">
        <f t="shared" si="12"/>
        <v>3.5E-12</v>
      </c>
      <c r="P42" s="4">
        <f t="shared" si="12"/>
        <v>3.5E-12</v>
      </c>
      <c r="Q42" s="4">
        <f t="shared" si="12"/>
        <v>3.5E-12</v>
      </c>
      <c r="R42" s="4">
        <f t="shared" si="12"/>
        <v>3.5E-12</v>
      </c>
      <c r="S42" s="4">
        <f t="shared" si="12"/>
        <v>3.5E-12</v>
      </c>
      <c r="T42" s="4">
        <f t="shared" si="12"/>
        <v>3.5E-12</v>
      </c>
      <c r="U42" s="4">
        <f t="shared" si="12"/>
        <v>3.5E-12</v>
      </c>
      <c r="V42" s="4">
        <f t="shared" ref="V42:AK57" si="18">$C42*IF(AND(V$2=0,$D42=0),1,V$2^$D42)*EXP($E42*(1-IF(AND(V$2=0,$F42=0),1,V$2^$F42)))</f>
        <v>3.5E-12</v>
      </c>
      <c r="W42" s="4">
        <f t="shared" si="18"/>
        <v>3.5E-12</v>
      </c>
      <c r="X42" s="4">
        <f t="shared" si="18"/>
        <v>3.5E-12</v>
      </c>
      <c r="Y42" s="4">
        <f t="shared" si="18"/>
        <v>3.5E-12</v>
      </c>
      <c r="Z42" s="4">
        <f t="shared" si="18"/>
        <v>3.5E-12</v>
      </c>
      <c r="AA42" s="4">
        <f t="shared" si="18"/>
        <v>3.5E-12</v>
      </c>
      <c r="AB42" s="4">
        <f t="shared" si="18"/>
        <v>3.5E-12</v>
      </c>
      <c r="AC42" s="4">
        <f t="shared" si="18"/>
        <v>3.5E-12</v>
      </c>
      <c r="AD42" s="4">
        <f t="shared" si="18"/>
        <v>3.5E-12</v>
      </c>
      <c r="AE42" s="4">
        <f t="shared" si="18"/>
        <v>3.5E-12</v>
      </c>
      <c r="AF42" s="4">
        <f t="shared" si="18"/>
        <v>3.5E-12</v>
      </c>
      <c r="AG42" s="4">
        <f t="shared" si="18"/>
        <v>3.5E-12</v>
      </c>
      <c r="AH42" s="4">
        <f t="shared" si="18"/>
        <v>3.5E-12</v>
      </c>
      <c r="AI42" s="4">
        <f t="shared" si="18"/>
        <v>3.5E-12</v>
      </c>
      <c r="AJ42" s="4">
        <f t="shared" si="18"/>
        <v>3.5E-12</v>
      </c>
      <c r="AK42" s="4">
        <f t="shared" si="18"/>
        <v>3.5E-12</v>
      </c>
      <c r="AL42" s="4">
        <f t="shared" si="14"/>
        <v>3.5E-12</v>
      </c>
      <c r="AM42" s="4">
        <f t="shared" si="14"/>
        <v>3.5E-12</v>
      </c>
      <c r="AN42" s="4">
        <f t="shared" si="14"/>
        <v>3.5E-12</v>
      </c>
      <c r="AO42" s="4">
        <f t="shared" si="14"/>
        <v>3.5E-12</v>
      </c>
      <c r="AP42" s="4">
        <f t="shared" si="14"/>
        <v>3.5E-12</v>
      </c>
      <c r="AQ42" s="4">
        <f t="shared" si="14"/>
        <v>3.5E-12</v>
      </c>
      <c r="AR42" s="4">
        <f t="shared" si="14"/>
        <v>3.5E-12</v>
      </c>
      <c r="AS42" s="4">
        <f t="shared" si="14"/>
        <v>3.5E-12</v>
      </c>
      <c r="AT42" s="4">
        <f t="shared" si="14"/>
        <v>3.5E-12</v>
      </c>
      <c r="AU42" s="4">
        <f t="shared" si="13"/>
        <v>3.5E-12</v>
      </c>
      <c r="AV42" s="4">
        <f t="shared" si="13"/>
        <v>3.5E-12</v>
      </c>
      <c r="AW42" s="4">
        <f t="shared" si="13"/>
        <v>3.5E-12</v>
      </c>
      <c r="AX42" s="4">
        <f t="shared" si="13"/>
        <v>3.5E-12</v>
      </c>
      <c r="AY42" s="4">
        <f t="shared" si="13"/>
        <v>3.5E-12</v>
      </c>
      <c r="AZ42" s="4">
        <f t="shared" si="13"/>
        <v>3.5E-12</v>
      </c>
      <c r="BA42" s="4">
        <f t="shared" si="13"/>
        <v>3.5E-12</v>
      </c>
      <c r="BB42" s="4">
        <f t="shared" ref="BB42:BQ75" si="19">$C42*IF(AND(BB$2=0,$D42=0),1,BB$2^$D42)*EXP($E42*(1-IF(AND(BB$2=0,$F42=0),1,BB$2^$F42)))</f>
        <v>3.5E-12</v>
      </c>
      <c r="BC42" s="4">
        <f t="shared" si="19"/>
        <v>3.5E-12</v>
      </c>
      <c r="BD42" s="4">
        <f t="shared" si="19"/>
        <v>3.5E-12</v>
      </c>
      <c r="BE42" s="4">
        <f t="shared" si="19"/>
        <v>3.5E-12</v>
      </c>
      <c r="BF42" s="4">
        <f t="shared" si="19"/>
        <v>3.5E-12</v>
      </c>
      <c r="BG42" s="4">
        <f t="shared" si="19"/>
        <v>3.5E-12</v>
      </c>
      <c r="BH42" s="4">
        <f t="shared" si="19"/>
        <v>3.5E-12</v>
      </c>
      <c r="BI42" s="4">
        <f t="shared" si="19"/>
        <v>3.5E-12</v>
      </c>
      <c r="BJ42" s="4">
        <f t="shared" si="19"/>
        <v>3.5E-12</v>
      </c>
      <c r="BK42" s="4">
        <f t="shared" si="19"/>
        <v>3.5E-12</v>
      </c>
      <c r="BL42" s="4">
        <f t="shared" si="19"/>
        <v>3.5E-12</v>
      </c>
      <c r="BM42" s="4">
        <f t="shared" si="19"/>
        <v>3.5E-12</v>
      </c>
      <c r="BN42" s="4">
        <f t="shared" si="19"/>
        <v>3.5E-12</v>
      </c>
      <c r="BO42" s="4">
        <f t="shared" si="19"/>
        <v>3.5E-12</v>
      </c>
      <c r="BP42" s="4">
        <f t="shared" si="19"/>
        <v>3.5E-12</v>
      </c>
      <c r="BQ42" s="4">
        <f t="shared" si="19"/>
        <v>3.5E-12</v>
      </c>
      <c r="BR42" s="4">
        <f t="shared" si="17"/>
        <v>3.5E-12</v>
      </c>
      <c r="BS42" s="4">
        <f t="shared" si="17"/>
        <v>3.5E-12</v>
      </c>
      <c r="BT42" s="4">
        <f t="shared" si="16"/>
        <v>3.5E-12</v>
      </c>
      <c r="BU42" s="4">
        <f t="shared" si="16"/>
        <v>3.5E-12</v>
      </c>
      <c r="BV42" s="4">
        <f t="shared" si="16"/>
        <v>3.5E-12</v>
      </c>
      <c r="BW42" s="4">
        <f t="shared" si="16"/>
        <v>3.5E-12</v>
      </c>
      <c r="BX42" s="4">
        <f t="shared" si="16"/>
        <v>3.5E-12</v>
      </c>
      <c r="BY42" s="4">
        <f t="shared" si="16"/>
        <v>3.5E-12</v>
      </c>
      <c r="BZ42" s="4">
        <f t="shared" si="16"/>
        <v>3.5E-12</v>
      </c>
      <c r="CA42" s="4">
        <f t="shared" si="16"/>
        <v>3.5E-12</v>
      </c>
      <c r="CB42" s="4">
        <f t="shared" si="16"/>
        <v>3.5E-12</v>
      </c>
      <c r="CC42" s="4">
        <f t="shared" si="16"/>
        <v>3.5E-12</v>
      </c>
      <c r="CD42" s="4">
        <f t="shared" si="16"/>
        <v>3.5E-12</v>
      </c>
      <c r="CE42" s="4">
        <f t="shared" si="16"/>
        <v>3.5E-12</v>
      </c>
      <c r="CF42" s="4">
        <f t="shared" si="16"/>
        <v>3.5E-12</v>
      </c>
      <c r="CG42" s="4">
        <f t="shared" si="16"/>
        <v>3.5E-12</v>
      </c>
      <c r="CH42" s="4">
        <f t="shared" si="16"/>
        <v>3.5E-12</v>
      </c>
      <c r="CI42" s="4">
        <f t="shared" si="15"/>
        <v>3.5E-12</v>
      </c>
      <c r="CJ42" s="4">
        <f t="shared" si="15"/>
        <v>3.5E-12</v>
      </c>
      <c r="CK42" s="4">
        <f t="shared" si="15"/>
        <v>3.5E-12</v>
      </c>
      <c r="CL42" s="4">
        <f t="shared" si="15"/>
        <v>3.5E-12</v>
      </c>
      <c r="CM42" s="4">
        <f t="shared" si="15"/>
        <v>3.5E-12</v>
      </c>
      <c r="CN42" s="4">
        <f t="shared" si="15"/>
        <v>3.5E-12</v>
      </c>
      <c r="CO42" s="4">
        <f t="shared" si="15"/>
        <v>3.5E-12</v>
      </c>
      <c r="CP42" s="4">
        <f t="shared" si="15"/>
        <v>3.5E-12</v>
      </c>
      <c r="CQ42" s="4">
        <f t="shared" si="15"/>
        <v>3.5E-12</v>
      </c>
    </row>
    <row r="43" spans="1:95">
      <c r="A43" s="3">
        <v>41</v>
      </c>
      <c r="B43" s="17" t="str">
        <f>データファイル用!$B44</f>
        <v>MEWS Exterior Grade Gypsum Board</v>
      </c>
      <c r="C43" s="18">
        <f>データファイル用!G44</f>
        <v>5.8E-11</v>
      </c>
      <c r="D43" s="19">
        <f>データファイル用!H44</f>
        <v>0</v>
      </c>
      <c r="E43" s="20">
        <f>データファイル用!I44</f>
        <v>0</v>
      </c>
      <c r="F43" s="42">
        <f>データファイル用!J44</f>
        <v>0</v>
      </c>
      <c r="G43" s="4">
        <f t="shared" ref="G43:V58" si="20">$C43*IF(AND(G$2=0,$D43=0),1,G$2^$D43)*EXP($E43*(1-IF(AND(G$2=0,$F43=0),1,G$2^$F43)))</f>
        <v>5.8E-11</v>
      </c>
      <c r="H43" s="4">
        <f t="shared" si="20"/>
        <v>5.8E-11</v>
      </c>
      <c r="I43" s="4">
        <f t="shared" si="20"/>
        <v>5.8E-11</v>
      </c>
      <c r="J43" s="4">
        <f t="shared" si="20"/>
        <v>5.8E-11</v>
      </c>
      <c r="K43" s="4">
        <f t="shared" si="20"/>
        <v>5.8E-11</v>
      </c>
      <c r="L43" s="4">
        <f t="shared" si="20"/>
        <v>5.8E-11</v>
      </c>
      <c r="M43" s="4">
        <f t="shared" si="20"/>
        <v>5.8E-11</v>
      </c>
      <c r="N43" s="4">
        <f t="shared" si="20"/>
        <v>5.8E-11</v>
      </c>
      <c r="O43" s="4">
        <f t="shared" si="20"/>
        <v>5.8E-11</v>
      </c>
      <c r="P43" s="4">
        <f t="shared" si="20"/>
        <v>5.8E-11</v>
      </c>
      <c r="Q43" s="4">
        <f t="shared" si="20"/>
        <v>5.8E-11</v>
      </c>
      <c r="R43" s="4">
        <f t="shared" si="20"/>
        <v>5.8E-11</v>
      </c>
      <c r="S43" s="4">
        <f t="shared" si="20"/>
        <v>5.8E-11</v>
      </c>
      <c r="T43" s="4">
        <f t="shared" si="20"/>
        <v>5.8E-11</v>
      </c>
      <c r="U43" s="4">
        <f t="shared" si="20"/>
        <v>5.8E-11</v>
      </c>
      <c r="V43" s="4">
        <f t="shared" si="20"/>
        <v>5.8E-11</v>
      </c>
      <c r="W43" s="4">
        <f t="shared" si="18"/>
        <v>5.8E-11</v>
      </c>
      <c r="X43" s="4">
        <f t="shared" si="18"/>
        <v>5.8E-11</v>
      </c>
      <c r="Y43" s="4">
        <f t="shared" si="18"/>
        <v>5.8E-11</v>
      </c>
      <c r="Z43" s="4">
        <f t="shared" si="18"/>
        <v>5.8E-11</v>
      </c>
      <c r="AA43" s="4">
        <f t="shared" si="18"/>
        <v>5.8E-11</v>
      </c>
      <c r="AB43" s="4">
        <f t="shared" si="18"/>
        <v>5.8E-11</v>
      </c>
      <c r="AC43" s="4">
        <f t="shared" si="18"/>
        <v>5.8E-11</v>
      </c>
      <c r="AD43" s="4">
        <f t="shared" si="18"/>
        <v>5.8E-11</v>
      </c>
      <c r="AE43" s="4">
        <f t="shared" si="18"/>
        <v>5.8E-11</v>
      </c>
      <c r="AF43" s="4">
        <f t="shared" si="18"/>
        <v>5.8E-11</v>
      </c>
      <c r="AG43" s="4">
        <f t="shared" si="18"/>
        <v>5.8E-11</v>
      </c>
      <c r="AH43" s="4">
        <f t="shared" si="18"/>
        <v>5.8E-11</v>
      </c>
      <c r="AI43" s="4">
        <f t="shared" si="18"/>
        <v>5.8E-11</v>
      </c>
      <c r="AJ43" s="4">
        <f t="shared" si="18"/>
        <v>5.8E-11</v>
      </c>
      <c r="AK43" s="4">
        <f t="shared" si="18"/>
        <v>5.8E-11</v>
      </c>
      <c r="AL43" s="4">
        <f t="shared" si="14"/>
        <v>5.8E-11</v>
      </c>
      <c r="AM43" s="4">
        <f t="shared" si="14"/>
        <v>5.8E-11</v>
      </c>
      <c r="AN43" s="4">
        <f t="shared" si="14"/>
        <v>5.8E-11</v>
      </c>
      <c r="AO43" s="4">
        <f t="shared" si="14"/>
        <v>5.8E-11</v>
      </c>
      <c r="AP43" s="4">
        <f t="shared" si="14"/>
        <v>5.8E-11</v>
      </c>
      <c r="AQ43" s="4">
        <f t="shared" si="14"/>
        <v>5.8E-11</v>
      </c>
      <c r="AR43" s="4">
        <f t="shared" si="14"/>
        <v>5.8E-11</v>
      </c>
      <c r="AS43" s="4">
        <f t="shared" si="14"/>
        <v>5.8E-11</v>
      </c>
      <c r="AT43" s="4">
        <f t="shared" si="14"/>
        <v>5.8E-11</v>
      </c>
      <c r="AU43" s="4">
        <f t="shared" si="13"/>
        <v>5.8E-11</v>
      </c>
      <c r="AV43" s="4">
        <f t="shared" si="13"/>
        <v>5.8E-11</v>
      </c>
      <c r="AW43" s="4">
        <f t="shared" si="13"/>
        <v>5.8E-11</v>
      </c>
      <c r="AX43" s="4">
        <f t="shared" si="13"/>
        <v>5.8E-11</v>
      </c>
      <c r="AY43" s="4">
        <f t="shared" si="13"/>
        <v>5.8E-11</v>
      </c>
      <c r="AZ43" s="4">
        <f t="shared" si="13"/>
        <v>5.8E-11</v>
      </c>
      <c r="BA43" s="4">
        <f t="shared" si="13"/>
        <v>5.8E-11</v>
      </c>
      <c r="BB43" s="4">
        <f t="shared" si="19"/>
        <v>5.8E-11</v>
      </c>
      <c r="BC43" s="4">
        <f t="shared" si="19"/>
        <v>5.8E-11</v>
      </c>
      <c r="BD43" s="4">
        <f t="shared" si="19"/>
        <v>5.8E-11</v>
      </c>
      <c r="BE43" s="4">
        <f t="shared" si="19"/>
        <v>5.8E-11</v>
      </c>
      <c r="BF43" s="4">
        <f t="shared" si="19"/>
        <v>5.8E-11</v>
      </c>
      <c r="BG43" s="4">
        <f t="shared" si="19"/>
        <v>5.8E-11</v>
      </c>
      <c r="BH43" s="4">
        <f t="shared" si="19"/>
        <v>5.8E-11</v>
      </c>
      <c r="BI43" s="4">
        <f t="shared" si="19"/>
        <v>5.8E-11</v>
      </c>
      <c r="BJ43" s="4">
        <f t="shared" si="19"/>
        <v>5.8E-11</v>
      </c>
      <c r="BK43" s="4">
        <f t="shared" si="19"/>
        <v>5.8E-11</v>
      </c>
      <c r="BL43" s="4">
        <f t="shared" si="19"/>
        <v>5.8E-11</v>
      </c>
      <c r="BM43" s="4">
        <f t="shared" si="19"/>
        <v>5.8E-11</v>
      </c>
      <c r="BN43" s="4">
        <f t="shared" si="19"/>
        <v>5.8E-11</v>
      </c>
      <c r="BO43" s="4">
        <f t="shared" si="19"/>
        <v>5.8E-11</v>
      </c>
      <c r="BP43" s="4">
        <f t="shared" si="19"/>
        <v>5.8E-11</v>
      </c>
      <c r="BQ43" s="4">
        <f t="shared" si="19"/>
        <v>5.8E-11</v>
      </c>
      <c r="BR43" s="4">
        <f t="shared" si="17"/>
        <v>5.8E-11</v>
      </c>
      <c r="BS43" s="4">
        <f t="shared" si="17"/>
        <v>5.8E-11</v>
      </c>
      <c r="BT43" s="4">
        <f t="shared" si="16"/>
        <v>5.8E-11</v>
      </c>
      <c r="BU43" s="4">
        <f t="shared" si="16"/>
        <v>5.8E-11</v>
      </c>
      <c r="BV43" s="4">
        <f t="shared" si="16"/>
        <v>5.8E-11</v>
      </c>
      <c r="BW43" s="4">
        <f t="shared" si="16"/>
        <v>5.8E-11</v>
      </c>
      <c r="BX43" s="4">
        <f t="shared" si="16"/>
        <v>5.8E-11</v>
      </c>
      <c r="BY43" s="4">
        <f t="shared" si="16"/>
        <v>5.8E-11</v>
      </c>
      <c r="BZ43" s="4">
        <f t="shared" si="16"/>
        <v>5.8E-11</v>
      </c>
      <c r="CA43" s="4">
        <f t="shared" si="16"/>
        <v>5.8E-11</v>
      </c>
      <c r="CB43" s="4">
        <f t="shared" si="16"/>
        <v>5.8E-11</v>
      </c>
      <c r="CC43" s="4">
        <f t="shared" si="16"/>
        <v>5.8E-11</v>
      </c>
      <c r="CD43" s="4">
        <f t="shared" si="16"/>
        <v>5.8E-11</v>
      </c>
      <c r="CE43" s="4">
        <f t="shared" si="16"/>
        <v>5.8E-11</v>
      </c>
      <c r="CF43" s="4">
        <f t="shared" si="16"/>
        <v>5.8E-11</v>
      </c>
      <c r="CG43" s="4">
        <f t="shared" si="16"/>
        <v>5.8E-11</v>
      </c>
      <c r="CH43" s="4">
        <f t="shared" si="16"/>
        <v>5.8E-11</v>
      </c>
      <c r="CI43" s="4">
        <f t="shared" si="15"/>
        <v>5.8E-11</v>
      </c>
      <c r="CJ43" s="4">
        <f t="shared" si="15"/>
        <v>5.8E-11</v>
      </c>
      <c r="CK43" s="4">
        <f t="shared" si="15"/>
        <v>5.8E-11</v>
      </c>
      <c r="CL43" s="4">
        <f t="shared" si="15"/>
        <v>5.8E-11</v>
      </c>
      <c r="CM43" s="4">
        <f t="shared" si="15"/>
        <v>5.8E-11</v>
      </c>
      <c r="CN43" s="4">
        <f t="shared" si="15"/>
        <v>5.8E-11</v>
      </c>
      <c r="CO43" s="4">
        <f t="shared" si="15"/>
        <v>5.8E-11</v>
      </c>
      <c r="CP43" s="4">
        <f t="shared" si="15"/>
        <v>5.8E-11</v>
      </c>
      <c r="CQ43" s="4">
        <f t="shared" si="15"/>
        <v>5.8E-11</v>
      </c>
    </row>
    <row r="44" spans="1:95">
      <c r="A44" s="3">
        <v>42</v>
      </c>
      <c r="B44" s="17" t="str">
        <f>データファイル用!$B45</f>
        <v>MEWS Spray Polyurethane Foam</v>
      </c>
      <c r="C44" s="18">
        <f>データファイル用!G45</f>
        <v>3.6501000000000004E-12</v>
      </c>
      <c r="D44" s="19">
        <f>データファイル用!H45</f>
        <v>3.9937000000000002E-3</v>
      </c>
      <c r="E44" s="20">
        <f>データファイル用!I45</f>
        <v>-0.46245000000000003</v>
      </c>
      <c r="F44" s="42">
        <f>データファイル用!J45</f>
        <v>1.0717000000000001</v>
      </c>
      <c r="G44" s="4">
        <f t="shared" si="20"/>
        <v>0</v>
      </c>
      <c r="H44" s="4">
        <f t="shared" si="20"/>
        <v>2.278843148810588E-12</v>
      </c>
      <c r="I44" s="4">
        <f t="shared" si="20"/>
        <v>2.3028211690632459E-12</v>
      </c>
      <c r="J44" s="4">
        <f t="shared" si="20"/>
        <v>2.3250624362519924E-12</v>
      </c>
      <c r="K44" s="4">
        <f t="shared" si="20"/>
        <v>2.346876764562198E-12</v>
      </c>
      <c r="L44" s="4">
        <f t="shared" si="20"/>
        <v>2.3686397284162108E-12</v>
      </c>
      <c r="M44" s="4">
        <f t="shared" si="20"/>
        <v>2.3905045973518251E-12</v>
      </c>
      <c r="N44" s="4">
        <f t="shared" si="20"/>
        <v>2.4125463670464365E-12</v>
      </c>
      <c r="O44" s="4">
        <f t="shared" si="20"/>
        <v>2.4348062325837712E-12</v>
      </c>
      <c r="P44" s="4">
        <f t="shared" si="20"/>
        <v>2.4573088037215731E-12</v>
      </c>
      <c r="Q44" s="4">
        <f t="shared" si="20"/>
        <v>2.4800698091738872E-12</v>
      </c>
      <c r="R44" s="4">
        <f t="shared" si="20"/>
        <v>2.5030999145951157E-12</v>
      </c>
      <c r="S44" s="4">
        <f t="shared" si="20"/>
        <v>2.5264067635626234E-12</v>
      </c>
      <c r="T44" s="4">
        <f t="shared" si="20"/>
        <v>2.5499961342776646E-12</v>
      </c>
      <c r="U44" s="4">
        <f t="shared" si="20"/>
        <v>2.573872626150097E-12</v>
      </c>
      <c r="V44" s="4">
        <f t="shared" si="20"/>
        <v>2.598040082829259E-12</v>
      </c>
      <c r="W44" s="4">
        <f t="shared" si="18"/>
        <v>2.6225018609159843E-12</v>
      </c>
      <c r="X44" s="4">
        <f t="shared" si="18"/>
        <v>2.6472610049863057E-12</v>
      </c>
      <c r="Y44" s="4">
        <f t="shared" si="18"/>
        <v>2.672320363976058E-12</v>
      </c>
      <c r="Z44" s="4">
        <f t="shared" si="18"/>
        <v>2.6976826699009015E-12</v>
      </c>
      <c r="AA44" s="4">
        <f t="shared" si="18"/>
        <v>2.7233505918426789E-12</v>
      </c>
      <c r="AB44" s="4">
        <f t="shared" si="18"/>
        <v>2.7493267733825853E-12</v>
      </c>
      <c r="AC44" s="4">
        <f t="shared" si="18"/>
        <v>2.7756138587743328E-12</v>
      </c>
      <c r="AD44" s="4">
        <f t="shared" si="18"/>
        <v>2.8022145113507438E-12</v>
      </c>
      <c r="AE44" s="4">
        <f t="shared" si="18"/>
        <v>2.8291314265099706E-12</v>
      </c>
      <c r="AF44" s="4">
        <f t="shared" si="18"/>
        <v>2.8563673408815357E-12</v>
      </c>
      <c r="AG44" s="4">
        <f t="shared" si="18"/>
        <v>2.8839250387785346E-12</v>
      </c>
      <c r="AH44" s="4">
        <f t="shared" si="18"/>
        <v>2.9118073567102228E-12</v>
      </c>
      <c r="AI44" s="4">
        <f t="shared" si="18"/>
        <v>2.9400171865025238E-12</v>
      </c>
      <c r="AJ44" s="4">
        <f t="shared" si="18"/>
        <v>2.9685574774173293E-12</v>
      </c>
      <c r="AK44" s="4">
        <f t="shared" si="18"/>
        <v>2.9974312375518587E-12</v>
      </c>
      <c r="AL44" s="4">
        <f t="shared" si="14"/>
        <v>3.0266415347219157E-12</v>
      </c>
      <c r="AM44" s="4">
        <f t="shared" si="14"/>
        <v>3.0561914969775634E-12</v>
      </c>
      <c r="AN44" s="4">
        <f t="shared" si="14"/>
        <v>3.0860843128599837E-12</v>
      </c>
      <c r="AO44" s="4">
        <f t="shared" si="14"/>
        <v>3.1163232314794209E-12</v>
      </c>
      <c r="AP44" s="4">
        <f t="shared" si="14"/>
        <v>3.1469115624730367E-12</v>
      </c>
      <c r="AQ44" s="4">
        <f t="shared" si="14"/>
        <v>3.1778526758860188E-12</v>
      </c>
      <c r="AR44" s="4">
        <f t="shared" si="14"/>
        <v>3.2091500020078754E-12</v>
      </c>
      <c r="AS44" s="4">
        <f t="shared" si="14"/>
        <v>3.2408070311873309E-12</v>
      </c>
      <c r="AT44" s="4">
        <f t="shared" si="14"/>
        <v>3.2728273136429733E-12</v>
      </c>
      <c r="AU44" s="4">
        <f t="shared" si="13"/>
        <v>3.3052144592820501E-12</v>
      </c>
      <c r="AV44" s="4">
        <f t="shared" si="13"/>
        <v>3.3379721375363097E-12</v>
      </c>
      <c r="AW44" s="4">
        <f t="shared" si="13"/>
        <v>3.3711040772211411E-12</v>
      </c>
      <c r="AX44" s="4">
        <f t="shared" si="13"/>
        <v>3.4046140664222961E-12</v>
      </c>
      <c r="AY44" s="4">
        <f t="shared" si="13"/>
        <v>3.438505952412991E-12</v>
      </c>
      <c r="AZ44" s="4">
        <f t="shared" si="13"/>
        <v>3.4727836416031064E-12</v>
      </c>
      <c r="BA44" s="4">
        <f t="shared" si="13"/>
        <v>3.507451099521368E-12</v>
      </c>
      <c r="BB44" s="4">
        <f t="shared" si="19"/>
        <v>3.5425123508308102E-12</v>
      </c>
      <c r="BC44" s="4">
        <f t="shared" si="19"/>
        <v>3.5779714793773788E-12</v>
      </c>
      <c r="BD44" s="4">
        <f t="shared" si="19"/>
        <v>3.5797549541464771E-12</v>
      </c>
      <c r="BE44" s="4">
        <f t="shared" si="19"/>
        <v>3.5815394344758868E-12</v>
      </c>
      <c r="BF44" s="4">
        <f t="shared" si="19"/>
        <v>3.5833249208877602E-12</v>
      </c>
      <c r="BG44" s="4">
        <f t="shared" si="19"/>
        <v>3.5851114139046212E-12</v>
      </c>
      <c r="BH44" s="4">
        <f t="shared" si="19"/>
        <v>3.5868989140493632E-12</v>
      </c>
      <c r="BI44" s="4">
        <f t="shared" si="19"/>
        <v>3.5886874218452542E-12</v>
      </c>
      <c r="BJ44" s="4">
        <f t="shared" si="19"/>
        <v>3.5904769378159302E-12</v>
      </c>
      <c r="BK44" s="4">
        <f t="shared" si="19"/>
        <v>3.5922674624854005E-12</v>
      </c>
      <c r="BL44" s="4">
        <f t="shared" si="19"/>
        <v>3.5940589963780447E-12</v>
      </c>
      <c r="BM44" s="4">
        <f t="shared" si="19"/>
        <v>3.5958515400186159E-12</v>
      </c>
      <c r="BN44" s="4">
        <f t="shared" si="19"/>
        <v>3.5976450939322349E-12</v>
      </c>
      <c r="BO44" s="4">
        <f t="shared" si="19"/>
        <v>3.5994396586443973E-12</v>
      </c>
      <c r="BP44" s="4">
        <f t="shared" si="19"/>
        <v>3.6012352346809687E-12</v>
      </c>
      <c r="BQ44" s="4">
        <f t="shared" si="19"/>
        <v>3.6030318225681872E-12</v>
      </c>
      <c r="BR44" s="4">
        <f t="shared" si="17"/>
        <v>3.6048294228326618E-12</v>
      </c>
      <c r="BS44" s="4">
        <f t="shared" si="17"/>
        <v>3.6066280360013741E-12</v>
      </c>
      <c r="BT44" s="4">
        <f t="shared" si="16"/>
        <v>3.608427662601675E-12</v>
      </c>
      <c r="BU44" s="4">
        <f t="shared" si="16"/>
        <v>3.6102283031612903E-12</v>
      </c>
      <c r="BV44" s="4">
        <f t="shared" si="16"/>
        <v>3.6120299582083167E-12</v>
      </c>
      <c r="BW44" s="4">
        <f t="shared" si="16"/>
        <v>3.6138326282712211E-12</v>
      </c>
      <c r="BX44" s="4">
        <f t="shared" si="16"/>
        <v>3.6156363138788451E-12</v>
      </c>
      <c r="BY44" s="4">
        <f t="shared" si="16"/>
        <v>3.6174410155604E-12</v>
      </c>
      <c r="BZ44" s="4">
        <f t="shared" si="16"/>
        <v>3.6192467338454685E-12</v>
      </c>
      <c r="CA44" s="4">
        <f t="shared" si="16"/>
        <v>3.6210534692640091E-12</v>
      </c>
      <c r="CB44" s="4">
        <f t="shared" si="16"/>
        <v>3.6228612223463493E-12</v>
      </c>
      <c r="CC44" s="4">
        <f t="shared" si="16"/>
        <v>3.6246699936231893E-12</v>
      </c>
      <c r="CD44" s="4">
        <f t="shared" si="16"/>
        <v>3.6264797836256019E-12</v>
      </c>
      <c r="CE44" s="4">
        <f t="shared" si="16"/>
        <v>3.6282905928850326E-12</v>
      </c>
      <c r="CF44" s="4">
        <f t="shared" si="16"/>
        <v>3.6301024219332984E-12</v>
      </c>
      <c r="CG44" s="4">
        <f t="shared" si="16"/>
        <v>3.6319152713025897E-12</v>
      </c>
      <c r="CH44" s="4">
        <f t="shared" si="16"/>
        <v>3.633729141525468E-12</v>
      </c>
      <c r="CI44" s="4">
        <f t="shared" si="15"/>
        <v>3.6355440331348681E-12</v>
      </c>
      <c r="CJ44" s="4">
        <f t="shared" si="15"/>
        <v>3.6373599466640975E-12</v>
      </c>
      <c r="CK44" s="4">
        <f t="shared" si="15"/>
        <v>3.6391768826468361E-12</v>
      </c>
      <c r="CL44" s="4">
        <f t="shared" si="15"/>
        <v>3.6409948416171366E-12</v>
      </c>
      <c r="CM44" s="4">
        <f t="shared" si="15"/>
        <v>3.6428138241094242E-12</v>
      </c>
      <c r="CN44" s="4">
        <f t="shared" si="15"/>
        <v>3.6446338306584972E-12</v>
      </c>
      <c r="CO44" s="4">
        <f t="shared" si="15"/>
        <v>3.6464548617995267E-12</v>
      </c>
      <c r="CP44" s="4">
        <f t="shared" si="15"/>
        <v>3.6482769180680549E-12</v>
      </c>
      <c r="CQ44" s="4">
        <f t="shared" si="15"/>
        <v>3.6501000000000012E-12</v>
      </c>
    </row>
    <row r="45" spans="1:95">
      <c r="A45" s="3">
        <v>43</v>
      </c>
      <c r="B45" s="17" t="str">
        <f>データファイル用!$B46</f>
        <v>ASHRAE OSB -1</v>
      </c>
      <c r="C45" s="18">
        <f>データファイル用!G46</f>
        <v>3.3724E-12</v>
      </c>
      <c r="D45" s="19">
        <f>データファイル用!H46</f>
        <v>1.8546</v>
      </c>
      <c r="E45" s="20">
        <f>データファイル用!I46</f>
        <v>-6.2945000000000001E-2</v>
      </c>
      <c r="F45" s="42">
        <f>データファイル用!J46</f>
        <v>1.2563</v>
      </c>
      <c r="G45" s="4">
        <f t="shared" si="20"/>
        <v>0</v>
      </c>
      <c r="H45" s="4">
        <f t="shared" si="20"/>
        <v>2.2381708943335522E-15</v>
      </c>
      <c r="I45" s="4">
        <f t="shared" si="20"/>
        <v>8.0995720071415606E-15</v>
      </c>
      <c r="J45" s="4">
        <f t="shared" si="20"/>
        <v>1.71932997564595E-14</v>
      </c>
      <c r="K45" s="4">
        <f t="shared" si="20"/>
        <v>2.9337143129010762E-14</v>
      </c>
      <c r="L45" s="4">
        <f t="shared" si="20"/>
        <v>4.4413758759442347E-14</v>
      </c>
      <c r="M45" s="4">
        <f t="shared" si="20"/>
        <v>6.2338603248567201E-14</v>
      </c>
      <c r="N45" s="4">
        <f t="shared" si="20"/>
        <v>8.3046947442312149E-14</v>
      </c>
      <c r="O45" s="4">
        <f t="shared" si="20"/>
        <v>1.0648731007964484E-13</v>
      </c>
      <c r="P45" s="4">
        <f t="shared" si="20"/>
        <v>1.3261767931897831E-13</v>
      </c>
      <c r="Q45" s="4">
        <f t="shared" si="20"/>
        <v>1.6140314233118496E-13</v>
      </c>
      <c r="R45" s="4">
        <f t="shared" si="20"/>
        <v>1.9281430259197077E-13</v>
      </c>
      <c r="S45" s="4">
        <f t="shared" si="20"/>
        <v>2.2682617192950359E-13</v>
      </c>
      <c r="T45" s="4">
        <f t="shared" si="20"/>
        <v>2.6341736551541321E-13</v>
      </c>
      <c r="U45" s="4">
        <f t="shared" si="20"/>
        <v>3.0256949910818707E-13</v>
      </c>
      <c r="V45" s="4">
        <f t="shared" si="20"/>
        <v>3.442667263856043E-13</v>
      </c>
      <c r="W45" s="4">
        <f t="shared" si="18"/>
        <v>3.8849537631950218E-13</v>
      </c>
      <c r="X45" s="4">
        <f t="shared" si="18"/>
        <v>4.3524366386137406E-13</v>
      </c>
      <c r="Y45" s="4">
        <f t="shared" si="18"/>
        <v>4.8450145554985294E-13</v>
      </c>
      <c r="Z45" s="4">
        <f t="shared" si="18"/>
        <v>5.3626007705854005E-13</v>
      </c>
      <c r="AA45" s="4">
        <f t="shared" si="18"/>
        <v>5.9051215331161345E-13</v>
      </c>
      <c r="AB45" s="4">
        <f t="shared" si="18"/>
        <v>6.4725147426550637E-13</v>
      </c>
      <c r="AC45" s="4">
        <f t="shared" si="18"/>
        <v>7.0647288118496249E-13</v>
      </c>
      <c r="AD45" s="4">
        <f t="shared" si="18"/>
        <v>7.6817216947739285E-13</v>
      </c>
      <c r="AE45" s="4">
        <f t="shared" si="18"/>
        <v>8.3234600504779749E-13</v>
      </c>
      <c r="AF45" s="4">
        <f t="shared" si="18"/>
        <v>8.9899185180011177E-13</v>
      </c>
      <c r="AG45" s="4">
        <f t="shared" si="18"/>
        <v>9.6810790840820146E-13</v>
      </c>
      <c r="AH45" s="4">
        <f t="shared" si="18"/>
        <v>1.0396930528573603E-12</v>
      </c>
      <c r="AI45" s="4">
        <f t="shared" si="18"/>
        <v>1.1137467935474007E-12</v>
      </c>
      <c r="AJ45" s="4">
        <f t="shared" si="18"/>
        <v>1.1902692259738786E-12</v>
      </c>
      <c r="AK45" s="4">
        <f t="shared" si="18"/>
        <v>1.2692609941809671E-12</v>
      </c>
      <c r="AL45" s="4">
        <f t="shared" si="14"/>
        <v>1.350723256319653E-12</v>
      </c>
      <c r="AM45" s="4">
        <f t="shared" si="14"/>
        <v>1.4346576537569145E-12</v>
      </c>
      <c r="AN45" s="4">
        <f t="shared" si="14"/>
        <v>1.5210662832717564E-12</v>
      </c>
      <c r="AO45" s="4">
        <f t="shared" si="14"/>
        <v>1.6099516719471391E-12</v>
      </c>
      <c r="AP45" s="4">
        <f t="shared" ref="AP45:BE60" si="21">$C45*IF(AND(AP$2=0,$D45=0),1,AP$2^$D45)*EXP($E45*(1-IF(AND(AP$2=0,$F45=0),1,AP$2^$F45)))</f>
        <v>1.7013167544266532E-12</v>
      </c>
      <c r="AQ45" s="4">
        <f t="shared" si="21"/>
        <v>1.7951648522539547E-12</v>
      </c>
      <c r="AR45" s="4">
        <f t="shared" si="21"/>
        <v>1.8914996550536753E-12</v>
      </c>
      <c r="AS45" s="4">
        <f t="shared" si="21"/>
        <v>1.9903252033463649E-12</v>
      </c>
      <c r="AT45" s="4">
        <f t="shared" si="21"/>
        <v>2.09164587281837E-12</v>
      </c>
      <c r="AU45" s="4">
        <f t="shared" si="21"/>
        <v>2.1954663598913539E-12</v>
      </c>
      <c r="AV45" s="4">
        <f t="shared" si="21"/>
        <v>2.3017916684563064E-12</v>
      </c>
      <c r="AW45" s="4">
        <f t="shared" si="21"/>
        <v>2.4106270976539709E-12</v>
      </c>
      <c r="AX45" s="4">
        <f t="shared" si="21"/>
        <v>2.5219782305981689E-12</v>
      </c>
      <c r="AY45" s="4">
        <f t="shared" si="21"/>
        <v>2.635850923950988E-12</v>
      </c>
      <c r="AZ45" s="4">
        <f t="shared" si="21"/>
        <v>2.752251298269495E-12</v>
      </c>
      <c r="BA45" s="4">
        <f t="shared" si="21"/>
        <v>2.8711857290528719E-12</v>
      </c>
      <c r="BB45" s="4">
        <f t="shared" si="21"/>
        <v>2.9926608384268833E-12</v>
      </c>
      <c r="BC45" s="4">
        <f t="shared" si="21"/>
        <v>3.116683487409513E-12</v>
      </c>
      <c r="BD45" s="4">
        <f t="shared" si="21"/>
        <v>3.1229516190296158E-12</v>
      </c>
      <c r="BE45" s="4">
        <f t="shared" si="21"/>
        <v>3.1292261380853213E-12</v>
      </c>
      <c r="BF45" s="4">
        <f t="shared" si="19"/>
        <v>3.1355070454795878E-12</v>
      </c>
      <c r="BG45" s="4">
        <f t="shared" si="19"/>
        <v>3.1417943421167743E-12</v>
      </c>
      <c r="BH45" s="4">
        <f t="shared" si="19"/>
        <v>3.1480880289026392E-12</v>
      </c>
      <c r="BI45" s="4">
        <f t="shared" si="19"/>
        <v>3.1543881067443403E-12</v>
      </c>
      <c r="BJ45" s="4">
        <f t="shared" si="19"/>
        <v>3.1606945765504282E-12</v>
      </c>
      <c r="BK45" s="4">
        <f t="shared" si="19"/>
        <v>3.1670074392308484E-12</v>
      </c>
      <c r="BL45" s="4">
        <f t="shared" si="19"/>
        <v>3.1733266956969389E-12</v>
      </c>
      <c r="BM45" s="4">
        <f t="shared" si="19"/>
        <v>3.179652346861425E-12</v>
      </c>
      <c r="BN45" s="4">
        <f t="shared" si="19"/>
        <v>3.1859843936384227E-12</v>
      </c>
      <c r="BO45" s="4">
        <f t="shared" si="19"/>
        <v>3.1923228369434309E-12</v>
      </c>
      <c r="BP45" s="4">
        <f t="shared" si="19"/>
        <v>3.1986676776933348E-12</v>
      </c>
      <c r="BQ45" s="4">
        <f t="shared" si="19"/>
        <v>3.205018916806399E-12</v>
      </c>
      <c r="BR45" s="4">
        <f t="shared" si="17"/>
        <v>3.2113765552022689E-12</v>
      </c>
      <c r="BS45" s="4">
        <f t="shared" si="17"/>
        <v>3.2177405938019683E-12</v>
      </c>
      <c r="BT45" s="4">
        <f t="shared" si="16"/>
        <v>3.2241110335278963E-12</v>
      </c>
      <c r="BU45" s="4">
        <f t="shared" si="16"/>
        <v>3.2304878753038268E-12</v>
      </c>
      <c r="BV45" s="4">
        <f t="shared" si="16"/>
        <v>3.2368711200549054E-12</v>
      </c>
      <c r="BW45" s="4">
        <f t="shared" si="16"/>
        <v>3.2432607687076477E-12</v>
      </c>
      <c r="BX45" s="4">
        <f t="shared" si="16"/>
        <v>3.2496568221899385E-12</v>
      </c>
      <c r="BY45" s="4">
        <f t="shared" si="16"/>
        <v>3.2560592814310277E-12</v>
      </c>
      <c r="BZ45" s="4">
        <f t="shared" si="16"/>
        <v>3.2624681473615306E-12</v>
      </c>
      <c r="CA45" s="4">
        <f t="shared" si="16"/>
        <v>3.2688834209134265E-12</v>
      </c>
      <c r="CB45" s="4">
        <f t="shared" si="16"/>
        <v>3.2753051030200527E-12</v>
      </c>
      <c r="CC45" s="4">
        <f t="shared" si="16"/>
        <v>3.2817331946161074E-12</v>
      </c>
      <c r="CD45" s="4">
        <f t="shared" si="16"/>
        <v>3.2881676966376457E-12</v>
      </c>
      <c r="CE45" s="4">
        <f t="shared" si="16"/>
        <v>3.2946086100220773E-12</v>
      </c>
      <c r="CF45" s="4">
        <f t="shared" si="16"/>
        <v>3.3010559357081654E-12</v>
      </c>
      <c r="CG45" s="4">
        <f t="shared" si="16"/>
        <v>3.3075096746360249E-12</v>
      </c>
      <c r="CH45" s="4">
        <f t="shared" si="16"/>
        <v>3.3139698277471211E-12</v>
      </c>
      <c r="CI45" s="4">
        <f t="shared" si="15"/>
        <v>3.3204363959842654E-12</v>
      </c>
      <c r="CJ45" s="4">
        <f t="shared" si="15"/>
        <v>3.3269093802916166E-12</v>
      </c>
      <c r="CK45" s="4">
        <f t="shared" si="15"/>
        <v>3.3333887816146773E-12</v>
      </c>
      <c r="CL45" s="4">
        <f t="shared" si="15"/>
        <v>3.3398746009002926E-12</v>
      </c>
      <c r="CM45" s="4">
        <f t="shared" si="15"/>
        <v>3.3463668390966482E-12</v>
      </c>
      <c r="CN45" s="4">
        <f t="shared" si="15"/>
        <v>3.3528654971532687E-12</v>
      </c>
      <c r="CO45" s="4">
        <f t="shared" si="15"/>
        <v>3.3593705760210143E-12</v>
      </c>
      <c r="CP45" s="4">
        <f t="shared" si="15"/>
        <v>3.3658820766520826E-12</v>
      </c>
      <c r="CQ45" s="4">
        <f t="shared" si="15"/>
        <v>3.3724000000000029E-12</v>
      </c>
    </row>
    <row r="46" spans="1:95">
      <c r="A46" s="3">
        <v>44</v>
      </c>
      <c r="B46" s="17" t="str">
        <f>データファイル用!$B47</f>
        <v>ASHRAE OSB -2</v>
      </c>
      <c r="C46" s="18">
        <f>データファイル用!G47</f>
        <v>6.4595000000000001E-12</v>
      </c>
      <c r="D46" s="19">
        <f>データファイル用!H47</f>
        <v>8.9843000000000006E-2</v>
      </c>
      <c r="E46" s="20">
        <f>データファイル用!I47</f>
        <v>-4.7361000000000004</v>
      </c>
      <c r="F46" s="42">
        <f>データファイル用!J47</f>
        <v>1.0963000000000001</v>
      </c>
      <c r="G46" s="4">
        <f t="shared" si="20"/>
        <v>0</v>
      </c>
      <c r="H46" s="4">
        <f t="shared" si="20"/>
        <v>4.2552063106343215E-14</v>
      </c>
      <c r="I46" s="4">
        <f t="shared" si="20"/>
        <v>4.8762615895799604E-14</v>
      </c>
      <c r="J46" s="4">
        <f t="shared" si="20"/>
        <v>5.4661874307740768E-14</v>
      </c>
      <c r="K46" s="4">
        <f t="shared" si="20"/>
        <v>6.0786734153368715E-14</v>
      </c>
      <c r="L46" s="4">
        <f t="shared" si="20"/>
        <v>6.7340147526889853E-14</v>
      </c>
      <c r="M46" s="4">
        <f t="shared" si="20"/>
        <v>7.4446866157237015E-14</v>
      </c>
      <c r="N46" s="4">
        <f t="shared" si="20"/>
        <v>8.2207629701901096E-14</v>
      </c>
      <c r="O46" s="4">
        <f t="shared" si="20"/>
        <v>9.0716905334738471E-14</v>
      </c>
      <c r="P46" s="4">
        <f t="shared" si="20"/>
        <v>1.0007046691440647E-13</v>
      </c>
      <c r="Q46" s="4">
        <f t="shared" si="20"/>
        <v>1.1036941710858986E-13</v>
      </c>
      <c r="R46" s="4">
        <f t="shared" si="20"/>
        <v>1.2172279214993632E-13</v>
      </c>
      <c r="S46" s="4">
        <f t="shared" si="20"/>
        <v>1.3424957323329051E-13</v>
      </c>
      <c r="T46" s="4">
        <f t="shared" si="20"/>
        <v>1.4808046722207607E-13</v>
      </c>
      <c r="U46" s="4">
        <f t="shared" si="20"/>
        <v>1.6335963623888431E-13</v>
      </c>
      <c r="V46" s="4">
        <f t="shared" si="20"/>
        <v>1.8024647622367377E-13</v>
      </c>
      <c r="W46" s="4">
        <f t="shared" si="18"/>
        <v>1.9891750786557656E-13</v>
      </c>
      <c r="X46" s="4">
        <f t="shared" si="18"/>
        <v>2.1956842591675555E-13</v>
      </c>
      <c r="Y46" s="4">
        <f t="shared" si="18"/>
        <v>2.4241634486253884E-13</v>
      </c>
      <c r="Z46" s="4">
        <f t="shared" si="18"/>
        <v>2.6770227577780394E-13</v>
      </c>
      <c r="AA46" s="4">
        <f t="shared" si="18"/>
        <v>2.9569386881496855E-13</v>
      </c>
      <c r="AB46" s="4">
        <f t="shared" si="18"/>
        <v>3.2668845708785163E-13</v>
      </c>
      <c r="AC46" s="4">
        <f t="shared" si="18"/>
        <v>3.6101644020266904E-13</v>
      </c>
      <c r="AD46" s="4">
        <f t="shared" si="18"/>
        <v>3.9904504907272591E-13</v>
      </c>
      <c r="AE46" s="4">
        <f t="shared" si="18"/>
        <v>4.4118253780975162E-13</v>
      </c>
      <c r="AF46" s="4">
        <f t="shared" si="18"/>
        <v>4.8788285336593722E-13</v>
      </c>
      <c r="AG46" s="4">
        <f t="shared" si="18"/>
        <v>5.3965083920918133E-13</v>
      </c>
      <c r="AH46" s="4">
        <f t="shared" si="18"/>
        <v>5.9704803568444836E-13</v>
      </c>
      <c r="AI46" s="4">
        <f t="shared" si="18"/>
        <v>6.6069914690439865E-13</v>
      </c>
      <c r="AJ46" s="4">
        <f t="shared" si="18"/>
        <v>7.3129925209893273E-13</v>
      </c>
      <c r="AK46" s="4">
        <f t="shared" si="18"/>
        <v>8.0962184842892582E-13</v>
      </c>
      <c r="AL46" s="4">
        <f t="shared" ref="AL46:BA61" si="22">$C46*IF(AND(AL$2=0,$D46=0),1,AL$2^$D46)*EXP($E46*(1-IF(AND(AL$2=0,$F46=0),1,AL$2^$F46)))</f>
        <v>8.9652782244285199E-13</v>
      </c>
      <c r="AM46" s="4">
        <f t="shared" si="22"/>
        <v>9.9297545875105033E-13</v>
      </c>
      <c r="AN46" s="4">
        <f t="shared" si="22"/>
        <v>1.1000316072527505E-12</v>
      </c>
      <c r="AO46" s="4">
        <f t="shared" si="22"/>
        <v>1.2188841445358627E-12</v>
      </c>
      <c r="AP46" s="4">
        <f t="shared" si="22"/>
        <v>1.3508558810593617E-12</v>
      </c>
      <c r="AQ46" s="4">
        <f t="shared" si="22"/>
        <v>1.4974200836254866E-12</v>
      </c>
      <c r="AR46" s="4">
        <f t="shared" si="22"/>
        <v>1.6602178026817241E-12</v>
      </c>
      <c r="AS46" s="4">
        <f t="shared" si="22"/>
        <v>1.8410772164159761E-12</v>
      </c>
      <c r="AT46" s="4">
        <f t="shared" si="22"/>
        <v>2.0420352287090364E-12</v>
      </c>
      <c r="AU46" s="4">
        <f t="shared" si="22"/>
        <v>2.2653615861077707E-12</v>
      </c>
      <c r="AV46" s="4">
        <f t="shared" si="22"/>
        <v>2.5135858104406898E-12</v>
      </c>
      <c r="AW46" s="4">
        <f t="shared" si="22"/>
        <v>2.7895272789188027E-12</v>
      </c>
      <c r="AX46" s="4">
        <f t="shared" si="22"/>
        <v>3.0963288230019777E-12</v>
      </c>
      <c r="AY46" s="4">
        <f t="shared" si="22"/>
        <v>3.4374942614725178E-12</v>
      </c>
      <c r="AZ46" s="4">
        <f t="shared" si="22"/>
        <v>3.816930332613072E-12</v>
      </c>
      <c r="BA46" s="4">
        <f t="shared" si="22"/>
        <v>4.2389935457742771E-12</v>
      </c>
      <c r="BB46" s="4">
        <f t="shared" si="21"/>
        <v>4.7085425346554122E-12</v>
      </c>
      <c r="BC46" s="4">
        <f t="shared" si="21"/>
        <v>5.2309965641125085E-12</v>
      </c>
      <c r="BD46" s="4">
        <f t="shared" si="21"/>
        <v>5.258613610263006E-12</v>
      </c>
      <c r="BE46" s="4">
        <f t="shared" si="21"/>
        <v>5.2863786863138367E-12</v>
      </c>
      <c r="BF46" s="4">
        <f t="shared" si="19"/>
        <v>5.3142925957795269E-12</v>
      </c>
      <c r="BG46" s="4">
        <f t="shared" si="19"/>
        <v>5.3423561465835648E-12</v>
      </c>
      <c r="BH46" s="4">
        <f t="shared" si="19"/>
        <v>5.3705701510828023E-12</v>
      </c>
      <c r="BI46" s="4">
        <f t="shared" si="19"/>
        <v>5.3989354260920438E-12</v>
      </c>
      <c r="BJ46" s="4">
        <f t="shared" si="19"/>
        <v>5.4274527929087315E-12</v>
      </c>
      <c r="BK46" s="4">
        <f t="shared" si="19"/>
        <v>5.4561230773377749E-12</v>
      </c>
      <c r="BL46" s="4">
        <f t="shared" si="19"/>
        <v>5.4849471097165307E-12</v>
      </c>
      <c r="BM46" s="4">
        <f t="shared" si="19"/>
        <v>5.5139257249399269E-12</v>
      </c>
      <c r="BN46" s="4">
        <f t="shared" si="19"/>
        <v>5.5430597624856999E-12</v>
      </c>
      <c r="BO46" s="4">
        <f t="shared" si="19"/>
        <v>5.5723500664397973E-12</v>
      </c>
      <c r="BP46" s="4">
        <f t="shared" si="19"/>
        <v>5.6017974855219207E-12</v>
      </c>
      <c r="BQ46" s="4">
        <f t="shared" si="19"/>
        <v>5.631402873111199E-12</v>
      </c>
      <c r="BR46" s="4">
        <f t="shared" si="17"/>
        <v>5.6611670872720157E-12</v>
      </c>
      <c r="BS46" s="4">
        <f t="shared" si="17"/>
        <v>5.6910909907799726E-12</v>
      </c>
      <c r="BT46" s="4">
        <f t="shared" si="16"/>
        <v>5.721175451148007E-12</v>
      </c>
      <c r="BU46" s="4">
        <f t="shared" si="16"/>
        <v>5.75142134065265E-12</v>
      </c>
      <c r="BV46" s="4">
        <f t="shared" si="16"/>
        <v>5.7818295363604318E-12</v>
      </c>
      <c r="BW46" s="4">
        <f t="shared" si="16"/>
        <v>5.8124009201544401E-12</v>
      </c>
      <c r="BX46" s="4">
        <f t="shared" si="16"/>
        <v>5.8431363787610089E-12</v>
      </c>
      <c r="BY46" s="4">
        <f t="shared" si="16"/>
        <v>5.8740368037765921E-12</v>
      </c>
      <c r="BZ46" s="4">
        <f t="shared" si="16"/>
        <v>5.9051030916947312E-12</v>
      </c>
      <c r="CA46" s="4">
        <f t="shared" si="16"/>
        <v>5.9363361439332497E-12</v>
      </c>
      <c r="CB46" s="4">
        <f t="shared" si="16"/>
        <v>5.9677368668615238E-12</v>
      </c>
      <c r="CC46" s="4">
        <f t="shared" si="16"/>
        <v>5.9993061718279494E-12</v>
      </c>
      <c r="CD46" s="4">
        <f t="shared" si="16"/>
        <v>6.031044975187567E-12</v>
      </c>
      <c r="CE46" s="4">
        <f t="shared" si="16"/>
        <v>6.0629541983297936E-12</v>
      </c>
      <c r="CF46" s="4">
        <f t="shared" si="16"/>
        <v>6.0950347677063843E-12</v>
      </c>
      <c r="CG46" s="4">
        <f t="shared" si="16"/>
        <v>6.127287614859473E-12</v>
      </c>
      <c r="CH46" s="4">
        <f t="shared" si="16"/>
        <v>6.1597136764498262E-12</v>
      </c>
      <c r="CI46" s="4">
        <f t="shared" si="15"/>
        <v>6.1923138942852294E-12</v>
      </c>
      <c r="CJ46" s="4">
        <f t="shared" si="15"/>
        <v>6.2250892153490346E-12</v>
      </c>
      <c r="CK46" s="4">
        <f t="shared" si="15"/>
        <v>6.2580405918288654E-12</v>
      </c>
      <c r="CL46" s="4">
        <f t="shared" si="15"/>
        <v>6.291168981145504E-12</v>
      </c>
      <c r="CM46" s="4">
        <f t="shared" si="15"/>
        <v>6.3244753459819022E-12</v>
      </c>
      <c r="CN46" s="4">
        <f t="shared" si="15"/>
        <v>6.3579606543123955E-12</v>
      </c>
      <c r="CO46" s="4">
        <f t="shared" si="15"/>
        <v>6.391625879432045E-12</v>
      </c>
      <c r="CP46" s="4">
        <f t="shared" si="15"/>
        <v>6.4254719999861682E-12</v>
      </c>
      <c r="CQ46" s="4">
        <f t="shared" si="15"/>
        <v>6.459500000000013E-12</v>
      </c>
    </row>
    <row r="47" spans="1:95">
      <c r="A47" s="3">
        <v>45</v>
      </c>
      <c r="B47" s="17" t="str">
        <f>データファイル用!$B48</f>
        <v>ASHRAE OSB -3</v>
      </c>
      <c r="C47" s="18">
        <f>データファイル用!G48</f>
        <v>5.3828999999999996E-12</v>
      </c>
      <c r="D47" s="19">
        <f>データファイル用!H48</f>
        <v>0.42919000000000002</v>
      </c>
      <c r="E47" s="20">
        <f>データファイル用!I48</f>
        <v>-2.4348999999999998</v>
      </c>
      <c r="F47" s="42">
        <f>データファイル用!J48</f>
        <v>0.94260999999999995</v>
      </c>
      <c r="G47" s="4">
        <f t="shared" si="20"/>
        <v>0</v>
      </c>
      <c r="H47" s="4">
        <f t="shared" si="20"/>
        <v>9.3507082740736975E-14</v>
      </c>
      <c r="I47" s="4">
        <f t="shared" si="20"/>
        <v>1.3318383648327443E-13</v>
      </c>
      <c r="J47" s="4">
        <f t="shared" si="20"/>
        <v>1.673836468549438E-13</v>
      </c>
      <c r="K47" s="4">
        <f t="shared" si="20"/>
        <v>1.9978492606616598E-13</v>
      </c>
      <c r="L47" s="4">
        <f t="shared" si="20"/>
        <v>2.3176522557244342E-13</v>
      </c>
      <c r="M47" s="4">
        <f t="shared" si="20"/>
        <v>2.6403515192407843E-13</v>
      </c>
      <c r="N47" s="4">
        <f t="shared" si="20"/>
        <v>2.9703516384000063E-13</v>
      </c>
      <c r="O47" s="4">
        <f t="shared" si="20"/>
        <v>3.310754695102843E-13</v>
      </c>
      <c r="P47" s="4">
        <f t="shared" si="20"/>
        <v>3.6639657356208744E-13</v>
      </c>
      <c r="Q47" s="4">
        <f t="shared" si="20"/>
        <v>4.0319925921258751E-13</v>
      </c>
      <c r="R47" s="4">
        <f t="shared" si="20"/>
        <v>4.4166095508988217E-13</v>
      </c>
      <c r="S47" s="4">
        <f t="shared" si="20"/>
        <v>4.8194537077160976E-13</v>
      </c>
      <c r="T47" s="4">
        <f t="shared" si="20"/>
        <v>5.2420853200148743E-13</v>
      </c>
      <c r="U47" s="4">
        <f t="shared" si="20"/>
        <v>5.6860276822097751E-13</v>
      </c>
      <c r="V47" s="4">
        <f t="shared" si="20"/>
        <v>6.1527947704330997E-13</v>
      </c>
      <c r="W47" s="4">
        <f t="shared" si="18"/>
        <v>6.6439112886113451E-13</v>
      </c>
      <c r="X47" s="4">
        <f t="shared" si="18"/>
        <v>7.1609278421303549E-13</v>
      </c>
      <c r="Y47" s="4">
        <f t="shared" si="18"/>
        <v>7.7054329088882815E-13</v>
      </c>
      <c r="Z47" s="4">
        <f t="shared" si="18"/>
        <v>8.2790626664129147E-13</v>
      </c>
      <c r="AA47" s="4">
        <f t="shared" si="18"/>
        <v>8.8835093670554521E-13</v>
      </c>
      <c r="AB47" s="4">
        <f t="shared" si="18"/>
        <v>9.5205287261981506E-13</v>
      </c>
      <c r="AC47" s="4">
        <f t="shared" si="18"/>
        <v>1.0191946643837163E-12</v>
      </c>
      <c r="AD47" s="4">
        <f t="shared" si="18"/>
        <v>1.0899665485583891E-12</v>
      </c>
      <c r="AE47" s="4">
        <f t="shared" si="18"/>
        <v>1.1645670086263415E-12</v>
      </c>
      <c r="AF47" s="4">
        <f t="shared" si="18"/>
        <v>1.243203359659001E-12</v>
      </c>
      <c r="AG47" s="4">
        <f t="shared" si="18"/>
        <v>1.3260923263913931E-12</v>
      </c>
      <c r="AH47" s="4">
        <f t="shared" si="18"/>
        <v>1.4134606217380016E-12</v>
      </c>
      <c r="AI47" s="4">
        <f t="shared" si="18"/>
        <v>1.5055455313194856E-12</v>
      </c>
      <c r="AJ47" s="4">
        <f t="shared" si="18"/>
        <v>1.6025955085215659E-12</v>
      </c>
      <c r="AK47" s="4">
        <f t="shared" si="18"/>
        <v>1.7048707838514503E-12</v>
      </c>
      <c r="AL47" s="4">
        <f t="shared" si="22"/>
        <v>1.8126439918098478E-12</v>
      </c>
      <c r="AM47" s="4">
        <f t="shared" si="22"/>
        <v>1.9262008181001881E-12</v>
      </c>
      <c r="AN47" s="4">
        <f t="shared" si="22"/>
        <v>2.0458406697109963E-12</v>
      </c>
      <c r="AO47" s="4">
        <f t="shared" si="22"/>
        <v>2.1718773702038407E-12</v>
      </c>
      <c r="AP47" s="4">
        <f t="shared" si="22"/>
        <v>2.3046398823978107E-12</v>
      </c>
      <c r="AQ47" s="4">
        <f t="shared" si="22"/>
        <v>2.4444730605472085E-12</v>
      </c>
      <c r="AR47" s="4">
        <f t="shared" si="22"/>
        <v>2.591738434051574E-12</v>
      </c>
      <c r="AS47" s="4">
        <f t="shared" si="22"/>
        <v>2.746815024708318E-12</v>
      </c>
      <c r="AT47" s="4">
        <f t="shared" si="22"/>
        <v>2.9101001995123762E-12</v>
      </c>
      <c r="AU47" s="4">
        <f t="shared" si="22"/>
        <v>3.082010561020125E-12</v>
      </c>
      <c r="AV47" s="4">
        <f t="shared" si="22"/>
        <v>3.2629828773229998E-12</v>
      </c>
      <c r="AW47" s="4">
        <f t="shared" si="22"/>
        <v>3.4534750537174893E-12</v>
      </c>
      <c r="AX47" s="4">
        <f t="shared" si="22"/>
        <v>3.6539671482105854E-12</v>
      </c>
      <c r="AY47" s="4">
        <f t="shared" si="22"/>
        <v>3.8649624330619271E-12</v>
      </c>
      <c r="AZ47" s="4">
        <f t="shared" si="22"/>
        <v>4.086988504634918E-12</v>
      </c>
      <c r="BA47" s="4">
        <f t="shared" si="22"/>
        <v>4.3205984439080522E-12</v>
      </c>
      <c r="BB47" s="4">
        <f t="shared" si="21"/>
        <v>4.566372030084195E-12</v>
      </c>
      <c r="BC47" s="4">
        <f t="shared" si="21"/>
        <v>4.8249170098291375E-12</v>
      </c>
      <c r="BD47" s="4">
        <f t="shared" si="21"/>
        <v>4.8381908064752616E-12</v>
      </c>
      <c r="BE47" s="4">
        <f t="shared" si="21"/>
        <v>4.8514981994342523E-12</v>
      </c>
      <c r="BF47" s="4">
        <f t="shared" si="19"/>
        <v>4.8648392704977812E-12</v>
      </c>
      <c r="BG47" s="4">
        <f t="shared" si="19"/>
        <v>4.8782141016501034E-12</v>
      </c>
      <c r="BH47" s="4">
        <f t="shared" si="19"/>
        <v>4.8916227750685228E-12</v>
      </c>
      <c r="BI47" s="4">
        <f t="shared" si="19"/>
        <v>4.9050653731238271E-12</v>
      </c>
      <c r="BJ47" s="4">
        <f t="shared" si="19"/>
        <v>4.9185419783807406E-12</v>
      </c>
      <c r="BK47" s="4">
        <f t="shared" si="19"/>
        <v>4.9320526735983724E-12</v>
      </c>
      <c r="BL47" s="4">
        <f t="shared" si="19"/>
        <v>4.9455975417306638E-12</v>
      </c>
      <c r="BM47" s="4">
        <f t="shared" si="19"/>
        <v>4.9591766659268501E-12</v>
      </c>
      <c r="BN47" s="4">
        <f t="shared" si="19"/>
        <v>4.9727901295318939E-12</v>
      </c>
      <c r="BO47" s="4">
        <f t="shared" si="19"/>
        <v>4.9864380160869584E-12</v>
      </c>
      <c r="BP47" s="4">
        <f t="shared" si="19"/>
        <v>5.0001204093298474E-12</v>
      </c>
      <c r="BQ47" s="4">
        <f t="shared" si="19"/>
        <v>5.0138373931954662E-12</v>
      </c>
      <c r="BR47" s="4">
        <f t="shared" si="17"/>
        <v>5.027589051816278E-12</v>
      </c>
      <c r="BS47" s="4">
        <f t="shared" si="17"/>
        <v>5.0413754695227592E-12</v>
      </c>
      <c r="BT47" s="4">
        <f t="shared" si="16"/>
        <v>5.0551967308438608E-12</v>
      </c>
      <c r="BU47" s="4">
        <f t="shared" si="16"/>
        <v>5.0690529205074619E-12</v>
      </c>
      <c r="BV47" s="4">
        <f t="shared" si="16"/>
        <v>5.0829441234408357E-12</v>
      </c>
      <c r="BW47" s="4">
        <f t="shared" si="16"/>
        <v>5.0968704247711126E-12</v>
      </c>
      <c r="BX47" s="4">
        <f t="shared" si="16"/>
        <v>5.1108319098257314E-12</v>
      </c>
      <c r="BY47" s="4">
        <f t="shared" ref="BY47:CN79" si="23">$C47*IF(AND(BY$2=0,$D47=0),1,BY$2^$D47)*EXP($E47*(1-IF(AND(BY$2=0,$F47=0),1,BY$2^$F47)))</f>
        <v>5.1248286641329169E-12</v>
      </c>
      <c r="BZ47" s="4">
        <f t="shared" si="23"/>
        <v>5.1388607734221338E-12</v>
      </c>
      <c r="CA47" s="4">
        <f t="shared" si="23"/>
        <v>5.152928323624558E-12</v>
      </c>
      <c r="CB47" s="4">
        <f t="shared" si="23"/>
        <v>5.1670314008735428E-12</v>
      </c>
      <c r="CC47" s="4">
        <f t="shared" si="23"/>
        <v>5.1811700915050816E-12</v>
      </c>
      <c r="CD47" s="4">
        <f t="shared" si="23"/>
        <v>5.1953444820582834E-12</v>
      </c>
      <c r="CE47" s="4">
        <f t="shared" si="23"/>
        <v>5.209554659275839E-12</v>
      </c>
      <c r="CF47" s="4">
        <f t="shared" si="23"/>
        <v>5.2238007101044894E-12</v>
      </c>
      <c r="CG47" s="4">
        <f t="shared" si="23"/>
        <v>5.2380827216955041E-12</v>
      </c>
      <c r="CH47" s="4">
        <f t="shared" si="23"/>
        <v>5.2524007814051504E-12</v>
      </c>
      <c r="CI47" s="4">
        <f t="shared" si="23"/>
        <v>5.2667549767951637E-12</v>
      </c>
      <c r="CJ47" s="4">
        <f t="shared" si="23"/>
        <v>5.2811453956332293E-12</v>
      </c>
      <c r="CK47" s="4">
        <f t="shared" si="23"/>
        <v>5.2955721258934571E-12</v>
      </c>
      <c r="CL47" s="4">
        <f t="shared" si="23"/>
        <v>5.3100352557568523E-12</v>
      </c>
      <c r="CM47" s="4">
        <f t="shared" si="23"/>
        <v>5.3245348736118008E-12</v>
      </c>
      <c r="CN47" s="4">
        <f t="shared" si="23"/>
        <v>5.3390710680545501E-12</v>
      </c>
      <c r="CO47" s="4">
        <f t="shared" si="15"/>
        <v>5.3536439278896816E-12</v>
      </c>
      <c r="CP47" s="4">
        <f t="shared" si="15"/>
        <v>5.3682535421305994E-12</v>
      </c>
      <c r="CQ47" s="4">
        <f t="shared" si="15"/>
        <v>5.3829000000000061E-12</v>
      </c>
    </row>
    <row r="48" spans="1:95">
      <c r="A48" s="3">
        <v>46</v>
      </c>
      <c r="B48" s="17" t="str">
        <f>データファイル用!$B49</f>
        <v>ASHRAE Plywood -1</v>
      </c>
      <c r="C48" s="18">
        <f>データファイル用!G49</f>
        <v>1.8741999999999999E-11</v>
      </c>
      <c r="D48" s="19">
        <f>データファイル用!H49</f>
        <v>2.4018999999999999</v>
      </c>
      <c r="E48" s="20">
        <f>データファイル用!I49</f>
        <v>-0.78864000000000001</v>
      </c>
      <c r="F48" s="42">
        <f>データファイル用!J49</f>
        <v>1.1471</v>
      </c>
      <c r="G48" s="4">
        <f t="shared" si="20"/>
        <v>0</v>
      </c>
      <c r="H48" s="4">
        <f t="shared" si="20"/>
        <v>7.1352741402949781E-16</v>
      </c>
      <c r="I48" s="4">
        <f t="shared" si="20"/>
        <v>3.811838741327923E-15</v>
      </c>
      <c r="J48" s="4">
        <f t="shared" si="20"/>
        <v>1.0212711680011979E-14</v>
      </c>
      <c r="K48" s="4">
        <f t="shared" si="20"/>
        <v>2.0632078464974242E-14</v>
      </c>
      <c r="L48" s="4">
        <f t="shared" si="20"/>
        <v>3.571278103519911E-14</v>
      </c>
      <c r="M48" s="4">
        <f t="shared" si="20"/>
        <v>5.6064411935276699E-14</v>
      </c>
      <c r="N48" s="4">
        <f t="shared" si="20"/>
        <v>8.2282310648142715E-14</v>
      </c>
      <c r="O48" s="4">
        <f t="shared" si="20"/>
        <v>1.1495848669068663E-13</v>
      </c>
      <c r="P48" s="4">
        <f t="shared" si="20"/>
        <v>1.5468868743126262E-13</v>
      </c>
      <c r="Q48" s="4">
        <f t="shared" si="20"/>
        <v>2.0207738024813533E-13</v>
      </c>
      <c r="R48" s="4">
        <f t="shared" si="20"/>
        <v>2.5774150837231758E-13</v>
      </c>
      <c r="S48" s="4">
        <f t="shared" si="20"/>
        <v>3.2231348215413331E-13</v>
      </c>
      <c r="T48" s="4">
        <f t="shared" si="20"/>
        <v>3.9644367321487994E-13</v>
      </c>
      <c r="U48" s="4">
        <f t="shared" si="20"/>
        <v>4.8080257575404763E-13</v>
      </c>
      <c r="V48" s="4">
        <f t="shared" si="20"/>
        <v>5.7608274079716774E-13</v>
      </c>
      <c r="W48" s="4">
        <f t="shared" si="18"/>
        <v>6.8300055425007512E-13</v>
      </c>
      <c r="X48" s="4">
        <f t="shared" si="18"/>
        <v>8.0229790786596521E-13</v>
      </c>
      <c r="Y48" s="4">
        <f t="shared" si="18"/>
        <v>9.3474379817976431E-13</v>
      </c>
      <c r="Z48" s="4">
        <f t="shared" si="18"/>
        <v>1.0811358791114162E-12</v>
      </c>
      <c r="AA48" s="4">
        <f t="shared" si="18"/>
        <v>1.2423019875514643E-12</v>
      </c>
      <c r="AB48" s="4">
        <f t="shared" si="18"/>
        <v>1.4191016567810787E-12</v>
      </c>
      <c r="AC48" s="4">
        <f t="shared" si="18"/>
        <v>1.6124276294028343E-12</v>
      </c>
      <c r="AD48" s="4">
        <f t="shared" si="18"/>
        <v>1.823207379160176E-12</v>
      </c>
      <c r="AE48" s="4">
        <f t="shared" si="18"/>
        <v>2.0524046493365089E-12</v>
      </c>
      <c r="AF48" s="4">
        <f t="shared" si="18"/>
        <v>2.3010210141717777E-12</v>
      </c>
      <c r="AG48" s="4">
        <f t="shared" si="18"/>
        <v>2.5700974687945216E-12</v>
      </c>
      <c r="AH48" s="4">
        <f t="shared" si="18"/>
        <v>2.8607160524570452E-12</v>
      </c>
      <c r="AI48" s="4">
        <f t="shared" si="18"/>
        <v>3.1740015093216595E-12</v>
      </c>
      <c r="AJ48" s="4">
        <f t="shared" si="18"/>
        <v>3.5111229906347534E-12</v>
      </c>
      <c r="AK48" s="4">
        <f t="shared" si="18"/>
        <v>3.8732958018123185E-12</v>
      </c>
      <c r="AL48" s="4">
        <f t="shared" si="22"/>
        <v>4.2617831977230152E-12</v>
      </c>
      <c r="AM48" s="4">
        <f t="shared" si="22"/>
        <v>4.6778982292764255E-12</v>
      </c>
      <c r="AN48" s="4">
        <f t="shared" si="22"/>
        <v>5.1230056442921831E-12</v>
      </c>
      <c r="AO48" s="4">
        <f t="shared" si="22"/>
        <v>5.5985238455310183E-12</v>
      </c>
      <c r="AP48" s="4">
        <f t="shared" si="22"/>
        <v>6.105926908703902E-12</v>
      </c>
      <c r="AQ48" s="4">
        <f t="shared" si="22"/>
        <v>6.6467466632352204E-12</v>
      </c>
      <c r="AR48" s="4">
        <f t="shared" si="22"/>
        <v>7.222574838535618E-12</v>
      </c>
      <c r="AS48" s="4">
        <f t="shared" si="22"/>
        <v>7.8350652785367975E-12</v>
      </c>
      <c r="AT48" s="4">
        <f t="shared" si="22"/>
        <v>8.4859362272512596E-12</v>
      </c>
      <c r="AU48" s="4">
        <f t="shared" si="22"/>
        <v>9.176972688142734E-12</v>
      </c>
      <c r="AV48" s="4">
        <f t="shared" si="22"/>
        <v>9.9100288601263661E-12</v>
      </c>
      <c r="AW48" s="4">
        <f t="shared" si="22"/>
        <v>1.068703065306E-11</v>
      </c>
      <c r="AX48" s="4">
        <f t="shared" si="22"/>
        <v>1.1509978285638432E-11</v>
      </c>
      <c r="AY48" s="4">
        <f t="shared" si="22"/>
        <v>1.2380948968660101E-11</v>
      </c>
      <c r="AZ48" s="4">
        <f t="shared" si="22"/>
        <v>1.330209967670011E-11</v>
      </c>
      <c r="BA48" s="4">
        <f t="shared" si="22"/>
        <v>1.4275670011293695E-11</v>
      </c>
      <c r="BB48" s="4">
        <f t="shared" si="21"/>
        <v>1.5303985158810359E-11</v>
      </c>
      <c r="BC48" s="4">
        <f t="shared" si="21"/>
        <v>1.6389458946280182E-11</v>
      </c>
      <c r="BD48" s="4">
        <f t="shared" si="21"/>
        <v>1.6445277595138259E-11</v>
      </c>
      <c r="BE48" s="4">
        <f t="shared" si="21"/>
        <v>1.6501245704244671E-11</v>
      </c>
      <c r="BF48" s="4">
        <f t="shared" si="19"/>
        <v>1.6557363593532461E-11</v>
      </c>
      <c r="BG48" s="4">
        <f t="shared" si="19"/>
        <v>1.6613631583530757E-11</v>
      </c>
      <c r="BH48" s="4">
        <f t="shared" si="19"/>
        <v>1.6670049995365807E-11</v>
      </c>
      <c r="BI48" s="4">
        <f t="shared" si="19"/>
        <v>1.6726619150762045E-11</v>
      </c>
      <c r="BJ48" s="4">
        <f t="shared" si="19"/>
        <v>1.6783339372043093E-11</v>
      </c>
      <c r="BK48" s="4">
        <f t="shared" si="19"/>
        <v>1.684021098213284E-11</v>
      </c>
      <c r="BL48" s="4">
        <f t="shared" si="19"/>
        <v>1.6897234304556483E-11</v>
      </c>
      <c r="BM48" s="4">
        <f t="shared" si="19"/>
        <v>1.6954409663441557E-11</v>
      </c>
      <c r="BN48" s="4">
        <f t="shared" si="19"/>
        <v>1.7011737383519014E-11</v>
      </c>
      <c r="BO48" s="4">
        <f t="shared" si="19"/>
        <v>1.7069217790124248E-11</v>
      </c>
      <c r="BP48" s="4">
        <f t="shared" si="19"/>
        <v>1.7126851209198175E-11</v>
      </c>
      <c r="BQ48" s="4">
        <f t="shared" si="19"/>
        <v>1.7184637967288252E-11</v>
      </c>
      <c r="BR48" s="4">
        <f t="shared" si="17"/>
        <v>1.7242578391549586E-11</v>
      </c>
      <c r="BS48" s="4">
        <f t="shared" si="17"/>
        <v>1.7300672809745934E-11</v>
      </c>
      <c r="BT48" s="4">
        <f t="shared" si="17"/>
        <v>1.7358921550250821E-11</v>
      </c>
      <c r="BU48" s="4">
        <f t="shared" si="17"/>
        <v>1.7417324942048553E-11</v>
      </c>
      <c r="BV48" s="4">
        <f t="shared" si="17"/>
        <v>1.7475883314735311E-11</v>
      </c>
      <c r="BW48" s="4">
        <f t="shared" si="17"/>
        <v>1.753459699852021E-11</v>
      </c>
      <c r="BX48" s="4">
        <f t="shared" si="17"/>
        <v>1.7593466324226364E-11</v>
      </c>
      <c r="BY48" s="4">
        <f t="shared" si="17"/>
        <v>1.7652491623291964E-11</v>
      </c>
      <c r="BZ48" s="4">
        <f t="shared" si="17"/>
        <v>1.7711673227771328E-11</v>
      </c>
      <c r="CA48" s="4">
        <f t="shared" si="17"/>
        <v>1.7771011470336001E-11</v>
      </c>
      <c r="CB48" s="4">
        <f t="shared" si="17"/>
        <v>1.7830506684275807E-11</v>
      </c>
      <c r="CC48" s="4">
        <f t="shared" si="17"/>
        <v>1.7890159203499941E-11</v>
      </c>
      <c r="CD48" s="4">
        <f t="shared" si="17"/>
        <v>1.7949969362538042E-11</v>
      </c>
      <c r="CE48" s="4">
        <f t="shared" si="17"/>
        <v>1.8009937496541271E-11</v>
      </c>
      <c r="CF48" s="4">
        <f t="shared" si="17"/>
        <v>1.8070063941283386E-11</v>
      </c>
      <c r="CG48" s="4">
        <f t="shared" si="23"/>
        <v>1.8130349033161846E-11</v>
      </c>
      <c r="CH48" s="4">
        <f t="shared" si="23"/>
        <v>1.8190793109198875E-11</v>
      </c>
      <c r="CI48" s="4">
        <f t="shared" si="23"/>
        <v>1.8251396507042558E-11</v>
      </c>
      <c r="CJ48" s="4">
        <f t="shared" si="23"/>
        <v>1.8312159564967934E-11</v>
      </c>
      <c r="CK48" s="4">
        <f t="shared" si="23"/>
        <v>1.837308262187808E-11</v>
      </c>
      <c r="CL48" s="4">
        <f t="shared" si="23"/>
        <v>1.8434166017305199E-11</v>
      </c>
      <c r="CM48" s="4">
        <f t="shared" si="23"/>
        <v>1.8495410091411733E-11</v>
      </c>
      <c r="CN48" s="4">
        <f t="shared" si="23"/>
        <v>1.855681518499144E-11</v>
      </c>
      <c r="CO48" s="4">
        <f t="shared" si="15"/>
        <v>1.8618381639470489E-11</v>
      </c>
      <c r="CP48" s="4">
        <f t="shared" si="15"/>
        <v>1.868010979690858E-11</v>
      </c>
      <c r="CQ48" s="4">
        <f t="shared" si="15"/>
        <v>1.8742000000000028E-11</v>
      </c>
    </row>
    <row r="49" spans="1:95">
      <c r="A49" s="3">
        <v>47</v>
      </c>
      <c r="B49" s="17" t="str">
        <f>データファイル用!$B50</f>
        <v>ASHRAE Plywood -2</v>
      </c>
      <c r="C49" s="18">
        <f>データファイル用!G50</f>
        <v>9.1255999999999998E-12</v>
      </c>
      <c r="D49" s="19">
        <f>データファイル用!H50</f>
        <v>4.4094000000000002E-4</v>
      </c>
      <c r="E49" s="20">
        <f>データファイル用!I50</f>
        <v>-4.9039000000000001</v>
      </c>
      <c r="F49" s="42">
        <f>データファイル用!J50</f>
        <v>0.6754</v>
      </c>
      <c r="G49" s="4">
        <f t="shared" si="20"/>
        <v>0</v>
      </c>
      <c r="H49" s="4">
        <f t="shared" si="20"/>
        <v>9.5813186077997636E-14</v>
      </c>
      <c r="I49" s="4">
        <f t="shared" si="20"/>
        <v>1.180589412605719E-13</v>
      </c>
      <c r="J49" s="4">
        <f t="shared" si="20"/>
        <v>1.407573780193017E-13</v>
      </c>
      <c r="K49" s="4">
        <f t="shared" si="20"/>
        <v>1.6475134174133637E-13</v>
      </c>
      <c r="L49" s="4">
        <f t="shared" si="20"/>
        <v>1.9045260418232267E-13</v>
      </c>
      <c r="M49" s="4">
        <f t="shared" si="20"/>
        <v>2.1814846303194333E-13</v>
      </c>
      <c r="N49" s="4">
        <f t="shared" si="20"/>
        <v>2.4808021123969543E-13</v>
      </c>
      <c r="O49" s="4">
        <f t="shared" si="20"/>
        <v>2.8047190244578001E-13</v>
      </c>
      <c r="P49" s="4">
        <f t="shared" si="20"/>
        <v>3.1554334264022215E-13</v>
      </c>
      <c r="Q49" s="4">
        <f t="shared" si="20"/>
        <v>3.5351690762071029E-13</v>
      </c>
      <c r="R49" s="4">
        <f t="shared" si="20"/>
        <v>3.9462159019187159E-13</v>
      </c>
      <c r="S49" s="4">
        <f t="shared" si="20"/>
        <v>4.3909568110059217E-13</v>
      </c>
      <c r="T49" s="4">
        <f t="shared" si="20"/>
        <v>4.8718873030428582E-13</v>
      </c>
      <c r="U49" s="4">
        <f t="shared" si="20"/>
        <v>5.3916311281952605E-13</v>
      </c>
      <c r="V49" s="4">
        <f t="shared" si="20"/>
        <v>5.952953733256006E-13</v>
      </c>
      <c r="W49" s="4">
        <f t="shared" si="18"/>
        <v>6.5587744865925803E-13</v>
      </c>
      <c r="X49" s="4">
        <f t="shared" si="18"/>
        <v>7.2121782756877222E-13</v>
      </c>
      <c r="Y49" s="4">
        <f t="shared" si="18"/>
        <v>7.9164268497837301E-13</v>
      </c>
      <c r="Z49" s="4">
        <f t="shared" si="18"/>
        <v>8.6749701520735051E-13</v>
      </c>
      <c r="AA49" s="4">
        <f t="shared" si="18"/>
        <v>9.4914578091759056E-13</v>
      </c>
      <c r="AB49" s="4">
        <f t="shared" si="18"/>
        <v>1.0369750898385122E-12</v>
      </c>
      <c r="AC49" s="4">
        <f t="shared" si="18"/>
        <v>1.1313934083414309E-12</v>
      </c>
      <c r="AD49" s="4">
        <f t="shared" si="18"/>
        <v>1.232832819027598E-12</v>
      </c>
      <c r="AE49" s="4">
        <f t="shared" si="18"/>
        <v>1.3417503282583785E-12</v>
      </c>
      <c r="AF49" s="4">
        <f t="shared" si="18"/>
        <v>1.458629228753329E-12</v>
      </c>
      <c r="AG49" s="4">
        <f t="shared" si="18"/>
        <v>1.5839805218649402E-12</v>
      </c>
      <c r="AH49" s="4">
        <f t="shared" si="18"/>
        <v>1.7183444038145168E-12</v>
      </c>
      <c r="AI49" s="4">
        <f t="shared" si="18"/>
        <v>1.8622918199822024E-12</v>
      </c>
      <c r="AJ49" s="4">
        <f t="shared" si="18"/>
        <v>2.0164260912462552E-12</v>
      </c>
      <c r="AK49" s="4">
        <f t="shared" si="18"/>
        <v>2.1813846163361724E-12</v>
      </c>
      <c r="AL49" s="4">
        <f t="shared" si="22"/>
        <v>2.3578406541834938E-12</v>
      </c>
      <c r="AM49" s="4">
        <f t="shared" si="22"/>
        <v>2.5465051903109385E-12</v>
      </c>
      <c r="AN49" s="4">
        <f t="shared" si="22"/>
        <v>2.7481288913865607E-12</v>
      </c>
      <c r="AO49" s="4">
        <f t="shared" si="22"/>
        <v>2.9635041521790684E-12</v>
      </c>
      <c r="AP49" s="4">
        <f t="shared" si="22"/>
        <v>3.1934672392791239E-12</v>
      </c>
      <c r="AQ49" s="4">
        <f t="shared" si="22"/>
        <v>3.4389005360965182E-12</v>
      </c>
      <c r="AR49" s="4">
        <f t="shared" si="22"/>
        <v>3.7007348938025408E-12</v>
      </c>
      <c r="AS49" s="4">
        <f t="shared" si="22"/>
        <v>3.9799520930592093E-12</v>
      </c>
      <c r="AT49" s="4">
        <f t="shared" si="22"/>
        <v>4.2775874215612901E-12</v>
      </c>
      <c r="AU49" s="4">
        <f t="shared" si="22"/>
        <v>4.594732372612669E-12</v>
      </c>
      <c r="AV49" s="4">
        <f t="shared" si="22"/>
        <v>4.9325374701650635E-12</v>
      </c>
      <c r="AW49" s="4">
        <f t="shared" si="22"/>
        <v>5.2922152259642393E-12</v>
      </c>
      <c r="AX49" s="4">
        <f t="shared" si="22"/>
        <v>5.675043234676626E-12</v>
      </c>
      <c r="AY49" s="4">
        <f t="shared" si="22"/>
        <v>6.0823674131074367E-12</v>
      </c>
      <c r="AZ49" s="4">
        <f t="shared" si="22"/>
        <v>6.515605389870579E-12</v>
      </c>
      <c r="BA49" s="4">
        <f t="shared" si="22"/>
        <v>6.9762500521303438E-12</v>
      </c>
      <c r="BB49" s="4">
        <f t="shared" si="21"/>
        <v>7.465873256305968E-12</v>
      </c>
      <c r="BC49" s="4">
        <f t="shared" si="21"/>
        <v>7.9861297099124105E-12</v>
      </c>
      <c r="BD49" s="4">
        <f t="shared" si="21"/>
        <v>8.012977514550459E-12</v>
      </c>
      <c r="BE49" s="4">
        <f t="shared" si="21"/>
        <v>8.0399064609704568E-12</v>
      </c>
      <c r="BF49" s="4">
        <f t="shared" si="19"/>
        <v>8.0669167732924963E-12</v>
      </c>
      <c r="BG49" s="4">
        <f t="shared" si="19"/>
        <v>8.0940086762089206E-12</v>
      </c>
      <c r="BH49" s="4">
        <f t="shared" si="19"/>
        <v>8.1211823949857064E-12</v>
      </c>
      <c r="BI49" s="4">
        <f t="shared" si="19"/>
        <v>8.1484381554638096E-12</v>
      </c>
      <c r="BJ49" s="4">
        <f t="shared" si="19"/>
        <v>8.1757761840605486E-12</v>
      </c>
      <c r="BK49" s="4">
        <f t="shared" si="19"/>
        <v>8.2031967077709759E-12</v>
      </c>
      <c r="BL49" s="4">
        <f t="shared" si="19"/>
        <v>8.2306999541692524E-12</v>
      </c>
      <c r="BM49" s="4">
        <f t="shared" si="19"/>
        <v>8.2582861514100216E-12</v>
      </c>
      <c r="BN49" s="4">
        <f t="shared" si="19"/>
        <v>8.2859555282298142E-12</v>
      </c>
      <c r="BO49" s="4">
        <f t="shared" si="19"/>
        <v>8.3137083139483977E-12</v>
      </c>
      <c r="BP49" s="4">
        <f t="shared" si="19"/>
        <v>8.3415447384701963E-12</v>
      </c>
      <c r="BQ49" s="4">
        <f t="shared" si="19"/>
        <v>8.3694650322856839E-12</v>
      </c>
      <c r="BR49" s="4">
        <f t="shared" si="17"/>
        <v>8.3974694264727388E-12</v>
      </c>
      <c r="BS49" s="4">
        <f t="shared" si="17"/>
        <v>8.4255581526981033E-12</v>
      </c>
      <c r="BT49" s="4">
        <f t="shared" si="17"/>
        <v>8.4537314432187243E-12</v>
      </c>
      <c r="BU49" s="4">
        <f t="shared" si="17"/>
        <v>8.4819895308832139E-12</v>
      </c>
      <c r="BV49" s="4">
        <f t="shared" si="17"/>
        <v>8.5103326491332065E-12</v>
      </c>
      <c r="BW49" s="4">
        <f t="shared" si="17"/>
        <v>8.5387610320047997E-12</v>
      </c>
      <c r="BX49" s="4">
        <f t="shared" si="17"/>
        <v>8.5672749141299619E-12</v>
      </c>
      <c r="BY49" s="4">
        <f t="shared" si="17"/>
        <v>8.595874530737952E-12</v>
      </c>
      <c r="BZ49" s="4">
        <f t="shared" si="17"/>
        <v>8.6245601176567346E-12</v>
      </c>
      <c r="CA49" s="4">
        <f t="shared" si="17"/>
        <v>8.6533319113143959E-12</v>
      </c>
      <c r="CB49" s="4">
        <f t="shared" si="17"/>
        <v>8.6821901487405984E-12</v>
      </c>
      <c r="CC49" s="4">
        <f t="shared" si="17"/>
        <v>8.7111350675679696E-12</v>
      </c>
      <c r="CD49" s="4">
        <f t="shared" si="17"/>
        <v>8.7401669060335795E-12</v>
      </c>
      <c r="CE49" s="4">
        <f t="shared" si="17"/>
        <v>8.7692859029803339E-12</v>
      </c>
      <c r="CF49" s="4">
        <f t="shared" si="17"/>
        <v>8.7984922978584489E-12</v>
      </c>
      <c r="CG49" s="4">
        <f t="shared" si="23"/>
        <v>8.827786330726881E-12</v>
      </c>
      <c r="CH49" s="4">
        <f t="shared" si="23"/>
        <v>8.8571682422547534E-12</v>
      </c>
      <c r="CI49" s="4">
        <f t="shared" si="23"/>
        <v>8.8866382737228428E-12</v>
      </c>
      <c r="CJ49" s="4">
        <f t="shared" si="23"/>
        <v>8.9161966670250071E-12</v>
      </c>
      <c r="CK49" s="4">
        <f t="shared" si="23"/>
        <v>8.9458436646696348E-12</v>
      </c>
      <c r="CL49" s="4">
        <f t="shared" si="23"/>
        <v>8.9755795097811249E-12</v>
      </c>
      <c r="CM49" s="4">
        <f t="shared" si="23"/>
        <v>9.005404446101344E-12</v>
      </c>
      <c r="CN49" s="4">
        <f t="shared" si="23"/>
        <v>9.0353187179910773E-12</v>
      </c>
      <c r="CO49" s="4">
        <f t="shared" si="15"/>
        <v>9.0653225704315068E-12</v>
      </c>
      <c r="CP49" s="4">
        <f t="shared" si="15"/>
        <v>9.0954162490256894E-12</v>
      </c>
      <c r="CQ49" s="4">
        <f t="shared" si="15"/>
        <v>9.1256000000000095E-12</v>
      </c>
    </row>
    <row r="50" spans="1:95">
      <c r="A50" s="3">
        <v>48</v>
      </c>
      <c r="B50" s="17" t="str">
        <f>データファイル用!$B51</f>
        <v>ASHRAE Plywood -3</v>
      </c>
      <c r="C50" s="18">
        <f>データファイル用!G51</f>
        <v>1.37E-11</v>
      </c>
      <c r="D50" s="19">
        <f>データファイル用!H51</f>
        <v>0.65905000000000002</v>
      </c>
      <c r="E50" s="20">
        <f>データファイル用!I51</f>
        <v>-3.1646000000000001</v>
      </c>
      <c r="F50" s="42">
        <f>データファイル用!J51</f>
        <v>1.5167999999999999</v>
      </c>
      <c r="G50" s="4">
        <f t="shared" si="20"/>
        <v>0</v>
      </c>
      <c r="H50" s="4">
        <f t="shared" si="20"/>
        <v>4.4288003453148039E-14</v>
      </c>
      <c r="I50" s="4">
        <f t="shared" si="20"/>
        <v>7.103232811766297E-14</v>
      </c>
      <c r="J50" s="4">
        <f t="shared" si="20"/>
        <v>9.4702040540647426E-14</v>
      </c>
      <c r="K50" s="4">
        <f t="shared" si="20"/>
        <v>1.1728437020241364E-13</v>
      </c>
      <c r="L50" s="4">
        <f t="shared" si="20"/>
        <v>1.3967364307306476E-13</v>
      </c>
      <c r="M50" s="4">
        <f t="shared" si="20"/>
        <v>1.6241227154069462E-13</v>
      </c>
      <c r="N50" s="4">
        <f t="shared" si="20"/>
        <v>1.8589280714095034E-13</v>
      </c>
      <c r="O50" s="4">
        <f t="shared" si="20"/>
        <v>2.1043613422156746E-13</v>
      </c>
      <c r="P50" s="4">
        <f t="shared" si="20"/>
        <v>2.3632854478226454E-13</v>
      </c>
      <c r="Q50" s="4">
        <f t="shared" si="20"/>
        <v>2.6384208198053089E-13</v>
      </c>
      <c r="R50" s="4">
        <f t="shared" si="20"/>
        <v>2.932471405962584E-13</v>
      </c>
      <c r="S50" s="4">
        <f t="shared" si="20"/>
        <v>3.2482117789003158E-13</v>
      </c>
      <c r="T50" s="4">
        <f t="shared" si="20"/>
        <v>3.588553846892E-13</v>
      </c>
      <c r="U50" s="4">
        <f t="shared" si="20"/>
        <v>3.9566029052541028E-13</v>
      </c>
      <c r="V50" s="4">
        <f t="shared" si="20"/>
        <v>4.3557085953432584E-13</v>
      </c>
      <c r="W50" s="4">
        <f t="shared" si="18"/>
        <v>4.7895142214722008E-13</v>
      </c>
      <c r="X50" s="4">
        <f t="shared" si="18"/>
        <v>5.2620067531821382E-13</v>
      </c>
      <c r="Y50" s="4">
        <f t="shared" si="18"/>
        <v>5.7775692314304859E-13</v>
      </c>
      <c r="Z50" s="4">
        <f t="shared" si="18"/>
        <v>6.3410369707547064E-13</v>
      </c>
      <c r="AA50" s="4">
        <f t="shared" si="18"/>
        <v>6.9577587876672518E-13</v>
      </c>
      <c r="AB50" s="4">
        <f t="shared" si="18"/>
        <v>7.6336644261626251E-13</v>
      </c>
      <c r="AC50" s="4">
        <f t="shared" si="18"/>
        <v>8.3753393604205865E-13</v>
      </c>
      <c r="AD50" s="4">
        <f t="shared" si="18"/>
        <v>9.1901082139886538E-13</v>
      </c>
      <c r="AE50" s="4">
        <f t="shared" si="18"/>
        <v>1.0086128133943118E-12</v>
      </c>
      <c r="AF50" s="4">
        <f t="shared" si="18"/>
        <v>1.107249359287717E-12</v>
      </c>
      <c r="AG50" s="4">
        <f t="shared" si="18"/>
        <v>1.2159354259359219E-12</v>
      </c>
      <c r="AH50" s="4">
        <f t="shared" si="18"/>
        <v>1.3358047779209633E-12</v>
      </c>
      <c r="AI50" s="4">
        <f t="shared" si="18"/>
        <v>1.4681249547607797E-12</v>
      </c>
      <c r="AJ50" s="4">
        <f t="shared" si="18"/>
        <v>1.6143141828989619E-12</v>
      </c>
      <c r="AK50" s="4">
        <f t="shared" si="18"/>
        <v>1.7759604902399596E-12</v>
      </c>
      <c r="AL50" s="4">
        <f t="shared" si="22"/>
        <v>1.9548433279995864E-12</v>
      </c>
      <c r="AM50" s="4">
        <f t="shared" si="22"/>
        <v>2.1529580472494058E-12</v>
      </c>
      <c r="AN50" s="4">
        <f t="shared" si="22"/>
        <v>2.3725436265428885E-12</v>
      </c>
      <c r="AO50" s="4">
        <f t="shared" si="22"/>
        <v>2.6161141033538973E-12</v>
      </c>
      <c r="AP50" s="4">
        <f t="shared" si="22"/>
        <v>2.8864942268212031E-12</v>
      </c>
      <c r="AQ50" s="4">
        <f t="shared" si="22"/>
        <v>3.1868599237405775E-12</v>
      </c>
      <c r="AR50" s="4">
        <f t="shared" si="22"/>
        <v>3.5207842553456271E-12</v>
      </c>
      <c r="AS50" s="4">
        <f t="shared" si="22"/>
        <v>3.8922896408716483E-12</v>
      </c>
      <c r="AT50" s="4">
        <f t="shared" si="22"/>
        <v>4.3059072371762612E-12</v>
      </c>
      <c r="AU50" s="4">
        <f t="shared" si="22"/>
        <v>4.7667444940839313E-12</v>
      </c>
      <c r="AV50" s="4">
        <f t="shared" si="22"/>
        <v>5.2805620552814673E-12</v>
      </c>
      <c r="AW50" s="4">
        <f t="shared" si="22"/>
        <v>5.8538613475948906E-12</v>
      </c>
      <c r="AX50" s="4">
        <f t="shared" si="22"/>
        <v>6.4939844008954976E-12</v>
      </c>
      <c r="AY50" s="4">
        <f t="shared" si="22"/>
        <v>7.209227670858735E-12</v>
      </c>
      <c r="AZ50" s="4">
        <f t="shared" si="22"/>
        <v>8.00897190214737E-12</v>
      </c>
      <c r="BA50" s="4">
        <f t="shared" si="22"/>
        <v>8.9038303759021469E-12</v>
      </c>
      <c r="BB50" s="4">
        <f t="shared" si="21"/>
        <v>9.9058182391995246E-12</v>
      </c>
      <c r="BC50" s="4">
        <f t="shared" si="21"/>
        <v>1.1028546022935968E-11</v>
      </c>
      <c r="BD50" s="4">
        <f t="shared" si="21"/>
        <v>1.1088120192345323E-11</v>
      </c>
      <c r="BE50" s="4">
        <f t="shared" si="21"/>
        <v>1.1148036406216017E-11</v>
      </c>
      <c r="BF50" s="4">
        <f t="shared" si="19"/>
        <v>1.1208296733319791E-11</v>
      </c>
      <c r="BG50" s="4">
        <f t="shared" si="19"/>
        <v>1.1268903255496771E-11</v>
      </c>
      <c r="BH50" s="4">
        <f t="shared" si="19"/>
        <v>1.1329858067741208E-11</v>
      </c>
      <c r="BI50" s="4">
        <f t="shared" si="19"/>
        <v>1.1391163278287813E-11</v>
      </c>
      <c r="BJ50" s="4">
        <f t="shared" si="19"/>
        <v>1.1452821008698667E-11</v>
      </c>
      <c r="BK50" s="4">
        <f t="shared" si="19"/>
        <v>1.151483339395076E-11</v>
      </c>
      <c r="BL50" s="4">
        <f t="shared" si="19"/>
        <v>1.1577202582524061E-11</v>
      </c>
      <c r="BM50" s="4">
        <f t="shared" si="19"/>
        <v>1.1639930736490239E-11</v>
      </c>
      <c r="BN50" s="4">
        <f t="shared" si="19"/>
        <v>1.1703020031601966E-11</v>
      </c>
      <c r="BO50" s="4">
        <f t="shared" si="19"/>
        <v>1.1766472657382835E-11</v>
      </c>
      <c r="BP50" s="4">
        <f t="shared" si="19"/>
        <v>1.1830290817217857E-11</v>
      </c>
      <c r="BQ50" s="4">
        <f t="shared" si="19"/>
        <v>1.1894476728444636E-11</v>
      </c>
      <c r="BR50" s="4">
        <f t="shared" si="17"/>
        <v>1.1959032622445104E-11</v>
      </c>
      <c r="BS50" s="4">
        <f t="shared" si="17"/>
        <v>1.2023960744737901E-11</v>
      </c>
      <c r="BT50" s="4">
        <f t="shared" si="17"/>
        <v>1.2089263355071401E-11</v>
      </c>
      <c r="BU50" s="4">
        <f t="shared" si="17"/>
        <v>1.2154942727517331E-11</v>
      </c>
      <c r="BV50" s="4">
        <f t="shared" si="17"/>
        <v>1.2221001150565078E-11</v>
      </c>
      <c r="BW50" s="4">
        <f t="shared" si="17"/>
        <v>1.2287440927216596E-11</v>
      </c>
      <c r="BX50" s="4">
        <f t="shared" si="17"/>
        <v>1.2354264375081959E-11</v>
      </c>
      <c r="BY50" s="4">
        <f t="shared" si="17"/>
        <v>1.242147382647561E-11</v>
      </c>
      <c r="BZ50" s="4">
        <f t="shared" si="17"/>
        <v>1.2489071628513215E-11</v>
      </c>
      <c r="CA50" s="4">
        <f t="shared" si="17"/>
        <v>1.2557060143209195E-11</v>
      </c>
      <c r="CB50" s="4">
        <f t="shared" si="17"/>
        <v>1.2625441747574929E-11</v>
      </c>
      <c r="CC50" s="4">
        <f t="shared" si="17"/>
        <v>1.2694218833717626E-11</v>
      </c>
      <c r="CD50" s="4">
        <f t="shared" si="17"/>
        <v>1.2763393808939849E-11</v>
      </c>
      <c r="CE50" s="4">
        <f t="shared" si="17"/>
        <v>1.2832969095839756E-11</v>
      </c>
      <c r="CF50" s="4">
        <f t="shared" si="17"/>
        <v>1.2902947132411968E-11</v>
      </c>
      <c r="CG50" s="4">
        <f t="shared" si="23"/>
        <v>1.2973330372149202E-11</v>
      </c>
      <c r="CH50" s="4">
        <f t="shared" si="23"/>
        <v>1.3044121284144526E-11</v>
      </c>
      <c r="CI50" s="4">
        <f t="shared" si="23"/>
        <v>1.3115322353194342E-11</v>
      </c>
      <c r="CJ50" s="4">
        <f t="shared" si="23"/>
        <v>1.3186936079902077E-11</v>
      </c>
      <c r="CK50" s="4">
        <f t="shared" si="23"/>
        <v>1.3258964980782578E-11</v>
      </c>
      <c r="CL50" s="4">
        <f t="shared" si="23"/>
        <v>1.3331411588367189E-11</v>
      </c>
      <c r="CM50" s="4">
        <f t="shared" si="23"/>
        <v>1.3404278451309613E-11</v>
      </c>
      <c r="CN50" s="4">
        <f t="shared" si="23"/>
        <v>1.3477568134492425E-11</v>
      </c>
      <c r="CO50" s="4">
        <f t="shared" si="15"/>
        <v>1.3551283219134363E-11</v>
      </c>
      <c r="CP50" s="4">
        <f t="shared" si="15"/>
        <v>1.3625426302898304E-11</v>
      </c>
      <c r="CQ50" s="4">
        <f t="shared" si="15"/>
        <v>1.3700000000000031E-11</v>
      </c>
    </row>
    <row r="51" spans="1:95">
      <c r="A51" s="3">
        <v>49</v>
      </c>
      <c r="B51" s="17" t="str">
        <f>データファイル用!$B52</f>
        <v>ASHRAE Fibreboard</v>
      </c>
      <c r="C51" s="18">
        <f>データファイル用!G52</f>
        <v>1.9010000000000001E-11</v>
      </c>
      <c r="D51" s="19">
        <f>データファイル用!H52</f>
        <v>2.0507999999999998E-2</v>
      </c>
      <c r="E51" s="20">
        <f>データファイル用!I52</f>
        <v>-0.41163</v>
      </c>
      <c r="F51" s="42">
        <f>データファイル用!J52</f>
        <v>1.1444000000000001</v>
      </c>
      <c r="G51" s="4">
        <f t="shared" si="20"/>
        <v>0</v>
      </c>
      <c r="H51" s="4">
        <f t="shared" si="20"/>
        <v>1.1678936924598056E-11</v>
      </c>
      <c r="I51" s="4">
        <f t="shared" si="20"/>
        <v>1.1913435909862526E-11</v>
      </c>
      <c r="J51" s="4">
        <f t="shared" si="20"/>
        <v>1.2086509389552982E-11</v>
      </c>
      <c r="K51" s="4">
        <f t="shared" si="20"/>
        <v>1.2236266401415614E-11</v>
      </c>
      <c r="L51" s="4">
        <f t="shared" si="20"/>
        <v>1.237444064414259E-11</v>
      </c>
      <c r="M51" s="4">
        <f t="shared" si="20"/>
        <v>1.2506156101395334E-11</v>
      </c>
      <c r="N51" s="4">
        <f t="shared" si="20"/>
        <v>1.2634090410123565E-11</v>
      </c>
      <c r="O51" s="4">
        <f t="shared" si="20"/>
        <v>1.2759809358972977E-11</v>
      </c>
      <c r="P51" s="4">
        <f t="shared" si="20"/>
        <v>1.2884302978494108E-11</v>
      </c>
      <c r="Q51" s="4">
        <f t="shared" si="20"/>
        <v>1.3008234689291755E-11</v>
      </c>
      <c r="R51" s="4">
        <f t="shared" si="20"/>
        <v>1.3132069679939461E-11</v>
      </c>
      <c r="S51" s="4">
        <f t="shared" si="20"/>
        <v>1.3256146376785363E-11</v>
      </c>
      <c r="T51" s="4">
        <f t="shared" si="20"/>
        <v>1.3380718707936649E-11</v>
      </c>
      <c r="U51" s="4">
        <f t="shared" si="20"/>
        <v>1.3505982338498822E-11</v>
      </c>
      <c r="V51" s="4">
        <f t="shared" si="20"/>
        <v>1.3632091618658427E-11</v>
      </c>
      <c r="W51" s="4">
        <f t="shared" si="18"/>
        <v>1.3759170904059068E-11</v>
      </c>
      <c r="X51" s="4">
        <f t="shared" si="18"/>
        <v>1.3887322334950559E-11</v>
      </c>
      <c r="Y51" s="4">
        <f t="shared" si="18"/>
        <v>1.4016631314162501E-11</v>
      </c>
      <c r="Z51" s="4">
        <f t="shared" si="18"/>
        <v>1.4147170447572437E-11</v>
      </c>
      <c r="AA51" s="4">
        <f t="shared" si="18"/>
        <v>1.4279002432082472E-11</v>
      </c>
      <c r="AB51" s="4">
        <f t="shared" si="18"/>
        <v>1.441218220756314E-11</v>
      </c>
      <c r="AC51" s="4">
        <f t="shared" si="18"/>
        <v>1.4546758584222912E-11</v>
      </c>
      <c r="AD51" s="4">
        <f t="shared" si="18"/>
        <v>1.4682775489726111E-11</v>
      </c>
      <c r="AE51" s="4">
        <f t="shared" si="18"/>
        <v>1.482027293644877E-11</v>
      </c>
      <c r="AF51" s="4">
        <f t="shared" si="18"/>
        <v>1.4959287779906528E-11</v>
      </c>
      <c r="AG51" s="4">
        <f t="shared" si="18"/>
        <v>1.5099854319401507E-11</v>
      </c>
      <c r="AH51" s="4">
        <f t="shared" si="18"/>
        <v>1.5242004778092471E-11</v>
      </c>
      <c r="AI51" s="4">
        <f t="shared" si="18"/>
        <v>1.5385769689955134E-11</v>
      </c>
      <c r="AJ51" s="4">
        <f t="shared" si="18"/>
        <v>1.5531178214151434E-11</v>
      </c>
      <c r="AK51" s="4">
        <f t="shared" si="18"/>
        <v>1.5678258392303935E-11</v>
      </c>
      <c r="AL51" s="4">
        <f t="shared" si="22"/>
        <v>1.5827037360496407E-11</v>
      </c>
      <c r="AM51" s="4">
        <f t="shared" si="22"/>
        <v>1.5977541525102442E-11</v>
      </c>
      <c r="AN51" s="4">
        <f t="shared" si="22"/>
        <v>1.6129796709511151E-11</v>
      </c>
      <c r="AO51" s="4">
        <f t="shared" si="22"/>
        <v>1.6283828277284639E-11</v>
      </c>
      <c r="AP51" s="4">
        <f t="shared" si="22"/>
        <v>1.6439661236113292E-11</v>
      </c>
      <c r="AQ51" s="4">
        <f t="shared" si="22"/>
        <v>1.6597320326037316E-11</v>
      </c>
      <c r="AR51" s="4">
        <f t="shared" si="22"/>
        <v>1.6756830094708291E-11</v>
      </c>
      <c r="AS51" s="4">
        <f t="shared" si="22"/>
        <v>1.6918214961922578E-11</v>
      </c>
      <c r="AT51" s="4">
        <f t="shared" si="22"/>
        <v>1.7081499275233082E-11</v>
      </c>
      <c r="AU51" s="4">
        <f t="shared" si="22"/>
        <v>1.7246707358109452E-11</v>
      </c>
      <c r="AV51" s="4">
        <f t="shared" si="22"/>
        <v>1.7413863551849479E-11</v>
      </c>
      <c r="AW51" s="4">
        <f t="shared" si="22"/>
        <v>1.7582992252230521E-11</v>
      </c>
      <c r="AX51" s="4">
        <f t="shared" si="22"/>
        <v>1.7754117941717551E-11</v>
      </c>
      <c r="AY51" s="4">
        <f t="shared" si="22"/>
        <v>1.792726521790554E-11</v>
      </c>
      <c r="AZ51" s="4">
        <f t="shared" si="22"/>
        <v>1.8102458818760578E-11</v>
      </c>
      <c r="BA51" s="4">
        <f t="shared" si="22"/>
        <v>1.8279723645131956E-11</v>
      </c>
      <c r="BB51" s="4">
        <f t="shared" si="21"/>
        <v>1.8459084780931783E-11</v>
      </c>
      <c r="BC51" s="4">
        <f t="shared" si="21"/>
        <v>1.8640567511316187E-11</v>
      </c>
      <c r="BD51" s="4">
        <f t="shared" si="21"/>
        <v>1.8649697796183335E-11</v>
      </c>
      <c r="BE51" s="4">
        <f t="shared" si="21"/>
        <v>1.8658833451948398E-11</v>
      </c>
      <c r="BF51" s="4">
        <f t="shared" si="19"/>
        <v>1.8667974481815519E-11</v>
      </c>
      <c r="BG51" s="4">
        <f t="shared" si="19"/>
        <v>1.8677120888990309E-11</v>
      </c>
      <c r="BH51" s="4">
        <f t="shared" si="19"/>
        <v>1.8686272676679852E-11</v>
      </c>
      <c r="BI51" s="4">
        <f t="shared" si="19"/>
        <v>1.8695429848092684E-11</v>
      </c>
      <c r="BJ51" s="4">
        <f t="shared" si="19"/>
        <v>1.8704592406438841E-11</v>
      </c>
      <c r="BK51" s="4">
        <f t="shared" si="19"/>
        <v>1.8713760354929835E-11</v>
      </c>
      <c r="BL51" s="4">
        <f t="shared" si="19"/>
        <v>1.8722933696778666E-11</v>
      </c>
      <c r="BM51" s="4">
        <f t="shared" si="19"/>
        <v>1.8732112435199816E-11</v>
      </c>
      <c r="BN51" s="4">
        <f t="shared" si="19"/>
        <v>1.8741296573409265E-11</v>
      </c>
      <c r="BO51" s="4">
        <f t="shared" si="19"/>
        <v>1.8750486114624504E-11</v>
      </c>
      <c r="BP51" s="4">
        <f t="shared" si="19"/>
        <v>1.8759681062064517E-11</v>
      </c>
      <c r="BQ51" s="4">
        <f t="shared" si="19"/>
        <v>1.8768881418949794E-11</v>
      </c>
      <c r="BR51" s="4">
        <f t="shared" si="17"/>
        <v>1.8778087188502341E-11</v>
      </c>
      <c r="BS51" s="4">
        <f t="shared" si="17"/>
        <v>1.8787298373945686E-11</v>
      </c>
      <c r="BT51" s="4">
        <f t="shared" si="17"/>
        <v>1.8796514978504866E-11</v>
      </c>
      <c r="BU51" s="4">
        <f t="shared" si="17"/>
        <v>1.8805737005406458E-11</v>
      </c>
      <c r="BV51" s="4">
        <f t="shared" si="17"/>
        <v>1.8814964457878545E-11</v>
      </c>
      <c r="BW51" s="4">
        <f t="shared" si="17"/>
        <v>1.8824197339150764E-11</v>
      </c>
      <c r="BX51" s="4">
        <f t="shared" si="17"/>
        <v>1.8833435652454283E-11</v>
      </c>
      <c r="BY51" s="4">
        <f t="shared" si="17"/>
        <v>1.8842679401021806E-11</v>
      </c>
      <c r="BZ51" s="4">
        <f t="shared" si="17"/>
        <v>1.8851928588087588E-11</v>
      </c>
      <c r="CA51" s="4">
        <f t="shared" si="17"/>
        <v>1.8861183216887436E-11</v>
      </c>
      <c r="CB51" s="4">
        <f t="shared" si="17"/>
        <v>1.8870443290658697E-11</v>
      </c>
      <c r="CC51" s="4">
        <f t="shared" si="17"/>
        <v>1.8879708812640289E-11</v>
      </c>
      <c r="CD51" s="4">
        <f t="shared" si="17"/>
        <v>1.8888979786072693E-11</v>
      </c>
      <c r="CE51" s="4">
        <f t="shared" si="17"/>
        <v>1.8898256214197937E-11</v>
      </c>
      <c r="CF51" s="4">
        <f t="shared" si="17"/>
        <v>1.8907538100259644E-11</v>
      </c>
      <c r="CG51" s="4">
        <f t="shared" si="23"/>
        <v>1.8916825447502989E-11</v>
      </c>
      <c r="CH51" s="4">
        <f t="shared" si="23"/>
        <v>1.8926118259174738E-11</v>
      </c>
      <c r="CI51" s="4">
        <f t="shared" si="23"/>
        <v>1.8935416538523228E-11</v>
      </c>
      <c r="CJ51" s="4">
        <f t="shared" si="23"/>
        <v>1.894472028879839E-11</v>
      </c>
      <c r="CK51" s="4">
        <f t="shared" si="23"/>
        <v>1.8954029513251746E-11</v>
      </c>
      <c r="CL51" s="4">
        <f t="shared" si="23"/>
        <v>1.8963344215136397E-11</v>
      </c>
      <c r="CM51" s="4">
        <f t="shared" si="23"/>
        <v>1.8972664397707052E-11</v>
      </c>
      <c r="CN51" s="4">
        <f t="shared" si="23"/>
        <v>1.8981990064220028E-11</v>
      </c>
      <c r="CO51" s="4">
        <f t="shared" si="15"/>
        <v>1.8991321217933228E-11</v>
      </c>
      <c r="CP51" s="4">
        <f t="shared" si="15"/>
        <v>1.9000657862106175E-11</v>
      </c>
      <c r="CQ51" s="4">
        <f t="shared" si="15"/>
        <v>1.9010000000000004E-11</v>
      </c>
    </row>
    <row r="52" spans="1:95">
      <c r="A52" s="3">
        <v>50</v>
      </c>
      <c r="B52" s="17" t="str">
        <f>データファイル用!$B53</f>
        <v>ASHRAE Eastern White Cedar</v>
      </c>
      <c r="C52" s="18">
        <f>データファイル用!G53</f>
        <v>6.4038999999999997E-11</v>
      </c>
      <c r="D52" s="19">
        <f>データファイル用!H53</f>
        <v>1.4711000000000001</v>
      </c>
      <c r="E52" s="20">
        <f>データファイル用!I53</f>
        <v>-4.4629000000000003</v>
      </c>
      <c r="F52" s="42">
        <f>データファイル用!J53</f>
        <v>2.3149999999999999</v>
      </c>
      <c r="G52" s="4">
        <f t="shared" si="20"/>
        <v>0</v>
      </c>
      <c r="H52" s="4">
        <f t="shared" si="20"/>
        <v>2.3393920908529444E-15</v>
      </c>
      <c r="I52" s="4">
        <f t="shared" si="20"/>
        <v>6.4990098877221972E-15</v>
      </c>
      <c r="J52" s="4">
        <f t="shared" si="20"/>
        <v>1.1848032027299058E-14</v>
      </c>
      <c r="K52" s="4">
        <f t="shared" si="20"/>
        <v>1.8203951105896422E-14</v>
      </c>
      <c r="L52" s="4">
        <f t="shared" si="20"/>
        <v>2.5498579635326825E-14</v>
      </c>
      <c r="M52" s="4">
        <f t="shared" si="20"/>
        <v>3.3723094380606137E-14</v>
      </c>
      <c r="N52" s="4">
        <f t="shared" si="20"/>
        <v>4.2909197795189333E-14</v>
      </c>
      <c r="O52" s="4">
        <f t="shared" si="20"/>
        <v>5.3121449629963603E-14</v>
      </c>
      <c r="P52" s="4">
        <f t="shared" si="20"/>
        <v>6.4454412095389875E-14</v>
      </c>
      <c r="Q52" s="4">
        <f t="shared" si="20"/>
        <v>7.7032429372224762E-14</v>
      </c>
      <c r="R52" s="4">
        <f t="shared" si="20"/>
        <v>9.1011184743851894E-14</v>
      </c>
      <c r="S52" s="4">
        <f t="shared" si="20"/>
        <v>1.0658070134863655E-13</v>
      </c>
      <c r="T52" s="4">
        <f t="shared" si="20"/>
        <v>1.2396970199448657E-13</v>
      </c>
      <c r="U52" s="4">
        <f t="shared" si="20"/>
        <v>1.4345138847323898E-13</v>
      </c>
      <c r="V52" s="4">
        <f t="shared" si="20"/>
        <v>1.6535080541630449E-13</v>
      </c>
      <c r="W52" s="4">
        <f t="shared" si="18"/>
        <v>1.9005404633822736E-13</v>
      </c>
      <c r="X52" s="4">
        <f t="shared" si="18"/>
        <v>2.1801965520777118E-13</v>
      </c>
      <c r="Y52" s="4">
        <f t="shared" si="18"/>
        <v>2.4979268574508703E-13</v>
      </c>
      <c r="Z52" s="4">
        <f t="shared" si="18"/>
        <v>2.8602201127391752E-13</v>
      </c>
      <c r="AA52" s="4">
        <f t="shared" si="18"/>
        <v>3.2748163929089795E-13</v>
      </c>
      <c r="AB52" s="4">
        <f t="shared" si="18"/>
        <v>3.7509698737925603E-13</v>
      </c>
      <c r="AC52" s="4">
        <f t="shared" si="18"/>
        <v>4.2997733363079602E-13</v>
      </c>
      <c r="AD52" s="4">
        <f t="shared" si="18"/>
        <v>4.934559818831593E-13</v>
      </c>
      <c r="AE52" s="4">
        <f t="shared" si="18"/>
        <v>5.6714010128050215E-13</v>
      </c>
      <c r="AF52" s="4">
        <f t="shared" si="18"/>
        <v>6.5297273899248955E-13</v>
      </c>
      <c r="AG52" s="4">
        <f t="shared" si="18"/>
        <v>7.5331020130998788E-13</v>
      </c>
      <c r="AH52" s="4">
        <f t="shared" si="18"/>
        <v>8.7101890057878261E-13</v>
      </c>
      <c r="AI52" s="4">
        <f t="shared" si="18"/>
        <v>1.0095969382655665E-12</v>
      </c>
      <c r="AJ52" s="4">
        <f t="shared" si="18"/>
        <v>1.1733272240260617E-12</v>
      </c>
      <c r="AK52" s="4">
        <f t="shared" si="18"/>
        <v>1.367470932012217E-12</v>
      </c>
      <c r="AL52" s="4">
        <f t="shared" si="22"/>
        <v>1.5985127229584274E-12</v>
      </c>
      <c r="AM52" s="4">
        <f t="shared" si="22"/>
        <v>1.8744726210364305E-12</v>
      </c>
      <c r="AN52" s="4">
        <f t="shared" si="22"/>
        <v>2.2053040075376662E-12</v>
      </c>
      <c r="AO52" s="4">
        <f t="shared" si="22"/>
        <v>2.6034032573331494E-12</v>
      </c>
      <c r="AP52" s="4">
        <f t="shared" si="22"/>
        <v>3.0842646123216524E-12</v>
      </c>
      <c r="AQ52" s="4">
        <f t="shared" si="22"/>
        <v>3.6673246584257001E-12</v>
      </c>
      <c r="AR52" s="4">
        <f t="shared" si="22"/>
        <v>4.377055205816961E-12</v>
      </c>
      <c r="AS52" s="4">
        <f t="shared" si="22"/>
        <v>5.2443827785540497E-12</v>
      </c>
      <c r="AT52" s="4">
        <f t="shared" si="22"/>
        <v>6.3085391070199405E-12</v>
      </c>
      <c r="AU52" s="4">
        <f t="shared" si="22"/>
        <v>7.6194824818646277E-12</v>
      </c>
      <c r="AV52" s="4">
        <f t="shared" si="22"/>
        <v>9.2410780350867435E-12</v>
      </c>
      <c r="AW52" s="4">
        <f t="shared" si="22"/>
        <v>1.1255290783298046E-11</v>
      </c>
      <c r="AX52" s="4">
        <f t="shared" si="22"/>
        <v>1.3767735335158176E-11</v>
      </c>
      <c r="AY52" s="4">
        <f t="shared" si="22"/>
        <v>1.6915049973898235E-11</v>
      </c>
      <c r="AZ52" s="4">
        <f t="shared" si="22"/>
        <v>2.0874733670629938E-11</v>
      </c>
      <c r="BA52" s="4">
        <f t="shared" si="22"/>
        <v>2.5878321248424752E-11</v>
      </c>
      <c r="BB52" s="4">
        <f t="shared" si="21"/>
        <v>3.2229101043863074E-11</v>
      </c>
      <c r="BC52" s="4">
        <f t="shared" si="21"/>
        <v>4.0326038939737733E-11</v>
      </c>
      <c r="BD52" s="4">
        <f t="shared" si="21"/>
        <v>4.0785528269351022E-11</v>
      </c>
      <c r="BE52" s="4">
        <f t="shared" si="21"/>
        <v>4.1250740929203351E-11</v>
      </c>
      <c r="BF52" s="4">
        <f t="shared" si="19"/>
        <v>4.172175358705135E-11</v>
      </c>
      <c r="BG52" s="4">
        <f t="shared" si="19"/>
        <v>4.219864400297184E-11</v>
      </c>
      <c r="BH52" s="4">
        <f t="shared" si="19"/>
        <v>4.2681491045784366E-11</v>
      </c>
      <c r="BI52" s="4">
        <f t="shared" si="19"/>
        <v>4.3170374709732495E-11</v>
      </c>
      <c r="BJ52" s="4">
        <f t="shared" si="19"/>
        <v>4.3665376131428694E-11</v>
      </c>
      <c r="BK52" s="4">
        <f t="shared" si="19"/>
        <v>4.4166577607066471E-11</v>
      </c>
      <c r="BL52" s="4">
        <f t="shared" si="19"/>
        <v>4.467406260990475E-11</v>
      </c>
      <c r="BM52" s="4">
        <f t="shared" si="19"/>
        <v>4.5187915808028673E-11</v>
      </c>
      <c r="BN52" s="4">
        <f t="shared" si="19"/>
        <v>4.5708223082391426E-11</v>
      </c>
      <c r="BO52" s="4">
        <f t="shared" si="19"/>
        <v>4.6235071545141749E-11</v>
      </c>
      <c r="BP52" s="4">
        <f t="shared" si="19"/>
        <v>4.6768549558242016E-11</v>
      </c>
      <c r="BQ52" s="4">
        <f t="shared" si="19"/>
        <v>4.7308746752381302E-11</v>
      </c>
      <c r="BR52" s="4">
        <f t="shared" si="17"/>
        <v>4.7855754046188797E-11</v>
      </c>
      <c r="BS52" s="4">
        <f t="shared" si="17"/>
        <v>4.8409663665752151E-11</v>
      </c>
      <c r="BT52" s="4">
        <f t="shared" si="17"/>
        <v>4.8970569164445993E-11</v>
      </c>
      <c r="BU52" s="4">
        <f t="shared" si="17"/>
        <v>4.9538565443075783E-11</v>
      </c>
      <c r="BV52" s="4">
        <f t="shared" si="17"/>
        <v>5.0113748770342125E-11</v>
      </c>
      <c r="BW52" s="4">
        <f t="shared" si="17"/>
        <v>5.0696216803630842E-11</v>
      </c>
      <c r="BX52" s="4">
        <f t="shared" si="17"/>
        <v>5.1286068610134601E-11</v>
      </c>
      <c r="BY52" s="4">
        <f t="shared" si="17"/>
        <v>5.1883404688310798E-11</v>
      </c>
      <c r="BZ52" s="4">
        <f t="shared" si="17"/>
        <v>5.2488326989682345E-11</v>
      </c>
      <c r="CA52" s="4">
        <f t="shared" si="17"/>
        <v>5.3100938940986113E-11</v>
      </c>
      <c r="CB52" s="4">
        <f t="shared" si="17"/>
        <v>5.3721345466675356E-11</v>
      </c>
      <c r="CC52" s="4">
        <f t="shared" si="17"/>
        <v>5.4349653011782062E-11</v>
      </c>
      <c r="CD52" s="4">
        <f t="shared" si="17"/>
        <v>5.4985969565144724E-11</v>
      </c>
      <c r="CE52" s="4">
        <f t="shared" si="17"/>
        <v>5.563040468300826E-11</v>
      </c>
      <c r="CF52" s="4">
        <f t="shared" si="17"/>
        <v>5.6283069513002009E-11</v>
      </c>
      <c r="CG52" s="4">
        <f t="shared" si="23"/>
        <v>5.6944076818501717E-11</v>
      </c>
      <c r="CH52" s="4">
        <f t="shared" si="23"/>
        <v>5.7613541003382966E-11</v>
      </c>
      <c r="CI52" s="4">
        <f t="shared" si="23"/>
        <v>5.8291578137171457E-11</v>
      </c>
      <c r="CJ52" s="4">
        <f t="shared" si="23"/>
        <v>5.8978305980597487E-11</v>
      </c>
      <c r="CK52" s="4">
        <f t="shared" si="23"/>
        <v>5.9673844011561318E-11</v>
      </c>
      <c r="CL52" s="4">
        <f t="shared" si="23"/>
        <v>6.0378313451516025E-11</v>
      </c>
      <c r="CM52" s="4">
        <f t="shared" si="23"/>
        <v>6.1091837292275054E-11</v>
      </c>
      <c r="CN52" s="4">
        <f t="shared" si="23"/>
        <v>6.1814540323251767E-11</v>
      </c>
      <c r="CO52" s="4">
        <f t="shared" si="15"/>
        <v>6.2546549159137916E-11</v>
      </c>
      <c r="CP52" s="4">
        <f t="shared" si="15"/>
        <v>6.3287992268028412E-11</v>
      </c>
      <c r="CQ52" s="4">
        <f t="shared" si="15"/>
        <v>6.4039000000000346E-11</v>
      </c>
    </row>
    <row r="53" spans="1:95">
      <c r="A53" s="3">
        <v>51</v>
      </c>
      <c r="B53" s="17" t="str">
        <f>データファイル用!$B54</f>
        <v>ASHRAE Western Red Cedar</v>
      </c>
      <c r="C53" s="18">
        <f>データファイル用!G54</f>
        <v>3.3855000000000001E-12</v>
      </c>
      <c r="D53" s="19">
        <f>データファイル用!H54</f>
        <v>2.2634000000000001E-2</v>
      </c>
      <c r="E53" s="20">
        <f>データファイル用!I54</f>
        <v>-3.7673000000000001</v>
      </c>
      <c r="F53" s="42">
        <f>データファイル用!J54</f>
        <v>1.0284</v>
      </c>
      <c r="G53" s="4">
        <f t="shared" si="20"/>
        <v>0</v>
      </c>
      <c r="H53" s="4">
        <f t="shared" si="20"/>
        <v>7.6618255479530544E-14</v>
      </c>
      <c r="I53" s="4">
        <f t="shared" si="20"/>
        <v>8.3481753002839086E-14</v>
      </c>
      <c r="J53" s="4">
        <f t="shared" si="20"/>
        <v>9.0464563100581954E-14</v>
      </c>
      <c r="K53" s="4">
        <f t="shared" si="20"/>
        <v>9.7837917137638159E-14</v>
      </c>
      <c r="L53" s="4">
        <f t="shared" si="20"/>
        <v>1.0571245740986239E-13</v>
      </c>
      <c r="M53" s="4">
        <f t="shared" si="20"/>
        <v>1.1416265741733502E-13</v>
      </c>
      <c r="N53" s="4">
        <f t="shared" si="20"/>
        <v>1.232524907033192E-13</v>
      </c>
      <c r="O53" s="4">
        <f t="shared" si="20"/>
        <v>1.3304366325714186E-13</v>
      </c>
      <c r="P53" s="4">
        <f t="shared" si="20"/>
        <v>1.4359905119361225E-13</v>
      </c>
      <c r="Q53" s="4">
        <f t="shared" si="20"/>
        <v>1.5498446830119274E-13</v>
      </c>
      <c r="R53" s="4">
        <f t="shared" si="20"/>
        <v>1.6726976204740555E-13</v>
      </c>
      <c r="S53" s="4">
        <f t="shared" si="20"/>
        <v>1.8052961687799629E-13</v>
      </c>
      <c r="T53" s="4">
        <f t="shared" si="20"/>
        <v>1.9484422804801028E-13</v>
      </c>
      <c r="U53" s="4">
        <f t="shared" si="20"/>
        <v>2.1029992400822007E-13</v>
      </c>
      <c r="V53" s="4">
        <f t="shared" si="20"/>
        <v>2.2698977828084794E-13</v>
      </c>
      <c r="W53" s="4">
        <f t="shared" si="18"/>
        <v>2.4501423437666037E-13</v>
      </c>
      <c r="X53" s="4">
        <f t="shared" si="18"/>
        <v>2.6448175869597722E-13</v>
      </c>
      <c r="Y53" s="4">
        <f t="shared" si="18"/>
        <v>2.8550953193171541E-13</v>
      </c>
      <c r="Z53" s="4">
        <f t="shared" si="18"/>
        <v>3.0822418718781956E-13</v>
      </c>
      <c r="AA53" s="4">
        <f t="shared" si="18"/>
        <v>3.3276260185477453E-13</v>
      </c>
      <c r="AB53" s="4">
        <f t="shared" si="18"/>
        <v>3.5927274975016284E-13</v>
      </c>
      <c r="AC53" s="4">
        <f t="shared" si="18"/>
        <v>3.8791461987728471E-13</v>
      </c>
      <c r="AD53" s="4">
        <f t="shared" si="18"/>
        <v>4.188612082383946E-13</v>
      </c>
      <c r="AE53" s="4">
        <f t="shared" si="18"/>
        <v>4.5229958938320315E-13</v>
      </c>
      <c r="AF53" s="4">
        <f t="shared" si="18"/>
        <v>4.8843207473386782E-13</v>
      </c>
      <c r="AG53" s="4">
        <f t="shared" si="18"/>
        <v>5.2747746517995617E-13</v>
      </c>
      <c r="AH53" s="4">
        <f t="shared" si="18"/>
        <v>5.6967240596701508E-13</v>
      </c>
      <c r="AI53" s="4">
        <f t="shared" si="18"/>
        <v>6.1527285250350917E-13</v>
      </c>
      <c r="AJ53" s="4">
        <f t="shared" si="18"/>
        <v>6.6455565638016701E-13</v>
      </c>
      <c r="AK53" s="4">
        <f t="shared" si="18"/>
        <v>7.1782028163326768E-13</v>
      </c>
      <c r="AL53" s="4">
        <f t="shared" si="22"/>
        <v>7.753906620909016E-13</v>
      </c>
      <c r="AM53" s="4">
        <f t="shared" si="22"/>
        <v>8.3761721152211734E-13</v>
      </c>
      <c r="AN53" s="4">
        <f t="shared" si="22"/>
        <v>9.0487899926740081E-13</v>
      </c>
      <c r="AO53" s="4">
        <f t="shared" si="22"/>
        <v>9.7758610507038133E-13</v>
      </c>
      <c r="AP53" s="4">
        <f t="shared" si="22"/>
        <v>1.0561821679610974E-12</v>
      </c>
      <c r="AQ53" s="4">
        <f t="shared" si="22"/>
        <v>1.1411471452673506E-12</v>
      </c>
      <c r="AR53" s="4">
        <f t="shared" si="22"/>
        <v>1.2330002991601712E-12</v>
      </c>
      <c r="AS53" s="4">
        <f t="shared" si="22"/>
        <v>1.3323034295805482E-12</v>
      </c>
      <c r="AT53" s="4">
        <f t="shared" si="22"/>
        <v>1.4396643739563384E-12</v>
      </c>
      <c r="AU53" s="4">
        <f t="shared" si="22"/>
        <v>1.5557407958106172E-12</v>
      </c>
      <c r="AV53" s="4">
        <f t="shared" si="22"/>
        <v>1.6812442861964074E-12</v>
      </c>
      <c r="AW53" s="4">
        <f t="shared" si="22"/>
        <v>1.8169448038793937E-12</v>
      </c>
      <c r="AX53" s="4">
        <f t="shared" si="22"/>
        <v>1.9636754823426422E-12</v>
      </c>
      <c r="AY53" s="4">
        <f t="shared" si="22"/>
        <v>2.1223378340192163E-12</v>
      </c>
      <c r="AZ53" s="4">
        <f t="shared" si="22"/>
        <v>2.2939073846849093E-12</v>
      </c>
      <c r="BA53" s="4">
        <f t="shared" si="22"/>
        <v>2.4794397736802483E-12</v>
      </c>
      <c r="BB53" s="4">
        <f t="shared" si="21"/>
        <v>2.6800773585960752E-12</v>
      </c>
      <c r="BC53" s="4">
        <f t="shared" si="21"/>
        <v>2.897056366269389E-12</v>
      </c>
      <c r="BD53" s="4">
        <f t="shared" si="21"/>
        <v>2.908357822380476E-12</v>
      </c>
      <c r="BE53" s="4">
        <f t="shared" si="21"/>
        <v>2.9197036279822352E-12</v>
      </c>
      <c r="BF53" s="4">
        <f t="shared" si="19"/>
        <v>2.9310939579403232E-12</v>
      </c>
      <c r="BG53" s="4">
        <f t="shared" si="19"/>
        <v>2.9425289878126111E-12</v>
      </c>
      <c r="BH53" s="4">
        <f t="shared" si="19"/>
        <v>2.9540088938519401E-12</v>
      </c>
      <c r="BI53" s="4">
        <f t="shared" si="19"/>
        <v>2.9655338530088784E-12</v>
      </c>
      <c r="BJ53" s="4">
        <f t="shared" si="19"/>
        <v>2.9771040429344892E-12</v>
      </c>
      <c r="BK53" s="4">
        <f t="shared" si="19"/>
        <v>2.988719641983121E-12</v>
      </c>
      <c r="BL53" s="4">
        <f t="shared" si="19"/>
        <v>3.0003808292151951E-12</v>
      </c>
      <c r="BM53" s="4">
        <f t="shared" si="19"/>
        <v>3.0120877844000137E-12</v>
      </c>
      <c r="BN53" s="4">
        <f t="shared" si="19"/>
        <v>3.023840688018575E-12</v>
      </c>
      <c r="BO53" s="4">
        <f t="shared" si="19"/>
        <v>3.0356397212663992E-12</v>
      </c>
      <c r="BP53" s="4">
        <f t="shared" si="19"/>
        <v>3.0474850660563705E-12</v>
      </c>
      <c r="BQ53" s="4">
        <f t="shared" si="19"/>
        <v>3.0593769050215829E-12</v>
      </c>
      <c r="BR53" s="4">
        <f t="shared" si="17"/>
        <v>3.0713154215182054E-12</v>
      </c>
      <c r="BS53" s="4">
        <f t="shared" si="17"/>
        <v>3.0833007996283524E-12</v>
      </c>
      <c r="BT53" s="4">
        <f t="shared" si="17"/>
        <v>3.0953332241629649E-12</v>
      </c>
      <c r="BU53" s="4">
        <f t="shared" si="17"/>
        <v>3.107412880664711E-12</v>
      </c>
      <c r="BV53" s="4">
        <f t="shared" si="17"/>
        <v>3.1195399554108948E-12</v>
      </c>
      <c r="BW53" s="4">
        <f t="shared" si="17"/>
        <v>3.1317146354163644E-12</v>
      </c>
      <c r="BX53" s="4">
        <f t="shared" si="17"/>
        <v>3.143937108436455E-12</v>
      </c>
      <c r="BY53" s="4">
        <f t="shared" si="17"/>
        <v>3.1562075629699223E-12</v>
      </c>
      <c r="BZ53" s="4">
        <f t="shared" si="17"/>
        <v>3.1685261882618998E-12</v>
      </c>
      <c r="CA53" s="4">
        <f t="shared" si="17"/>
        <v>3.1808931743068634E-12</v>
      </c>
      <c r="CB53" s="4">
        <f t="shared" si="17"/>
        <v>3.1933087118516095E-12</v>
      </c>
      <c r="CC53" s="4">
        <f t="shared" si="17"/>
        <v>3.2057729923982414E-12</v>
      </c>
      <c r="CD53" s="4">
        <f t="shared" si="17"/>
        <v>3.2182862082071748E-12</v>
      </c>
      <c r="CE53" s="4">
        <f t="shared" si="17"/>
        <v>3.2308485523001466E-12</v>
      </c>
      <c r="CF53" s="4">
        <f t="shared" si="17"/>
        <v>3.2434602184632449E-12</v>
      </c>
      <c r="CG53" s="4">
        <f t="shared" si="23"/>
        <v>3.2561214012499386E-12</v>
      </c>
      <c r="CH53" s="4">
        <f t="shared" si="23"/>
        <v>3.2688322959841355E-12</v>
      </c>
      <c r="CI53" s="4">
        <f t="shared" si="23"/>
        <v>3.2815930987632347E-12</v>
      </c>
      <c r="CJ53" s="4">
        <f t="shared" si="23"/>
        <v>3.2944040064612092E-12</v>
      </c>
      <c r="CK53" s="4">
        <f t="shared" si="23"/>
        <v>3.3072652167316863E-12</v>
      </c>
      <c r="CL53" s="4">
        <f t="shared" si="23"/>
        <v>3.320176928011042E-12</v>
      </c>
      <c r="CM53" s="4">
        <f t="shared" si="23"/>
        <v>3.3331393395215233E-12</v>
      </c>
      <c r="CN53" s="4">
        <f t="shared" si="23"/>
        <v>3.3461526512743559E-12</v>
      </c>
      <c r="CO53" s="4">
        <f t="shared" si="15"/>
        <v>3.3592170640728963E-12</v>
      </c>
      <c r="CP53" s="4">
        <f t="shared" si="15"/>
        <v>3.3723327795157628E-12</v>
      </c>
      <c r="CQ53" s="4">
        <f t="shared" si="15"/>
        <v>3.3855000000000061E-12</v>
      </c>
    </row>
    <row r="54" spans="1:95">
      <c r="A54" s="3">
        <v>52</v>
      </c>
      <c r="B54" s="17" t="str">
        <f>データファイル用!$B55</f>
        <v>ASHRAE Spruce</v>
      </c>
      <c r="C54" s="18">
        <f>データファイル用!G55</f>
        <v>5.6401999999999998E-11</v>
      </c>
      <c r="D54" s="19">
        <f>データファイル用!H55</f>
        <v>1.3345</v>
      </c>
      <c r="E54" s="20">
        <f>データファイル用!I55</f>
        <v>-2.5049999999999999</v>
      </c>
      <c r="F54" s="42">
        <f>データファイル用!J55</f>
        <v>2.1366999999999998</v>
      </c>
      <c r="G54" s="4">
        <f t="shared" si="20"/>
        <v>0</v>
      </c>
      <c r="H54" s="4">
        <f t="shared" si="20"/>
        <v>2.490957258217481E-14</v>
      </c>
      <c r="I54" s="4">
        <f t="shared" si="20"/>
        <v>6.2944372180648178E-14</v>
      </c>
      <c r="J54" s="4">
        <f t="shared" si="20"/>
        <v>1.0851648497049158E-13</v>
      </c>
      <c r="K54" s="4">
        <f t="shared" si="20"/>
        <v>1.6013643623925717E-13</v>
      </c>
      <c r="L54" s="4">
        <f t="shared" si="20"/>
        <v>2.1718415380986088E-13</v>
      </c>
      <c r="M54" s="4">
        <f t="shared" si="20"/>
        <v>2.7943337455067657E-13</v>
      </c>
      <c r="N54" s="4">
        <f t="shared" si="20"/>
        <v>3.4689041242519229E-13</v>
      </c>
      <c r="O54" s="4">
        <f t="shared" si="20"/>
        <v>4.1972394136473722E-13</v>
      </c>
      <c r="P54" s="4">
        <f t="shared" si="20"/>
        <v>4.9823078127233391E-13</v>
      </c>
      <c r="Q54" s="4">
        <f t="shared" si="20"/>
        <v>5.828189388277176E-13</v>
      </c>
      <c r="R54" s="4">
        <f t="shared" si="20"/>
        <v>6.7400020442613579E-13</v>
      </c>
      <c r="S54" s="4">
        <f t="shared" si="20"/>
        <v>7.723887479503674E-13</v>
      </c>
      <c r="T54" s="4">
        <f t="shared" si="20"/>
        <v>8.7870395060832343E-13</v>
      </c>
      <c r="U54" s="4">
        <f t="shared" si="20"/>
        <v>9.9377658133280922E-13</v>
      </c>
      <c r="V54" s="4">
        <f t="shared" si="20"/>
        <v>1.1185578936507248E-12</v>
      </c>
      <c r="W54" s="4">
        <f t="shared" si="18"/>
        <v>1.2541314956698974E-12</v>
      </c>
      <c r="X54" s="4">
        <f t="shared" si="18"/>
        <v>1.4017280280784983E-12</v>
      </c>
      <c r="Y54" s="4">
        <f t="shared" si="18"/>
        <v>1.5627428198949867E-12</v>
      </c>
      <c r="Z54" s="4">
        <f t="shared" si="18"/>
        <v>1.7387568040851164E-12</v>
      </c>
      <c r="AA54" s="4">
        <f t="shared" si="18"/>
        <v>1.9315610794577233E-12</v>
      </c>
      <c r="AB54" s="4">
        <f t="shared" si="18"/>
        <v>2.1431856106425851E-12</v>
      </c>
      <c r="AC54" s="4">
        <f t="shared" si="18"/>
        <v>2.3759326710637899E-12</v>
      </c>
      <c r="AD54" s="4">
        <f t="shared" si="18"/>
        <v>2.6324157601140001E-12</v>
      </c>
      <c r="AE54" s="4">
        <f t="shared" si="18"/>
        <v>2.915604870315638E-12</v>
      </c>
      <c r="AF54" s="4">
        <f t="shared" si="18"/>
        <v>3.2288791483887428E-12</v>
      </c>
      <c r="AG54" s="4">
        <f t="shared" si="18"/>
        <v>3.576088191630621E-12</v>
      </c>
      <c r="AH54" s="4">
        <f t="shared" si="18"/>
        <v>3.9616234545033403E-12</v>
      </c>
      <c r="AI54" s="4">
        <f t="shared" si="18"/>
        <v>4.3905015176450945E-12</v>
      </c>
      <c r="AJ54" s="4">
        <f t="shared" si="18"/>
        <v>4.8684613020000674E-12</v>
      </c>
      <c r="AK54" s="4">
        <f t="shared" si="18"/>
        <v>5.4020777056225884E-12</v>
      </c>
      <c r="AL54" s="4">
        <f t="shared" si="22"/>
        <v>5.9988946135292913E-12</v>
      </c>
      <c r="AM54" s="4">
        <f t="shared" si="22"/>
        <v>6.6675807982293341E-12</v>
      </c>
      <c r="AN54" s="4">
        <f t="shared" si="22"/>
        <v>7.4181129103203494E-12</v>
      </c>
      <c r="AO54" s="4">
        <f t="shared" si="22"/>
        <v>8.2619905792774111E-12</v>
      </c>
      <c r="AP54" s="4">
        <f t="shared" si="22"/>
        <v>9.2124896342092633E-12</v>
      </c>
      <c r="AQ54" s="4">
        <f t="shared" si="22"/>
        <v>1.0284960649557722E-11</v>
      </c>
      <c r="AR54" s="4">
        <f t="shared" si="22"/>
        <v>1.1497181466423381E-11</v>
      </c>
      <c r="AS54" s="4">
        <f t="shared" si="22"/>
        <v>1.2869774091640715E-11</v>
      </c>
      <c r="AT54" s="4">
        <f t="shared" si="22"/>
        <v>1.4426698501854283E-11</v>
      </c>
      <c r="AU54" s="4">
        <f t="shared" si="22"/>
        <v>1.6195838462417031E-11</v>
      </c>
      <c r="AV54" s="4">
        <f t="shared" si="22"/>
        <v>1.8209697614320039E-11</v>
      </c>
      <c r="AW54" s="4">
        <f t="shared" si="22"/>
        <v>2.0506227914375051E-11</v>
      </c>
      <c r="AX54" s="4">
        <f t="shared" si="22"/>
        <v>2.3129817192754906E-11</v>
      </c>
      <c r="AY54" s="4">
        <f t="shared" si="22"/>
        <v>2.6132468314004922E-11</v>
      </c>
      <c r="AZ54" s="4">
        <f t="shared" si="22"/>
        <v>2.9575209436538936E-11</v>
      </c>
      <c r="BA54" s="4">
        <f t="shared" si="22"/>
        <v>3.3529783464695292E-11</v>
      </c>
      <c r="BB54" s="4">
        <f t="shared" si="21"/>
        <v>3.8080675354548753E-11</v>
      </c>
      <c r="BC54" s="4">
        <f t="shared" si="21"/>
        <v>4.3327548941501594E-11</v>
      </c>
      <c r="BD54" s="4">
        <f t="shared" si="21"/>
        <v>4.3610188971318337E-11</v>
      </c>
      <c r="BE54" s="4">
        <f t="shared" si="21"/>
        <v>4.3894874939942642E-11</v>
      </c>
      <c r="BF54" s="4">
        <f t="shared" si="19"/>
        <v>4.418162300502442E-11</v>
      </c>
      <c r="BG54" s="4">
        <f t="shared" si="19"/>
        <v>4.4470449461211427E-11</v>
      </c>
      <c r="BH54" s="4">
        <f t="shared" si="19"/>
        <v>4.4761370741383971E-11</v>
      </c>
      <c r="BI54" s="4">
        <f t="shared" si="19"/>
        <v>4.505440341790135E-11</v>
      </c>
      <c r="BJ54" s="4">
        <f t="shared" si="19"/>
        <v>4.5349564203860185E-11</v>
      </c>
      <c r="BK54" s="4">
        <f t="shared" si="19"/>
        <v>4.5646869954364634E-11</v>
      </c>
      <c r="BL54" s="4">
        <f t="shared" si="19"/>
        <v>4.5946337667808815E-11</v>
      </c>
      <c r="BM54" s="4">
        <f t="shared" si="19"/>
        <v>4.6247984487171351E-11</v>
      </c>
      <c r="BN54" s="4">
        <f t="shared" si="19"/>
        <v>4.6551827701322289E-11</v>
      </c>
      <c r="BO54" s="4">
        <f t="shared" si="19"/>
        <v>4.6857884746342455E-11</v>
      </c>
      <c r="BP54" s="4">
        <f t="shared" si="19"/>
        <v>4.716617320685549E-11</v>
      </c>
      <c r="BQ54" s="4">
        <f t="shared" si="19"/>
        <v>4.7476710817372404E-11</v>
      </c>
      <c r="BR54" s="4">
        <f t="shared" si="17"/>
        <v>4.7789515463649165E-11</v>
      </c>
      <c r="BS54" s="4">
        <f t="shared" si="17"/>
        <v>4.8104605184057131E-11</v>
      </c>
      <c r="BT54" s="4">
        <f t="shared" si="17"/>
        <v>4.8421998170966635E-11</v>
      </c>
      <c r="BU54" s="4">
        <f t="shared" si="17"/>
        <v>4.874171277214378E-11</v>
      </c>
      <c r="BV54" s="4">
        <f t="shared" si="17"/>
        <v>4.9063767492160515E-11</v>
      </c>
      <c r="BW54" s="4">
        <f t="shared" si="17"/>
        <v>4.9388180993818396E-11</v>
      </c>
      <c r="BX54" s="4">
        <f t="shared" si="17"/>
        <v>4.9714972099585776E-11</v>
      </c>
      <c r="BY54" s="4">
        <f t="shared" si="17"/>
        <v>5.0044159793048859E-11</v>
      </c>
      <c r="BZ54" s="4">
        <f t="shared" si="17"/>
        <v>5.037576322037664E-11</v>
      </c>
      <c r="CA54" s="4">
        <f t="shared" si="17"/>
        <v>5.0709801691799878E-11</v>
      </c>
      <c r="CB54" s="4">
        <f t="shared" si="17"/>
        <v>5.1046294683104317E-11</v>
      </c>
      <c r="CC54" s="4">
        <f t="shared" si="17"/>
        <v>5.1385261837138084E-11</v>
      </c>
      <c r="CD54" s="4">
        <f t="shared" si="17"/>
        <v>5.172672296533372E-11</v>
      </c>
      <c r="CE54" s="4">
        <f t="shared" si="17"/>
        <v>5.2070698049244727E-11</v>
      </c>
      <c r="CF54" s="4">
        <f t="shared" si="17"/>
        <v>5.2417207242096949E-11</v>
      </c>
      <c r="CG54" s="4">
        <f t="shared" si="23"/>
        <v>5.2766270870354769E-11</v>
      </c>
      <c r="CH54" s="4">
        <f t="shared" si="23"/>
        <v>5.3117909435302474E-11</v>
      </c>
      <c r="CI54" s="4">
        <f t="shared" si="23"/>
        <v>5.3472143614640781E-11</v>
      </c>
      <c r="CJ54" s="4">
        <f t="shared" si="23"/>
        <v>5.3828994264098676E-11</v>
      </c>
      <c r="CK54" s="4">
        <f t="shared" si="23"/>
        <v>5.4188482419060896E-11</v>
      </c>
      <c r="CL54" s="4">
        <f t="shared" si="23"/>
        <v>5.4550629296211054E-11</v>
      </c>
      <c r="CM54" s="4">
        <f t="shared" si="23"/>
        <v>5.4915456295190501E-11</v>
      </c>
      <c r="CN54" s="4">
        <f t="shared" si="23"/>
        <v>5.5282985000273286E-11</v>
      </c>
      <c r="CO54" s="4">
        <f t="shared" si="15"/>
        <v>5.5653237182057255E-11</v>
      </c>
      <c r="CP54" s="4">
        <f t="shared" si="15"/>
        <v>5.6026234799171505E-11</v>
      </c>
      <c r="CQ54" s="4">
        <f t="shared" si="15"/>
        <v>5.640200000000016E-11</v>
      </c>
    </row>
    <row r="55" spans="1:95">
      <c r="A55" s="3">
        <v>53</v>
      </c>
      <c r="B55" s="17" t="str">
        <f>データファイル用!$B56</f>
        <v>ASHRAE Eastern White Pine</v>
      </c>
      <c r="C55" s="18">
        <f>データファイル用!G56</f>
        <v>2.1038000000000001E-11</v>
      </c>
      <c r="D55" s="19">
        <f>データファイル用!H56</f>
        <v>0.31518000000000002</v>
      </c>
      <c r="E55" s="20">
        <f>データファイル用!I56</f>
        <v>-5.6497999999999999</v>
      </c>
      <c r="F55" s="42">
        <f>データファイル用!J56</f>
        <v>1.2203999999999999</v>
      </c>
      <c r="G55" s="4">
        <f t="shared" si="20"/>
        <v>0</v>
      </c>
      <c r="H55" s="4">
        <f t="shared" si="20"/>
        <v>2.2623841128660111E-14</v>
      </c>
      <c r="I55" s="4">
        <f t="shared" si="20"/>
        <v>2.9991985327886011E-14</v>
      </c>
      <c r="J55" s="4">
        <f t="shared" si="20"/>
        <v>3.6594491247468844E-14</v>
      </c>
      <c r="K55" s="4">
        <f t="shared" si="20"/>
        <v>4.3261574612843436E-14</v>
      </c>
      <c r="L55" s="4">
        <f t="shared" si="20"/>
        <v>5.0333836439006075E-14</v>
      </c>
      <c r="M55" s="4">
        <f t="shared" si="20"/>
        <v>5.8026542295523057E-14</v>
      </c>
      <c r="N55" s="4">
        <f t="shared" si="20"/>
        <v>6.6515129404322784E-14</v>
      </c>
      <c r="O55" s="4">
        <f t="shared" si="20"/>
        <v>7.596565120456564E-14</v>
      </c>
      <c r="P55" s="4">
        <f t="shared" si="20"/>
        <v>8.6549015233455864E-14</v>
      </c>
      <c r="Q55" s="4">
        <f t="shared" si="20"/>
        <v>9.8449398028617533E-14</v>
      </c>
      <c r="R55" s="4">
        <f t="shared" si="20"/>
        <v>1.1187039067752397E-13</v>
      </c>
      <c r="S55" s="4">
        <f t="shared" si="20"/>
        <v>1.2704032775081318E-13</v>
      </c>
      <c r="T55" s="4">
        <f t="shared" si="20"/>
        <v>1.4421749277943349E-13</v>
      </c>
      <c r="U55" s="4">
        <f t="shared" si="20"/>
        <v>1.6369558799359363E-13</v>
      </c>
      <c r="V55" s="4">
        <f t="shared" si="20"/>
        <v>1.8580972627821453E-13</v>
      </c>
      <c r="W55" s="4">
        <f t="shared" si="18"/>
        <v>2.1094314946715466E-13</v>
      </c>
      <c r="X55" s="4">
        <f t="shared" si="18"/>
        <v>2.3953485972935391E-13</v>
      </c>
      <c r="Y55" s="4">
        <f t="shared" si="18"/>
        <v>2.7208835309922342E-13</v>
      </c>
      <c r="Z55" s="4">
        <f t="shared" si="18"/>
        <v>3.0918165870640643E-13</v>
      </c>
      <c r="AA55" s="4">
        <f t="shared" si="18"/>
        <v>3.5147891065998874E-13</v>
      </c>
      <c r="AB55" s="4">
        <f t="shared" si="18"/>
        <v>3.9974371053758962E-13</v>
      </c>
      <c r="AC55" s="4">
        <f t="shared" si="18"/>
        <v>4.5485457677553828E-13</v>
      </c>
      <c r="AD55" s="4">
        <f t="shared" si="18"/>
        <v>5.1782282333192075E-13</v>
      </c>
      <c r="AE55" s="4">
        <f t="shared" si="18"/>
        <v>5.8981326460461764E-13</v>
      </c>
      <c r="AF55" s="4">
        <f t="shared" si="18"/>
        <v>6.7216820787708984E-13</v>
      </c>
      <c r="AG55" s="4">
        <f t="shared" si="18"/>
        <v>7.6643526999520511E-13</v>
      </c>
      <c r="AH55" s="4">
        <f t="shared" si="18"/>
        <v>8.74399643329758E-13</v>
      </c>
      <c r="AI55" s="4">
        <f t="shared" si="18"/>
        <v>9.9812153948278088E-13</v>
      </c>
      <c r="AJ55" s="4">
        <f t="shared" si="18"/>
        <v>1.1399796601783039E-12</v>
      </c>
      <c r="AK55" s="4">
        <f t="shared" si="18"/>
        <v>1.3027216863225253E-12</v>
      </c>
      <c r="AL55" s="4">
        <f t="shared" si="22"/>
        <v>1.489522941837203E-12</v>
      </c>
      <c r="AM55" s="4">
        <f t="shared" si="22"/>
        <v>1.704054582695875E-12</v>
      </c>
      <c r="AN55" s="4">
        <f t="shared" si="22"/>
        <v>1.9505628884849114E-12</v>
      </c>
      <c r="AO55" s="4">
        <f t="shared" si="22"/>
        <v>2.2339614994839742E-12</v>
      </c>
      <c r="AP55" s="4">
        <f t="shared" si="22"/>
        <v>2.5599387534319572E-12</v>
      </c>
      <c r="AQ55" s="4">
        <f t="shared" si="22"/>
        <v>2.935082640715917E-12</v>
      </c>
      <c r="AR55" s="4">
        <f t="shared" si="22"/>
        <v>3.3670263239862396E-12</v>
      </c>
      <c r="AS55" s="4">
        <f t="shared" si="22"/>
        <v>3.8646176690963199E-12</v>
      </c>
      <c r="AT55" s="4">
        <f t="shared" si="22"/>
        <v>4.4381168216591393E-12</v>
      </c>
      <c r="AU55" s="4">
        <f t="shared" si="22"/>
        <v>5.0994265525558587E-12</v>
      </c>
      <c r="AV55" s="4">
        <f t="shared" si="22"/>
        <v>5.8623609042626093E-12</v>
      </c>
      <c r="AW55" s="4">
        <f t="shared" si="22"/>
        <v>6.7429586188928627E-12</v>
      </c>
      <c r="AX55" s="4">
        <f t="shared" si="22"/>
        <v>7.7598489431403262E-12</v>
      </c>
      <c r="AY55" s="4">
        <f t="shared" si="22"/>
        <v>8.9346787140260668E-12</v>
      </c>
      <c r="AZ55" s="4">
        <f t="shared" si="22"/>
        <v>1.0292611166896404E-11</v>
      </c>
      <c r="BA55" s="4">
        <f t="shared" si="22"/>
        <v>1.1862908714039579E-11</v>
      </c>
      <c r="BB55" s="4">
        <f t="shared" si="21"/>
        <v>1.3679614066422553E-11</v>
      </c>
      <c r="BC55" s="4">
        <f t="shared" si="21"/>
        <v>1.5782346568830526E-11</v>
      </c>
      <c r="BD55" s="4">
        <f t="shared" si="21"/>
        <v>1.5895788405250196E-11</v>
      </c>
      <c r="BE55" s="4">
        <f t="shared" si="21"/>
        <v>1.6010065281890044E-11</v>
      </c>
      <c r="BF55" s="4">
        <f t="shared" si="19"/>
        <v>1.6125183474182221E-11</v>
      </c>
      <c r="BG55" s="4">
        <f t="shared" si="19"/>
        <v>1.6241149305590776E-11</v>
      </c>
      <c r="BH55" s="4">
        <f t="shared" si="19"/>
        <v>1.635796914798539E-11</v>
      </c>
      <c r="BI55" s="4">
        <f t="shared" si="19"/>
        <v>1.6475649422018023E-11</v>
      </c>
      <c r="BJ55" s="4">
        <f t="shared" si="19"/>
        <v>1.6594196597502596E-11</v>
      </c>
      <c r="BK55" s="4">
        <f t="shared" si="19"/>
        <v>1.6713617193797616E-11</v>
      </c>
      <c r="BL55" s="4">
        <f t="shared" si="19"/>
        <v>1.6833917780191859E-11</v>
      </c>
      <c r="BM55" s="4">
        <f t="shared" si="19"/>
        <v>1.6955104976293069E-11</v>
      </c>
      <c r="BN55" s="4">
        <f t="shared" si="19"/>
        <v>1.7077185452419803E-11</v>
      </c>
      <c r="BO55" s="4">
        <f t="shared" si="19"/>
        <v>1.7200165929996243E-11</v>
      </c>
      <c r="BP55" s="4">
        <f t="shared" si="19"/>
        <v>1.7324053181950275E-11</v>
      </c>
      <c r="BQ55" s="4">
        <f t="shared" si="19"/>
        <v>1.7448854033114608E-11</v>
      </c>
      <c r="BR55" s="4">
        <f t="shared" si="17"/>
        <v>1.7574575360631077E-11</v>
      </c>
      <c r="BS55" s="4">
        <f t="shared" si="17"/>
        <v>1.7701224094358224E-11</v>
      </c>
      <c r="BT55" s="4">
        <f t="shared" si="17"/>
        <v>1.7828807217282001E-11</v>
      </c>
      <c r="BU55" s="4">
        <f t="shared" si="17"/>
        <v>1.7957331765929761E-11</v>
      </c>
      <c r="BV55" s="4">
        <f t="shared" si="17"/>
        <v>1.8086804830787565E-11</v>
      </c>
      <c r="BW55" s="4">
        <f t="shared" si="17"/>
        <v>1.8217233556720688E-11</v>
      </c>
      <c r="BX55" s="4">
        <f t="shared" si="17"/>
        <v>1.8348625143397547E-11</v>
      </c>
      <c r="BY55" s="4">
        <f t="shared" si="17"/>
        <v>1.8480986845716975E-11</v>
      </c>
      <c r="BZ55" s="4">
        <f t="shared" si="17"/>
        <v>1.8614325974238795E-11</v>
      </c>
      <c r="CA55" s="4">
        <f t="shared" si="17"/>
        <v>1.8748649895617897E-11</v>
      </c>
      <c r="CB55" s="4">
        <f t="shared" si="17"/>
        <v>1.8883966033041683E-11</v>
      </c>
      <c r="CC55" s="4">
        <f t="shared" si="17"/>
        <v>1.9020281866671013E-11</v>
      </c>
      <c r="CD55" s="4">
        <f t="shared" si="17"/>
        <v>1.9157604934084612E-11</v>
      </c>
      <c r="CE55" s="4">
        <f t="shared" si="17"/>
        <v>1.929594283072705E-11</v>
      </c>
      <c r="CF55" s="4">
        <f t="shared" si="17"/>
        <v>1.9435303210360178E-11</v>
      </c>
      <c r="CG55" s="4">
        <f t="shared" si="23"/>
        <v>1.957569378551822E-11</v>
      </c>
      <c r="CH55" s="4">
        <f t="shared" si="23"/>
        <v>1.9717122327966444E-11</v>
      </c>
      <c r="CI55" s="4">
        <f t="shared" si="23"/>
        <v>1.985959666916343E-11</v>
      </c>
      <c r="CJ55" s="4">
        <f t="shared" si="23"/>
        <v>2.0003124700727075E-11</v>
      </c>
      <c r="CK55" s="4">
        <f t="shared" si="23"/>
        <v>2.0147714374904201E-11</v>
      </c>
      <c r="CL55" s="4">
        <f t="shared" si="23"/>
        <v>2.0293373705043938E-11</v>
      </c>
      <c r="CM55" s="4">
        <f t="shared" si="23"/>
        <v>2.0440110766074892E-11</v>
      </c>
      <c r="CN55" s="4">
        <f t="shared" si="23"/>
        <v>2.058793369498596E-11</v>
      </c>
      <c r="CO55" s="4">
        <f t="shared" si="15"/>
        <v>2.0736850691311122E-11</v>
      </c>
      <c r="CP55" s="4">
        <f t="shared" si="15"/>
        <v>2.0886870017617966E-11</v>
      </c>
      <c r="CQ55" s="4">
        <f t="shared" si="15"/>
        <v>2.1038000000000056E-11</v>
      </c>
    </row>
    <row r="56" spans="1:95">
      <c r="A56" s="3">
        <v>54</v>
      </c>
      <c r="B56" s="17" t="str">
        <f>データファイル用!$B57</f>
        <v>ASHRAE Southern Yellow Pine</v>
      </c>
      <c r="C56" s="18">
        <f>データファイル用!G57</f>
        <v>3.3654999999999999E-11</v>
      </c>
      <c r="D56" s="19">
        <f>データファイル用!H57</f>
        <v>1.7455000000000001</v>
      </c>
      <c r="E56" s="20">
        <f>データファイル用!I57</f>
        <v>-2.5253000000000001</v>
      </c>
      <c r="F56" s="42">
        <f>データファイル用!J57</f>
        <v>2.1431</v>
      </c>
      <c r="G56" s="4">
        <f t="shared" si="20"/>
        <v>0</v>
      </c>
      <c r="H56" s="4">
        <f t="shared" si="20"/>
        <v>2.9175897738640783E-15</v>
      </c>
      <c r="I56" s="4">
        <f t="shared" si="20"/>
        <v>9.8023118925959489E-15</v>
      </c>
      <c r="J56" s="4">
        <f t="shared" si="20"/>
        <v>1.9963121002061685E-14</v>
      </c>
      <c r="K56" s="4">
        <f t="shared" si="20"/>
        <v>3.3155785291397465E-14</v>
      </c>
      <c r="L56" s="4">
        <f t="shared" si="20"/>
        <v>4.9284946754309042E-14</v>
      </c>
      <c r="M56" s="4">
        <f t="shared" si="20"/>
        <v>6.8343370280652301E-14</v>
      </c>
      <c r="N56" s="4">
        <f t="shared" si="20"/>
        <v>9.0389183441032968E-14</v>
      </c>
      <c r="O56" s="4">
        <f t="shared" si="20"/>
        <v>1.1553586627559842E-13</v>
      </c>
      <c r="P56" s="4">
        <f t="shared" si="20"/>
        <v>1.439479968686218E-13</v>
      </c>
      <c r="Q56" s="4">
        <f t="shared" si="20"/>
        <v>1.7584018508788705E-13</v>
      </c>
      <c r="R56" s="4">
        <f t="shared" si="20"/>
        <v>2.1147809863164666E-13</v>
      </c>
      <c r="S56" s="4">
        <f t="shared" si="20"/>
        <v>2.5118108122160143E-13</v>
      </c>
      <c r="T56" s="4">
        <f t="shared" si="20"/>
        <v>2.9532614257769364E-13</v>
      </c>
      <c r="U56" s="4">
        <f t="shared" si="20"/>
        <v>3.4435324989513547E-13</v>
      </c>
      <c r="V56" s="4">
        <f t="shared" si="20"/>
        <v>3.9877194271127429E-13</v>
      </c>
      <c r="W56" s="4">
        <f t="shared" si="18"/>
        <v>4.5916935840552209E-13</v>
      </c>
      <c r="X56" s="4">
        <f t="shared" si="18"/>
        <v>5.2621980904978286E-13</v>
      </c>
      <c r="Y56" s="4">
        <f t="shared" si="18"/>
        <v>6.0069609987015933E-13</v>
      </c>
      <c r="Z56" s="4">
        <f t="shared" si="18"/>
        <v>6.8348282996664882E-13</v>
      </c>
      <c r="AA56" s="4">
        <f t="shared" si="18"/>
        <v>7.755919704733102E-13</v>
      </c>
      <c r="AB56" s="4">
        <f t="shared" si="18"/>
        <v>8.7818107670486934E-13</v>
      </c>
      <c r="AC56" s="4">
        <f t="shared" si="18"/>
        <v>9.9257456152459723E-13</v>
      </c>
      <c r="AD56" s="4">
        <f t="shared" si="18"/>
        <v>1.1202885397727091E-12</v>
      </c>
      <c r="AE56" s="4">
        <f t="shared" si="18"/>
        <v>1.2630598509902507E-12</v>
      </c>
      <c r="AF56" s="4">
        <f t="shared" si="18"/>
        <v>1.4228799831838468E-12</v>
      </c>
      <c r="AG56" s="4">
        <f t="shared" si="18"/>
        <v>1.6020347579307855E-12</v>
      </c>
      <c r="AH56" s="4">
        <f t="shared" si="18"/>
        <v>1.8031508014276034E-12</v>
      </c>
      <c r="AI56" s="4">
        <f t="shared" si="18"/>
        <v>2.0292500228180273E-12</v>
      </c>
      <c r="AJ56" s="4">
        <f t="shared" si="18"/>
        <v>2.2838135571860461E-12</v>
      </c>
      <c r="AK56" s="4">
        <f t="shared" si="18"/>
        <v>2.570856914348762E-12</v>
      </c>
      <c r="AL56" s="4">
        <f t="shared" si="22"/>
        <v>2.8950184162566741E-12</v>
      </c>
      <c r="AM56" s="4">
        <f t="shared" si="22"/>
        <v>3.2616634179057994E-12</v>
      </c>
      <c r="AN56" s="4">
        <f t="shared" si="22"/>
        <v>3.6770073044946692E-12</v>
      </c>
      <c r="AO56" s="4">
        <f t="shared" si="22"/>
        <v>4.1482608598988324E-12</v>
      </c>
      <c r="AP56" s="4">
        <f t="shared" si="22"/>
        <v>4.683802331460773E-12</v>
      </c>
      <c r="AQ56" s="4">
        <f t="shared" si="22"/>
        <v>5.2933814020014207E-12</v>
      </c>
      <c r="AR56" s="4">
        <f t="shared" si="22"/>
        <v>5.9883613568533902E-12</v>
      </c>
      <c r="AS56" s="4">
        <f t="shared" si="22"/>
        <v>6.7820070448066257E-12</v>
      </c>
      <c r="AT56" s="4">
        <f t="shared" si="22"/>
        <v>7.6898278305722292E-12</v>
      </c>
      <c r="AU56" s="4">
        <f t="shared" si="22"/>
        <v>8.7299866888724131E-12</v>
      </c>
      <c r="AV56" s="4">
        <f t="shared" si="22"/>
        <v>9.9237889786154484E-12</v>
      </c>
      <c r="AW56" s="4">
        <f t="shared" si="22"/>
        <v>1.1296267361755325E-11</v>
      </c>
      <c r="AX56" s="4">
        <f t="shared" si="22"/>
        <v>1.2876882922203632E-11</v>
      </c>
      <c r="AY56" s="4">
        <f t="shared" si="22"/>
        <v>1.4700366953620074E-11</v>
      </c>
      <c r="AZ56" s="4">
        <f t="shared" si="22"/>
        <v>1.6807733318353698E-11</v>
      </c>
      <c r="BA56" s="4">
        <f t="shared" si="22"/>
        <v>1.9247497979899593E-11</v>
      </c>
      <c r="BB56" s="4">
        <f t="shared" si="21"/>
        <v>2.2077150586854694E-11</v>
      </c>
      <c r="BC56" s="4">
        <f t="shared" si="21"/>
        <v>2.5364933224922746E-11</v>
      </c>
      <c r="BD56" s="4">
        <f t="shared" si="21"/>
        <v>2.5542742529809085E-11</v>
      </c>
      <c r="BE56" s="4">
        <f t="shared" si="21"/>
        <v>2.5721907893200694E-11</v>
      </c>
      <c r="BF56" s="4">
        <f t="shared" si="19"/>
        <v>2.5902440484688388E-11</v>
      </c>
      <c r="BG56" s="4">
        <f t="shared" si="19"/>
        <v>2.6084351572075817E-11</v>
      </c>
      <c r="BH56" s="4">
        <f t="shared" si="19"/>
        <v>2.6267652522293693E-11</v>
      </c>
      <c r="BI56" s="4">
        <f t="shared" si="19"/>
        <v>2.645235480232298E-11</v>
      </c>
      <c r="BJ56" s="4">
        <f t="shared" si="19"/>
        <v>2.6638469980127102E-11</v>
      </c>
      <c r="BK56" s="4">
        <f t="shared" si="19"/>
        <v>2.6826009725593349E-11</v>
      </c>
      <c r="BL56" s="4">
        <f t="shared" si="19"/>
        <v>2.7014985811483378E-11</v>
      </c>
      <c r="BM56" s="4">
        <f t="shared" si="19"/>
        <v>2.720541011439321E-11</v>
      </c>
      <c r="BN56" s="4">
        <f t="shared" si="19"/>
        <v>2.7397294615722522E-11</v>
      </c>
      <c r="BO56" s="4">
        <f t="shared" si="19"/>
        <v>2.7590651402653505E-11</v>
      </c>
      <c r="BP56" s="4">
        <f t="shared" si="19"/>
        <v>2.7785492669139311E-11</v>
      </c>
      <c r="BQ56" s="4">
        <f t="shared" si="19"/>
        <v>2.7981830716902266E-11</v>
      </c>
      <c r="BR56" s="4">
        <f t="shared" si="17"/>
        <v>2.817967795644183E-11</v>
      </c>
      <c r="BS56" s="4">
        <f t="shared" si="17"/>
        <v>2.8379046908052499E-11</v>
      </c>
      <c r="BT56" s="4">
        <f t="shared" si="17"/>
        <v>2.8579950202851744E-11</v>
      </c>
      <c r="BU56" s="4">
        <f t="shared" si="17"/>
        <v>2.8782400583818052E-11</v>
      </c>
      <c r="BV56" s="4">
        <f t="shared" si="17"/>
        <v>2.8986410906839153E-11</v>
      </c>
      <c r="BW56" s="4">
        <f t="shared" si="17"/>
        <v>2.9191994141770659E-11</v>
      </c>
      <c r="BX56" s="4">
        <f t="shared" si="17"/>
        <v>2.9399163373505048E-11</v>
      </c>
      <c r="BY56" s="4">
        <f t="shared" si="17"/>
        <v>2.9607931803051253E-11</v>
      </c>
      <c r="BZ56" s="4">
        <f t="shared" si="17"/>
        <v>2.9818312748624887E-11</v>
      </c>
      <c r="CA56" s="4">
        <f t="shared" si="17"/>
        <v>3.003031964674922E-11</v>
      </c>
      <c r="CB56" s="4">
        <f t="shared" si="17"/>
        <v>3.0243966053367017E-11</v>
      </c>
      <c r="CC56" s="4">
        <f t="shared" si="17"/>
        <v>3.0459265644963386E-11</v>
      </c>
      <c r="CD56" s="4">
        <f t="shared" si="17"/>
        <v>3.0676232219699753E-11</v>
      </c>
      <c r="CE56" s="4">
        <f t="shared" si="17"/>
        <v>3.0894879698558947E-11</v>
      </c>
      <c r="CF56" s="4">
        <f t="shared" si="17"/>
        <v>3.1115222126501726E-11</v>
      </c>
      <c r="CG56" s="4">
        <f t="shared" si="23"/>
        <v>3.1337273673634702E-11</v>
      </c>
      <c r="CH56" s="4">
        <f t="shared" si="23"/>
        <v>3.1561048636389766E-11</v>
      </c>
      <c r="CI56" s="4">
        <f t="shared" si="23"/>
        <v>3.1786561438715394E-11</v>
      </c>
      <c r="CJ56" s="4">
        <f t="shared" si="23"/>
        <v>3.2013826633279473E-11</v>
      </c>
      <c r="CK56" s="4">
        <f t="shared" si="23"/>
        <v>3.2242858902684346E-11</v>
      </c>
      <c r="CL56" s="4">
        <f t="shared" si="23"/>
        <v>3.2473673060693672E-11</v>
      </c>
      <c r="CM56" s="4">
        <f t="shared" si="23"/>
        <v>3.2706284053471633E-11</v>
      </c>
      <c r="CN56" s="4">
        <f t="shared" si="23"/>
        <v>3.2940706960834315E-11</v>
      </c>
      <c r="CO56" s="4">
        <f t="shared" si="15"/>
        <v>3.3176956997513647E-11</v>
      </c>
      <c r="CP56" s="4">
        <f t="shared" si="15"/>
        <v>3.341504951443376E-11</v>
      </c>
      <c r="CQ56" s="4">
        <f t="shared" si="15"/>
        <v>3.3655000000000096E-11</v>
      </c>
    </row>
    <row r="57" spans="1:95">
      <c r="A57" s="3">
        <v>55</v>
      </c>
      <c r="B57" s="17" t="str">
        <f>データファイル用!$B58</f>
        <v>ASHRAE Composite Wood Siding</v>
      </c>
      <c r="C57" s="18">
        <f>データファイル用!G58</f>
        <v>5.8366000000000004E-12</v>
      </c>
      <c r="D57" s="19">
        <f>データファイル用!H58</f>
        <v>1.9799000000000001E-2</v>
      </c>
      <c r="E57" s="20">
        <f>データファイル用!I58</f>
        <v>-0.37086999999999998</v>
      </c>
      <c r="F57" s="42">
        <f>データファイル用!J58</f>
        <v>1.2</v>
      </c>
      <c r="G57" s="4">
        <f t="shared" si="20"/>
        <v>0</v>
      </c>
      <c r="H57" s="4">
        <f t="shared" si="20"/>
        <v>3.7404888316214654E-12</v>
      </c>
      <c r="I57" s="4">
        <f t="shared" si="20"/>
        <v>3.8089010758464205E-12</v>
      </c>
      <c r="J57" s="4">
        <f t="shared" si="20"/>
        <v>3.8583989936046345E-12</v>
      </c>
      <c r="K57" s="4">
        <f t="shared" si="20"/>
        <v>3.9007728256000518E-12</v>
      </c>
      <c r="L57" s="4">
        <f t="shared" si="20"/>
        <v>3.9396420475161325E-12</v>
      </c>
      <c r="M57" s="4">
        <f t="shared" si="20"/>
        <v>3.9765815569318685E-12</v>
      </c>
      <c r="N57" s="4">
        <f t="shared" si="20"/>
        <v>4.0124108684359026E-12</v>
      </c>
      <c r="O57" s="4">
        <f t="shared" si="20"/>
        <v>4.0476068919458795E-12</v>
      </c>
      <c r="P57" s="4">
        <f t="shared" si="20"/>
        <v>4.0824695433021572E-12</v>
      </c>
      <c r="Q57" s="4">
        <f t="shared" si="20"/>
        <v>4.1171986017783344E-12</v>
      </c>
      <c r="R57" s="4">
        <f t="shared" si="20"/>
        <v>4.1519332490595259E-12</v>
      </c>
      <c r="S57" s="4">
        <f t="shared" si="20"/>
        <v>4.1867740424351024E-12</v>
      </c>
      <c r="T57" s="4">
        <f t="shared" si="20"/>
        <v>4.2217958837830285E-12</v>
      </c>
      <c r="U57" s="4">
        <f t="shared" si="20"/>
        <v>4.2570560532641906E-12</v>
      </c>
      <c r="V57" s="4">
        <f t="shared" si="20"/>
        <v>4.2925993874810602E-12</v>
      </c>
      <c r="W57" s="4">
        <f t="shared" si="18"/>
        <v>4.3284617298791322E-12</v>
      </c>
      <c r="X57" s="4">
        <f t="shared" si="18"/>
        <v>4.3646722957074221E-12</v>
      </c>
      <c r="Y57" s="4">
        <f t="shared" si="18"/>
        <v>4.4012553328407286E-12</v>
      </c>
      <c r="Z57" s="4">
        <f t="shared" si="18"/>
        <v>4.4382313129945725E-12</v>
      </c>
      <c r="AA57" s="4">
        <f t="shared" si="18"/>
        <v>4.4756178020912029E-12</v>
      </c>
      <c r="AB57" s="4">
        <f t="shared" si="18"/>
        <v>4.5134301067039347E-12</v>
      </c>
      <c r="AC57" s="4">
        <f t="shared" si="18"/>
        <v>4.5516817612528775E-12</v>
      </c>
      <c r="AD57" s="4">
        <f t="shared" si="18"/>
        <v>4.590384900024992E-12</v>
      </c>
      <c r="AE57" s="4">
        <f t="shared" si="18"/>
        <v>4.6295505446262657E-12</v>
      </c>
      <c r="AF57" s="4">
        <f t="shared" si="18"/>
        <v>4.6691888284873696E-12</v>
      </c>
      <c r="AG57" s="4">
        <f t="shared" si="18"/>
        <v>4.7093091739334203E-12</v>
      </c>
      <c r="AH57" s="4">
        <f t="shared" si="18"/>
        <v>4.749920433101759E-12</v>
      </c>
      <c r="AI57" s="4">
        <f t="shared" si="18"/>
        <v>4.7910310010224948E-12</v>
      </c>
      <c r="AJ57" s="4">
        <f t="shared" si="18"/>
        <v>4.8326489070610255E-12</v>
      </c>
      <c r="AK57" s="4">
        <f t="shared" si="18"/>
        <v>4.8747818893946134E-12</v>
      </c>
      <c r="AL57" s="4">
        <f t="shared" si="22"/>
        <v>4.9174374560794671E-12</v>
      </c>
      <c r="AM57" s="4">
        <f t="shared" si="22"/>
        <v>4.9606229354405792E-12</v>
      </c>
      <c r="AN57" s="4">
        <f t="shared" si="22"/>
        <v>5.0043455179015213E-12</v>
      </c>
      <c r="AO57" s="4">
        <f t="shared" si="22"/>
        <v>5.04861229090781E-12</v>
      </c>
      <c r="AP57" s="4">
        <f t="shared" si="22"/>
        <v>5.0934302682451387E-12</v>
      </c>
      <c r="AQ57" s="4">
        <f t="shared" si="22"/>
        <v>5.1388064147835693E-12</v>
      </c>
      <c r="AR57" s="4">
        <f t="shared" si="22"/>
        <v>5.1847476674700634E-12</v>
      </c>
      <c r="AS57" s="4">
        <f t="shared" si="22"/>
        <v>5.2312609532292455E-12</v>
      </c>
      <c r="AT57" s="4">
        <f t="shared" si="22"/>
        <v>5.2783532043050383E-12</v>
      </c>
      <c r="AU57" s="4">
        <f t="shared" si="22"/>
        <v>5.3260313714753067E-12</v>
      </c>
      <c r="AV57" s="4">
        <f t="shared" si="22"/>
        <v>5.3743024354920425E-12</v>
      </c>
      <c r="AW57" s="4">
        <f t="shared" si="22"/>
        <v>5.4231734170359363E-12</v>
      </c>
      <c r="AX57" s="4">
        <f t="shared" si="22"/>
        <v>5.4726513854232129E-12</v>
      </c>
      <c r="AY57" s="4">
        <f t="shared" si="22"/>
        <v>5.5227434662613477E-12</v>
      </c>
      <c r="AZ57" s="4">
        <f t="shared" si="22"/>
        <v>5.5734568482169817E-12</v>
      </c>
      <c r="BA57" s="4">
        <f t="shared" si="22"/>
        <v>5.6247987890321095E-12</v>
      </c>
      <c r="BB57" s="4">
        <f t="shared" si="21"/>
        <v>5.6767766209024183E-12</v>
      </c>
      <c r="BC57" s="4">
        <f t="shared" si="21"/>
        <v>5.7293977553133516E-12</v>
      </c>
      <c r="BD57" s="4">
        <f t="shared" si="21"/>
        <v>5.7320458328027648E-12</v>
      </c>
      <c r="BE57" s="4">
        <f t="shared" si="21"/>
        <v>5.7346955382107081E-12</v>
      </c>
      <c r="BF57" s="4">
        <f t="shared" si="19"/>
        <v>5.737346872480257E-12</v>
      </c>
      <c r="BG57" s="4">
        <f t="shared" si="19"/>
        <v>5.7399998365550387E-12</v>
      </c>
      <c r="BH57" s="4">
        <f t="shared" si="19"/>
        <v>5.7426544313792323E-12</v>
      </c>
      <c r="BI57" s="4">
        <f t="shared" si="19"/>
        <v>5.7453106578975685E-12</v>
      </c>
      <c r="BJ57" s="4">
        <f t="shared" si="19"/>
        <v>5.7479685170553331E-12</v>
      </c>
      <c r="BK57" s="4">
        <f t="shared" si="19"/>
        <v>5.7506280097983657E-12</v>
      </c>
      <c r="BL57" s="4">
        <f t="shared" si="19"/>
        <v>5.7532891370730645E-12</v>
      </c>
      <c r="BM57" s="4">
        <f t="shared" si="19"/>
        <v>5.7559518998263824E-12</v>
      </c>
      <c r="BN57" s="4">
        <f t="shared" si="19"/>
        <v>5.7586162990058329E-12</v>
      </c>
      <c r="BO57" s="4">
        <f t="shared" si="19"/>
        <v>5.7612823355594896E-12</v>
      </c>
      <c r="BP57" s="4">
        <f t="shared" si="19"/>
        <v>5.7639500104359839E-12</v>
      </c>
      <c r="BQ57" s="4">
        <f t="shared" si="19"/>
        <v>5.7666193245845129E-12</v>
      </c>
      <c r="BR57" s="4">
        <f t="shared" si="17"/>
        <v>5.769290278954835E-12</v>
      </c>
      <c r="BS57" s="4">
        <f t="shared" si="17"/>
        <v>5.7719628744972725E-12</v>
      </c>
      <c r="BT57" s="4">
        <f t="shared" si="17"/>
        <v>5.7746371121627139E-12</v>
      </c>
      <c r="BU57" s="4">
        <f t="shared" si="17"/>
        <v>5.7773129929026141E-12</v>
      </c>
      <c r="BV57" s="4">
        <f t="shared" si="17"/>
        <v>5.7799905176689949E-12</v>
      </c>
      <c r="BW57" s="4">
        <f t="shared" si="17"/>
        <v>5.782669687414446E-12</v>
      </c>
      <c r="BX57" s="4">
        <f t="shared" si="17"/>
        <v>5.7853505030921308E-12</v>
      </c>
      <c r="BY57" s="4">
        <f t="shared" si="17"/>
        <v>5.7880329656557781E-12</v>
      </c>
      <c r="BZ57" s="4">
        <f t="shared" si="17"/>
        <v>5.7907170760596924E-12</v>
      </c>
      <c r="CA57" s="4">
        <f t="shared" si="17"/>
        <v>5.7934028352587504E-12</v>
      </c>
      <c r="CB57" s="4">
        <f t="shared" si="17"/>
        <v>5.7960902442084032E-12</v>
      </c>
      <c r="CC57" s="4">
        <f t="shared" si="17"/>
        <v>5.7987793038646751E-12</v>
      </c>
      <c r="CD57" s="4">
        <f t="shared" si="17"/>
        <v>5.8014700151841699E-12</v>
      </c>
      <c r="CE57" s="4">
        <f t="shared" si="17"/>
        <v>5.8041623791240656E-12</v>
      </c>
      <c r="CF57" s="4">
        <f t="shared" si="17"/>
        <v>5.8068563966421194E-12</v>
      </c>
      <c r="CG57" s="4">
        <f t="shared" si="23"/>
        <v>5.8095520686966685E-12</v>
      </c>
      <c r="CH57" s="4">
        <f t="shared" si="23"/>
        <v>5.8122493962466325E-12</v>
      </c>
      <c r="CI57" s="4">
        <f t="shared" si="23"/>
        <v>5.8149483802515094E-12</v>
      </c>
      <c r="CJ57" s="4">
        <f t="shared" si="23"/>
        <v>5.8176490216713798E-12</v>
      </c>
      <c r="CK57" s="4">
        <f t="shared" si="23"/>
        <v>5.8203513214669104E-12</v>
      </c>
      <c r="CL57" s="4">
        <f t="shared" si="23"/>
        <v>5.8230552805993505E-12</v>
      </c>
      <c r="CM57" s="4">
        <f t="shared" si="23"/>
        <v>5.8257609000305359E-12</v>
      </c>
      <c r="CN57" s="4">
        <f t="shared" si="23"/>
        <v>5.8284681807228897E-12</v>
      </c>
      <c r="CO57" s="4">
        <f t="shared" si="15"/>
        <v>5.8311771236394205E-12</v>
      </c>
      <c r="CP57" s="4">
        <f t="shared" si="15"/>
        <v>5.8338877297437291E-12</v>
      </c>
      <c r="CQ57" s="4">
        <f t="shared" si="15"/>
        <v>5.836600000000002E-12</v>
      </c>
    </row>
    <row r="58" spans="1:95">
      <c r="A58" s="3">
        <v>56</v>
      </c>
      <c r="B58" s="17" t="str">
        <f>データファイル用!$B59</f>
        <v>ASHRAE Clay Brick</v>
      </c>
      <c r="C58" s="18">
        <f>データファイル用!G59</f>
        <v>5.7186000000000003E-12</v>
      </c>
      <c r="D58" s="19">
        <f>データファイル用!H59</f>
        <v>2.2891999999999999E-2</v>
      </c>
      <c r="E58" s="20">
        <f>データファイル用!I59</f>
        <v>-0.28227999999999998</v>
      </c>
      <c r="F58" s="42">
        <f>データファイル用!J59</f>
        <v>1.2925</v>
      </c>
      <c r="G58" s="4">
        <f t="shared" si="20"/>
        <v>0</v>
      </c>
      <c r="H58" s="4">
        <f t="shared" si="20"/>
        <v>3.9498905605978467E-12</v>
      </c>
      <c r="I58" s="4">
        <f t="shared" si="20"/>
        <v>4.0235374063308795E-12</v>
      </c>
      <c r="J58" s="4">
        <f t="shared" si="20"/>
        <v>4.0733964308077881E-12</v>
      </c>
      <c r="K58" s="4">
        <f t="shared" si="20"/>
        <v>4.1140692229074463E-12</v>
      </c>
      <c r="L58" s="4">
        <f t="shared" si="20"/>
        <v>4.1500782777992558E-12</v>
      </c>
      <c r="M58" s="4">
        <f t="shared" si="20"/>
        <v>4.1834063688841139E-12</v>
      </c>
      <c r="N58" s="4">
        <f t="shared" si="20"/>
        <v>4.2150921511031875E-12</v>
      </c>
      <c r="O58" s="4">
        <f t="shared" si="20"/>
        <v>4.2457435713033461E-12</v>
      </c>
      <c r="P58" s="4">
        <f t="shared" si="20"/>
        <v>4.2757448059434491E-12</v>
      </c>
      <c r="Q58" s="4">
        <f t="shared" si="20"/>
        <v>4.305352724761751E-12</v>
      </c>
      <c r="R58" s="4">
        <f t="shared" si="20"/>
        <v>4.3347467308483483E-12</v>
      </c>
      <c r="S58" s="4">
        <f t="shared" si="20"/>
        <v>4.3640565761646953E-12</v>
      </c>
      <c r="T58" s="4">
        <f t="shared" si="20"/>
        <v>4.3933788475345972E-12</v>
      </c>
      <c r="U58" s="4">
        <f t="shared" si="20"/>
        <v>4.4227872212697684E-12</v>
      </c>
      <c r="V58" s="4">
        <f t="shared" ref="V58:AK73" si="24">$C58*IF(AND(V$2=0,$D58=0),1,V$2^$D58)*EXP($E58*(1-IF(AND(V$2=0,$F58=0),1,V$2^$F58)))</f>
        <v>4.4523390999837903E-12</v>
      </c>
      <c r="W58" s="4">
        <f t="shared" si="24"/>
        <v>4.4820800529786603E-12</v>
      </c>
      <c r="X58" s="4">
        <f t="shared" si="24"/>
        <v>4.5120468720852293E-12</v>
      </c>
      <c r="Y58" s="4">
        <f t="shared" si="24"/>
        <v>4.5422697263054748E-12</v>
      </c>
      <c r="Z58" s="4">
        <f t="shared" si="24"/>
        <v>4.5727737134030371E-12</v>
      </c>
      <c r="AA58" s="4">
        <f t="shared" si="24"/>
        <v>4.6035799980884673E-12</v>
      </c>
      <c r="AB58" s="4">
        <f t="shared" si="24"/>
        <v>4.6347066607187072E-12</v>
      </c>
      <c r="AC58" s="4">
        <f t="shared" si="24"/>
        <v>4.6661693394279748E-12</v>
      </c>
      <c r="AD58" s="4">
        <f t="shared" si="24"/>
        <v>4.6979817223556962E-12</v>
      </c>
      <c r="AE58" s="4">
        <f t="shared" si="24"/>
        <v>4.7301559294358019E-12</v>
      </c>
      <c r="AF58" s="4">
        <f t="shared" si="24"/>
        <v>4.7627028117038644E-12</v>
      </c>
      <c r="AG58" s="4">
        <f t="shared" si="24"/>
        <v>4.7956321882341009E-12</v>
      </c>
      <c r="AH58" s="4">
        <f t="shared" si="24"/>
        <v>4.8289530353790779E-12</v>
      </c>
      <c r="AI58" s="4">
        <f t="shared" si="24"/>
        <v>4.8626736391547958E-12</v>
      </c>
      <c r="AJ58" s="4">
        <f t="shared" si="24"/>
        <v>4.8968017188780889E-12</v>
      </c>
      <c r="AK58" s="4">
        <f t="shared" si="24"/>
        <v>4.9313445281836518E-12</v>
      </c>
      <c r="AL58" s="4">
        <f t="shared" si="22"/>
        <v>4.9663089380982259E-12</v>
      </c>
      <c r="AM58" s="4">
        <f t="shared" si="22"/>
        <v>5.0017015057758375E-12</v>
      </c>
      <c r="AN58" s="4">
        <f t="shared" si="22"/>
        <v>5.0375285316947219E-12</v>
      </c>
      <c r="AO58" s="4">
        <f t="shared" si="22"/>
        <v>5.0737961075097577E-12</v>
      </c>
      <c r="AP58" s="4">
        <f t="shared" si="22"/>
        <v>5.1105101562917719E-12</v>
      </c>
      <c r="AQ58" s="4">
        <f t="shared" si="22"/>
        <v>5.147676466529644E-12</v>
      </c>
      <c r="AR58" s="4">
        <f t="shared" si="22"/>
        <v>5.1853007209958159E-12</v>
      </c>
      <c r="AS58" s="4">
        <f t="shared" si="22"/>
        <v>5.2233885213610261E-12</v>
      </c>
      <c r="AT58" s="4">
        <f t="shared" si="22"/>
        <v>5.2619454092752982E-12</v>
      </c>
      <c r="AU58" s="4">
        <f t="shared" si="22"/>
        <v>5.3009768844987724E-12</v>
      </c>
      <c r="AV58" s="4">
        <f t="shared" si="22"/>
        <v>5.3404884205597869E-12</v>
      </c>
      <c r="AW58" s="4">
        <f t="shared" si="22"/>
        <v>5.380485478332655E-12</v>
      </c>
      <c r="AX58" s="4">
        <f t="shared" si="22"/>
        <v>5.420973517859212E-12</v>
      </c>
      <c r="AY58" s="4">
        <f t="shared" si="22"/>
        <v>5.4619580086829213E-12</v>
      </c>
      <c r="AZ58" s="4">
        <f t="shared" si="22"/>
        <v>5.5034444389193987E-12</v>
      </c>
      <c r="BA58" s="4">
        <f t="shared" si="22"/>
        <v>5.545438323250503E-12</v>
      </c>
      <c r="BB58" s="4">
        <f t="shared" si="21"/>
        <v>5.5879452099990585E-12</v>
      </c>
      <c r="BC58" s="4">
        <f t="shared" si="21"/>
        <v>5.6309706874164913E-12</v>
      </c>
      <c r="BD58" s="4">
        <f t="shared" si="21"/>
        <v>5.633135675141035E-12</v>
      </c>
      <c r="BE58" s="4">
        <f t="shared" si="21"/>
        <v>5.6353019741236021E-12</v>
      </c>
      <c r="BF58" s="4">
        <f t="shared" si="19"/>
        <v>5.637469585071907E-12</v>
      </c>
      <c r="BG58" s="4">
        <f t="shared" si="19"/>
        <v>5.6396385086939816E-12</v>
      </c>
      <c r="BH58" s="4">
        <f t="shared" si="19"/>
        <v>5.6418087456981776E-12</v>
      </c>
      <c r="BI58" s="4">
        <f t="shared" si="19"/>
        <v>5.6439802967931715E-12</v>
      </c>
      <c r="BJ58" s="4">
        <f t="shared" si="19"/>
        <v>5.6461531626879646E-12</v>
      </c>
      <c r="BK58" s="4">
        <f t="shared" si="19"/>
        <v>5.6483273440918787E-12</v>
      </c>
      <c r="BL58" s="4">
        <f t="shared" si="19"/>
        <v>5.6505028417145695E-12</v>
      </c>
      <c r="BM58" s="4">
        <f t="shared" si="19"/>
        <v>5.6526796562660154E-12</v>
      </c>
      <c r="BN58" s="4">
        <f t="shared" si="19"/>
        <v>5.6548577884565249E-12</v>
      </c>
      <c r="BO58" s="4">
        <f t="shared" si="19"/>
        <v>5.6570372389967404E-12</v>
      </c>
      <c r="BP58" s="4">
        <f t="shared" si="19"/>
        <v>5.6592180085976344E-12</v>
      </c>
      <c r="BQ58" s="4">
        <f t="shared" si="19"/>
        <v>5.6614000979705157E-12</v>
      </c>
      <c r="BR58" s="4">
        <f t="shared" si="17"/>
        <v>5.6635835078270241E-12</v>
      </c>
      <c r="BS58" s="4">
        <f t="shared" si="17"/>
        <v>5.6657682388791421E-12</v>
      </c>
      <c r="BT58" s="4">
        <f t="shared" si="17"/>
        <v>5.6679542918391839E-12</v>
      </c>
      <c r="BU58" s="4">
        <f t="shared" si="17"/>
        <v>5.670141667419809E-12</v>
      </c>
      <c r="BV58" s="4">
        <f t="shared" si="17"/>
        <v>5.6723303663340142E-12</v>
      </c>
      <c r="BW58" s="4">
        <f t="shared" si="17"/>
        <v>5.6745203892951368E-12</v>
      </c>
      <c r="BX58" s="4">
        <f t="shared" si="17"/>
        <v>5.6767117370168624E-12</v>
      </c>
      <c r="BY58" s="4">
        <f t="shared" si="17"/>
        <v>5.6789044102132177E-12</v>
      </c>
      <c r="BZ58" s="4">
        <f t="shared" si="17"/>
        <v>5.681098409598578E-12</v>
      </c>
      <c r="CA58" s="4">
        <f t="shared" si="17"/>
        <v>5.6832937358876645E-12</v>
      </c>
      <c r="CB58" s="4">
        <f t="shared" si="17"/>
        <v>5.6854903897955466E-12</v>
      </c>
      <c r="CC58" s="4">
        <f t="shared" si="17"/>
        <v>5.6876883720376484E-12</v>
      </c>
      <c r="CD58" s="4">
        <f t="shared" si="17"/>
        <v>5.6898876833297386E-12</v>
      </c>
      <c r="CE58" s="4">
        <f t="shared" si="17"/>
        <v>5.6920883243879426E-12</v>
      </c>
      <c r="CF58" s="4">
        <f t="shared" si="17"/>
        <v>5.6942902959287408E-12</v>
      </c>
      <c r="CG58" s="4">
        <f t="shared" si="23"/>
        <v>5.6964935986689668E-12</v>
      </c>
      <c r="CH58" s="4">
        <f t="shared" si="23"/>
        <v>5.6986982333258129E-12</v>
      </c>
      <c r="CI58" s="4">
        <f t="shared" si="23"/>
        <v>5.7009042006168268E-12</v>
      </c>
      <c r="CJ58" s="4">
        <f t="shared" si="23"/>
        <v>5.7031115012599164E-12</v>
      </c>
      <c r="CK58" s="4">
        <f t="shared" si="23"/>
        <v>5.7053201359733516E-12</v>
      </c>
      <c r="CL58" s="4">
        <f t="shared" si="23"/>
        <v>5.7075301054757633E-12</v>
      </c>
      <c r="CM58" s="4">
        <f t="shared" si="23"/>
        <v>5.7097414104861426E-12</v>
      </c>
      <c r="CN58" s="4">
        <f t="shared" si="23"/>
        <v>5.7119540517238509E-12</v>
      </c>
      <c r="CO58" s="4">
        <f t="shared" si="15"/>
        <v>5.7141680299086078E-12</v>
      </c>
      <c r="CP58" s="4">
        <f t="shared" si="15"/>
        <v>5.7163833457605049E-12</v>
      </c>
      <c r="CQ58" s="4">
        <f t="shared" si="15"/>
        <v>5.7186000000000019E-12</v>
      </c>
    </row>
    <row r="59" spans="1:95">
      <c r="A59" s="3">
        <v>57</v>
      </c>
      <c r="B59" s="17" t="str">
        <f>データファイル用!$B60</f>
        <v>ASHRAE Mortar</v>
      </c>
      <c r="C59" s="18">
        <f>データファイル用!G60</f>
        <v>3.3399E-11</v>
      </c>
      <c r="D59" s="19">
        <f>データファイル用!H60</f>
        <v>2.3185000000000001E-2</v>
      </c>
      <c r="E59" s="20">
        <f>データファイル用!I60</f>
        <v>-0.93811999999999995</v>
      </c>
      <c r="F59" s="42">
        <f>データファイル用!J60</f>
        <v>1.0654999999999999</v>
      </c>
      <c r="G59" s="4">
        <f t="shared" ref="G59:V74" si="25">$C59*IF(AND(G$2=0,$D59=0),1,G$2^$D59)*EXP($E59*(1-IF(AND(G$2=0,$F59=0),1,G$2^$F59)))</f>
        <v>0</v>
      </c>
      <c r="H59" s="4">
        <f t="shared" si="25"/>
        <v>1.2112367257071792E-11</v>
      </c>
      <c r="I59" s="4">
        <f t="shared" si="25"/>
        <v>1.2505491977182434E-11</v>
      </c>
      <c r="J59" s="4">
        <f t="shared" si="25"/>
        <v>1.2832632412374684E-11</v>
      </c>
      <c r="K59" s="4">
        <f t="shared" si="25"/>
        <v>1.3137271392846304E-11</v>
      </c>
      <c r="L59" s="4">
        <f t="shared" si="25"/>
        <v>1.3432795358719463E-11</v>
      </c>
      <c r="M59" s="4">
        <f t="shared" si="25"/>
        <v>1.3725083516210087E-11</v>
      </c>
      <c r="N59" s="4">
        <f t="shared" si="25"/>
        <v>1.4017248618301339E-11</v>
      </c>
      <c r="O59" s="4">
        <f t="shared" si="25"/>
        <v>1.4311151643354603E-11</v>
      </c>
      <c r="P59" s="4">
        <f t="shared" si="25"/>
        <v>1.4608008491657143E-11</v>
      </c>
      <c r="Q59" s="4">
        <f t="shared" si="25"/>
        <v>1.4908671206578996E-11</v>
      </c>
      <c r="R59" s="4">
        <f t="shared" si="25"/>
        <v>1.5213772541575973E-11</v>
      </c>
      <c r="S59" s="4">
        <f t="shared" si="25"/>
        <v>1.5523806282878294E-11</v>
      </c>
      <c r="T59" s="4">
        <f t="shared" si="25"/>
        <v>1.5839174673352014E-11</v>
      </c>
      <c r="U59" s="4">
        <f t="shared" si="25"/>
        <v>1.6160217818270002E-11</v>
      </c>
      <c r="V59" s="4">
        <f t="shared" si="25"/>
        <v>1.6487232671920767E-11</v>
      </c>
      <c r="W59" s="4">
        <f t="shared" si="24"/>
        <v>1.6820485722504042E-11</v>
      </c>
      <c r="X59" s="4">
        <f t="shared" si="24"/>
        <v>1.7160221718926633E-11</v>
      </c>
      <c r="Y59" s="4">
        <f t="shared" si="24"/>
        <v>1.7506669830116489E-11</v>
      </c>
      <c r="Z59" s="4">
        <f t="shared" si="24"/>
        <v>1.7860048091936849E-11</v>
      </c>
      <c r="AA59" s="4">
        <f t="shared" si="24"/>
        <v>1.8220566683986123E-11</v>
      </c>
      <c r="AB59" s="4">
        <f t="shared" si="24"/>
        <v>1.858843038963171E-11</v>
      </c>
      <c r="AC59" s="4">
        <f t="shared" si="24"/>
        <v>1.8963840475088482E-11</v>
      </c>
      <c r="AD59" s="4">
        <f t="shared" si="24"/>
        <v>1.9346996148299775E-11</v>
      </c>
      <c r="AE59" s="4">
        <f t="shared" si="24"/>
        <v>1.9738095709325667E-11</v>
      </c>
      <c r="AF59" s="4">
        <f t="shared" si="24"/>
        <v>2.0137337471206233E-11</v>
      </c>
      <c r="AG59" s="4">
        <f t="shared" si="24"/>
        <v>2.0544920508003636E-11</v>
      </c>
      <c r="AH59" s="4">
        <f t="shared" si="24"/>
        <v>2.0961045271324275E-11</v>
      </c>
      <c r="AI59" s="4">
        <f t="shared" si="24"/>
        <v>2.1385914105798879E-11</v>
      </c>
      <c r="AJ59" s="4">
        <f t="shared" si="24"/>
        <v>2.1819731686283189E-11</v>
      </c>
      <c r="AK59" s="4">
        <f t="shared" si="24"/>
        <v>2.2262705393970261E-11</v>
      </c>
      <c r="AL59" s="4">
        <f t="shared" si="22"/>
        <v>2.2715045644532131E-11</v>
      </c>
      <c r="AM59" s="4">
        <f t="shared" si="22"/>
        <v>2.3176966178397607E-11</v>
      </c>
      <c r="AN59" s="4">
        <f t="shared" si="22"/>
        <v>2.3648684321024059E-11</v>
      </c>
      <c r="AO59" s="4">
        <f t="shared" si="22"/>
        <v>2.4130421219324938E-11</v>
      </c>
      <c r="AP59" s="4">
        <f t="shared" si="22"/>
        <v>2.4622402059124028E-11</v>
      </c>
      <c r="AQ59" s="4">
        <f t="shared" si="22"/>
        <v>2.512485626751702E-11</v>
      </c>
      <c r="AR59" s="4">
        <f t="shared" si="22"/>
        <v>2.5638017703255125E-11</v>
      </c>
      <c r="AS59" s="4">
        <f t="shared" si="22"/>
        <v>2.6162124837668392E-11</v>
      </c>
      <c r="AT59" s="4">
        <f t="shared" si="22"/>
        <v>2.669742092817856E-11</v>
      </c>
      <c r="AU59" s="4">
        <f t="shared" si="22"/>
        <v>2.7244154186081557E-11</v>
      </c>
      <c r="AV59" s="4">
        <f t="shared" si="22"/>
        <v>2.7802577939986074E-11</v>
      </c>
      <c r="AW59" s="4">
        <f t="shared" si="22"/>
        <v>2.8372950796060525E-11</v>
      </c>
      <c r="AX59" s="4">
        <f t="shared" si="22"/>
        <v>2.8955536796051991E-11</v>
      </c>
      <c r="AY59" s="4">
        <f t="shared" si="22"/>
        <v>2.9550605573889137E-11</v>
      </c>
      <c r="AZ59" s="4">
        <f t="shared" si="22"/>
        <v>3.0158432511558006E-11</v>
      </c>
      <c r="BA59" s="4">
        <f t="shared" si="22"/>
        <v>3.0779298894838931E-11</v>
      </c>
      <c r="BB59" s="4">
        <f t="shared" si="21"/>
        <v>3.1413492069411495E-11</v>
      </c>
      <c r="BC59" s="4">
        <f t="shared" si="21"/>
        <v>3.2061305597766717E-11</v>
      </c>
      <c r="BD59" s="4">
        <f t="shared" si="21"/>
        <v>3.2094059161026965E-11</v>
      </c>
      <c r="BE59" s="4">
        <f t="shared" si="21"/>
        <v>3.2126847561573285E-11</v>
      </c>
      <c r="BF59" s="4">
        <f t="shared" si="19"/>
        <v>3.2159670837362558E-11</v>
      </c>
      <c r="BG59" s="4">
        <f t="shared" si="19"/>
        <v>3.2192529026392613E-11</v>
      </c>
      <c r="BH59" s="4">
        <f t="shared" si="19"/>
        <v>3.2225422166702286E-11</v>
      </c>
      <c r="BI59" s="4">
        <f t="shared" si="19"/>
        <v>3.2258350296371418E-11</v>
      </c>
      <c r="BJ59" s="4">
        <f t="shared" si="19"/>
        <v>3.2291313453520965E-11</v>
      </c>
      <c r="BK59" s="4">
        <f t="shared" si="19"/>
        <v>3.2324311676313026E-11</v>
      </c>
      <c r="BL59" s="4">
        <f t="shared" si="19"/>
        <v>3.2357345002950867E-11</v>
      </c>
      <c r="BM59" s="4">
        <f t="shared" si="19"/>
        <v>3.2390413471679023E-11</v>
      </c>
      <c r="BN59" s="4">
        <f t="shared" si="19"/>
        <v>3.2423517120783301E-11</v>
      </c>
      <c r="BO59" s="4">
        <f t="shared" si="19"/>
        <v>3.2456655988590865E-11</v>
      </c>
      <c r="BP59" s="4">
        <f t="shared" si="19"/>
        <v>3.2489830113470253E-11</v>
      </c>
      <c r="BQ59" s="4">
        <f t="shared" si="19"/>
        <v>3.2523039533831462E-11</v>
      </c>
      <c r="BR59" s="4">
        <f t="shared" si="17"/>
        <v>3.2556284288125977E-11</v>
      </c>
      <c r="BS59" s="4">
        <f t="shared" si="17"/>
        <v>3.2589564414846827E-11</v>
      </c>
      <c r="BT59" s="4">
        <f t="shared" si="17"/>
        <v>3.2622879952528623E-11</v>
      </c>
      <c r="BU59" s="4">
        <f t="shared" si="17"/>
        <v>3.2656230939747649E-11</v>
      </c>
      <c r="BV59" s="4">
        <f t="shared" si="17"/>
        <v>3.2689617415121861E-11</v>
      </c>
      <c r="BW59" s="4">
        <f t="shared" si="17"/>
        <v>3.2723039417310972E-11</v>
      </c>
      <c r="BX59" s="4">
        <f t="shared" si="17"/>
        <v>3.2756496985016482E-11</v>
      </c>
      <c r="BY59" s="4">
        <f t="shared" si="17"/>
        <v>3.278999015698176E-11</v>
      </c>
      <c r="BZ59" s="4">
        <f t="shared" si="17"/>
        <v>3.2823518971992051E-11</v>
      </c>
      <c r="CA59" s="4">
        <f t="shared" si="17"/>
        <v>3.285708346887456E-11</v>
      </c>
      <c r="CB59" s="4">
        <f t="shared" si="17"/>
        <v>3.2890683686498486E-11</v>
      </c>
      <c r="CC59" s="4">
        <f t="shared" si="17"/>
        <v>3.2924319663775083E-11</v>
      </c>
      <c r="CD59" s="4">
        <f t="shared" si="17"/>
        <v>3.2957991439657719E-11</v>
      </c>
      <c r="CE59" s="4">
        <f t="shared" si="17"/>
        <v>3.2991699053141901E-11</v>
      </c>
      <c r="CF59" s="4">
        <f t="shared" si="17"/>
        <v>3.3025442543265337E-11</v>
      </c>
      <c r="CG59" s="4">
        <f t="shared" si="23"/>
        <v>3.3059221949108E-11</v>
      </c>
      <c r="CH59" s="4">
        <f t="shared" si="23"/>
        <v>3.3093037309792175E-11</v>
      </c>
      <c r="CI59" s="4">
        <f t="shared" si="23"/>
        <v>3.312688866448247E-11</v>
      </c>
      <c r="CJ59" s="4">
        <f t="shared" si="23"/>
        <v>3.3160776052385943E-11</v>
      </c>
      <c r="CK59" s="4">
        <f t="shared" si="23"/>
        <v>3.31946995127521E-11</v>
      </c>
      <c r="CL59" s="4">
        <f t="shared" si="23"/>
        <v>3.3228659084872937E-11</v>
      </c>
      <c r="CM59" s="4">
        <f t="shared" si="23"/>
        <v>3.3262654808083032E-11</v>
      </c>
      <c r="CN59" s="4">
        <f t="shared" si="23"/>
        <v>3.3296686721759588E-11</v>
      </c>
      <c r="CO59" s="4">
        <f t="shared" si="15"/>
        <v>3.333075486532242E-11</v>
      </c>
      <c r="CP59" s="4">
        <f t="shared" si="15"/>
        <v>3.3364859278234124E-11</v>
      </c>
      <c r="CQ59" s="4">
        <f t="shared" si="15"/>
        <v>3.3399000000000013E-11</v>
      </c>
    </row>
    <row r="60" spans="1:95">
      <c r="A60" s="3">
        <v>58</v>
      </c>
      <c r="B60" s="17" t="str">
        <f>データファイル用!$B61</f>
        <v>ASHRAE Stucco</v>
      </c>
      <c r="C60" s="18">
        <f>データファイル用!G61</f>
        <v>3.8838000000000001E-12</v>
      </c>
      <c r="D60" s="19">
        <f>データファイル用!H61</f>
        <v>2.7924E-3</v>
      </c>
      <c r="E60" s="20">
        <f>データファイル用!I61</f>
        <v>-1.6870000000000001</v>
      </c>
      <c r="F60" s="42">
        <f>データファイル用!J61</f>
        <v>1.0425</v>
      </c>
      <c r="G60" s="4">
        <f t="shared" si="25"/>
        <v>0</v>
      </c>
      <c r="H60" s="4">
        <f t="shared" si="25"/>
        <v>7.3158783181240232E-13</v>
      </c>
      <c r="I60" s="4">
        <f t="shared" si="25"/>
        <v>7.5554030968788925E-13</v>
      </c>
      <c r="J60" s="4">
        <f t="shared" si="25"/>
        <v>7.8018094102665874E-13</v>
      </c>
      <c r="K60" s="4">
        <f t="shared" si="25"/>
        <v>8.0572288762584926E-13</v>
      </c>
      <c r="L60" s="4">
        <f t="shared" si="25"/>
        <v>8.3223320947237256E-13</v>
      </c>
      <c r="M60" s="4">
        <f t="shared" si="25"/>
        <v>8.5975233680434139E-13</v>
      </c>
      <c r="N60" s="4">
        <f t="shared" si="25"/>
        <v>8.8831467780823057E-13</v>
      </c>
      <c r="O60" s="4">
        <f t="shared" si="25"/>
        <v>9.1795394219363039E-13</v>
      </c>
      <c r="P60" s="4">
        <f t="shared" si="25"/>
        <v>9.4870481031574289E-13</v>
      </c>
      <c r="Q60" s="4">
        <f t="shared" si="25"/>
        <v>9.8060351269690866E-13</v>
      </c>
      <c r="R60" s="4">
        <f t="shared" si="25"/>
        <v>1.0136880423395748E-12</v>
      </c>
      <c r="S60" s="4">
        <f t="shared" si="25"/>
        <v>1.0479982365340471E-12</v>
      </c>
      <c r="T60" s="4">
        <f t="shared" si="25"/>
        <v>1.0835758135944336E-12</v>
      </c>
      <c r="U60" s="4">
        <f t="shared" si="25"/>
        <v>1.1204643971452951E-12</v>
      </c>
      <c r="V60" s="4">
        <f t="shared" si="25"/>
        <v>1.1587095406323094E-12</v>
      </c>
      <c r="W60" s="4">
        <f t="shared" si="24"/>
        <v>1.1983587568012501E-12</v>
      </c>
      <c r="X60" s="4">
        <f t="shared" si="24"/>
        <v>1.2394615536621167E-12</v>
      </c>
      <c r="Y60" s="4">
        <f t="shared" si="24"/>
        <v>1.2820694771552533E-12</v>
      </c>
      <c r="Z60" s="4">
        <f t="shared" si="24"/>
        <v>1.3262361602488132E-12</v>
      </c>
      <c r="AA60" s="4">
        <f t="shared" si="24"/>
        <v>1.3720173780542024E-12</v>
      </c>
      <c r="AB60" s="4">
        <f t="shared" si="24"/>
        <v>1.4194711085459814E-12</v>
      </c>
      <c r="AC60" s="4">
        <f t="shared" si="24"/>
        <v>1.4686575985265714E-12</v>
      </c>
      <c r="AD60" s="4">
        <f t="shared" si="24"/>
        <v>1.5196394345454503E-12</v>
      </c>
      <c r="AE60" s="4">
        <f t="shared" si="24"/>
        <v>1.5724816185512126E-12</v>
      </c>
      <c r="AF60" s="4">
        <f t="shared" si="24"/>
        <v>1.6272516481167368E-12</v>
      </c>
      <c r="AG60" s="4">
        <f t="shared" si="24"/>
        <v>1.6840196011312568E-12</v>
      </c>
      <c r="AH60" s="4">
        <f t="shared" si="24"/>
        <v>1.7428582248985311E-12</v>
      </c>
      <c r="AI60" s="4">
        <f t="shared" si="24"/>
        <v>1.803843029618588E-12</v>
      </c>
      <c r="AJ60" s="4">
        <f t="shared" si="24"/>
        <v>1.8670523862628185E-12</v>
      </c>
      <c r="AK60" s="4">
        <f t="shared" si="24"/>
        <v>1.9325676288795513E-12</v>
      </c>
      <c r="AL60" s="4">
        <f t="shared" si="22"/>
        <v>2.0004731613906911E-12</v>
      </c>
      <c r="AM60" s="4">
        <f t="shared" si="22"/>
        <v>2.0708565689602704E-12</v>
      </c>
      <c r="AN60" s="4">
        <f t="shared" si="22"/>
        <v>2.143808734033566E-12</v>
      </c>
      <c r="AO60" s="4">
        <f t="shared" si="22"/>
        <v>2.2194239571612524E-12</v>
      </c>
      <c r="AP60" s="4">
        <f t="shared" si="22"/>
        <v>2.2978000827373887E-12</v>
      </c>
      <c r="AQ60" s="4">
        <f t="shared" si="22"/>
        <v>2.3790386297931663E-12</v>
      </c>
      <c r="AR60" s="4">
        <f t="shared" si="22"/>
        <v>2.4632449280005705E-12</v>
      </c>
      <c r="AS60" s="4">
        <f t="shared" si="22"/>
        <v>2.5505282590516777E-12</v>
      </c>
      <c r="AT60" s="4">
        <f t="shared" si="22"/>
        <v>2.6410020035904002E-12</v>
      </c>
      <c r="AU60" s="4">
        <f t="shared" si="22"/>
        <v>2.7347837938841799E-12</v>
      </c>
      <c r="AV60" s="4">
        <f t="shared" si="22"/>
        <v>2.8319956724337153E-12</v>
      </c>
      <c r="AW60" s="4">
        <f t="shared" si="22"/>
        <v>2.9327642567291391E-12</v>
      </c>
      <c r="AX60" s="4">
        <f t="shared" si="22"/>
        <v>3.0372209103714736E-12</v>
      </c>
      <c r="AY60" s="4">
        <f t="shared" si="22"/>
        <v>3.1455019207886132E-12</v>
      </c>
      <c r="AZ60" s="4">
        <f t="shared" si="22"/>
        <v>3.2577486837855398E-12</v>
      </c>
      <c r="BA60" s="4">
        <f t="shared" si="22"/>
        <v>3.374107895179212E-12</v>
      </c>
      <c r="BB60" s="4">
        <f t="shared" si="21"/>
        <v>3.4947317497793793E-12</v>
      </c>
      <c r="BC60" s="4">
        <f t="shared" si="21"/>
        <v>3.619778147987715E-12</v>
      </c>
      <c r="BD60" s="4">
        <f t="shared" si="21"/>
        <v>3.6261494724057951E-12</v>
      </c>
      <c r="BE60" s="4">
        <f t="shared" si="21"/>
        <v>3.6325322823314251E-12</v>
      </c>
      <c r="BF60" s="4">
        <f t="shared" si="19"/>
        <v>3.6389265986766651E-12</v>
      </c>
      <c r="BG60" s="4">
        <f t="shared" si="19"/>
        <v>3.6453324423921028E-12</v>
      </c>
      <c r="BH60" s="4">
        <f t="shared" si="19"/>
        <v>3.6517498344669193E-12</v>
      </c>
      <c r="BI60" s="4">
        <f t="shared" si="19"/>
        <v>3.6581787959289682E-12</v>
      </c>
      <c r="BJ60" s="4">
        <f t="shared" si="19"/>
        <v>3.6646193478448369E-12</v>
      </c>
      <c r="BK60" s="4">
        <f t="shared" si="19"/>
        <v>3.6710715113199304E-12</v>
      </c>
      <c r="BL60" s="4">
        <f t="shared" si="19"/>
        <v>3.6775353074985338E-12</v>
      </c>
      <c r="BM60" s="4">
        <f t="shared" si="19"/>
        <v>3.684010757563888E-12</v>
      </c>
      <c r="BN60" s="4">
        <f t="shared" si="19"/>
        <v>3.6904978827382589E-12</v>
      </c>
      <c r="BO60" s="4">
        <f t="shared" si="19"/>
        <v>3.696996704283015E-12</v>
      </c>
      <c r="BP60" s="4">
        <f t="shared" si="19"/>
        <v>3.7035072434986935E-12</v>
      </c>
      <c r="BQ60" s="4">
        <f t="shared" si="19"/>
        <v>3.7100295217250767E-12</v>
      </c>
      <c r="BR60" s="4">
        <f t="shared" si="17"/>
        <v>3.7165635603412631E-12</v>
      </c>
      <c r="BS60" s="4">
        <f t="shared" si="17"/>
        <v>3.7231093807657408E-12</v>
      </c>
      <c r="BT60" s="4">
        <f t="shared" si="17"/>
        <v>3.7296670044564595E-12</v>
      </c>
      <c r="BU60" s="4">
        <f t="shared" si="17"/>
        <v>3.7362364529109045E-12</v>
      </c>
      <c r="BV60" s="4">
        <f t="shared" si="17"/>
        <v>3.7428177476661676E-12</v>
      </c>
      <c r="BW60" s="4">
        <f t="shared" si="17"/>
        <v>3.7494109102990247E-12</v>
      </c>
      <c r="BX60" s="4">
        <f t="shared" si="17"/>
        <v>3.7560159624260042E-12</v>
      </c>
      <c r="BY60" s="4">
        <f t="shared" si="17"/>
        <v>3.7626329257034636E-12</v>
      </c>
      <c r="BZ60" s="4">
        <f t="shared" si="17"/>
        <v>3.7692618218276621E-12</v>
      </c>
      <c r="CA60" s="4">
        <f t="shared" si="17"/>
        <v>3.7759026725348358E-12</v>
      </c>
      <c r="CB60" s="4">
        <f t="shared" si="17"/>
        <v>3.7825554996012697E-12</v>
      </c>
      <c r="CC60" s="4">
        <f t="shared" si="17"/>
        <v>3.7892203248433701E-12</v>
      </c>
      <c r="CD60" s="4">
        <f t="shared" si="17"/>
        <v>3.7958971701177474E-12</v>
      </c>
      <c r="CE60" s="4">
        <f t="shared" si="17"/>
        <v>3.8025860573212787E-12</v>
      </c>
      <c r="CF60" s="4">
        <f t="shared" si="17"/>
        <v>3.8092870083911896E-12</v>
      </c>
      <c r="CG60" s="4">
        <f t="shared" si="23"/>
        <v>3.8160000453051279E-12</v>
      </c>
      <c r="CH60" s="4">
        <f t="shared" si="23"/>
        <v>3.8227251900812392E-12</v>
      </c>
      <c r="CI60" s="4">
        <f t="shared" si="23"/>
        <v>3.8294624647782371E-12</v>
      </c>
      <c r="CJ60" s="4">
        <f t="shared" si="23"/>
        <v>3.8362118914954812E-12</v>
      </c>
      <c r="CK60" s="4">
        <f t="shared" si="23"/>
        <v>3.8429734923730576E-12</v>
      </c>
      <c r="CL60" s="4">
        <f t="shared" si="23"/>
        <v>3.8497472895918427E-12</v>
      </c>
      <c r="CM60" s="4">
        <f t="shared" si="23"/>
        <v>3.8565333053735904E-12</v>
      </c>
      <c r="CN60" s="4">
        <f t="shared" si="23"/>
        <v>3.8633315619809995E-12</v>
      </c>
      <c r="CO60" s="4">
        <f t="shared" si="15"/>
        <v>3.8701420817177929E-12</v>
      </c>
      <c r="CP60" s="4">
        <f t="shared" si="15"/>
        <v>3.8769648869287963E-12</v>
      </c>
      <c r="CQ60" s="4">
        <f t="shared" si="15"/>
        <v>3.8838000000000025E-12</v>
      </c>
    </row>
    <row r="61" spans="1:95">
      <c r="A61" s="3">
        <v>59</v>
      </c>
      <c r="B61" s="17" t="str">
        <f>データファイル用!$B62</f>
        <v>ASHRAE Fibre Cement Board</v>
      </c>
      <c r="C61" s="18">
        <f>データファイル用!G62</f>
        <v>2.8799000000000001E-11</v>
      </c>
      <c r="D61" s="19">
        <f>データファイル用!H62</f>
        <v>1.3185</v>
      </c>
      <c r="E61" s="20">
        <f>データファイル用!I62</f>
        <v>-2.4228999999999998</v>
      </c>
      <c r="F61" s="42">
        <f>データファイル用!J62</f>
        <v>2.2843</v>
      </c>
      <c r="G61" s="4">
        <f t="shared" si="25"/>
        <v>0</v>
      </c>
      <c r="H61" s="4">
        <f t="shared" si="25"/>
        <v>1.4695073592978927E-14</v>
      </c>
      <c r="I61" s="4">
        <f t="shared" si="25"/>
        <v>3.6695738485043359E-14</v>
      </c>
      <c r="J61" s="4">
        <f t="shared" si="25"/>
        <v>6.2779823227111021E-14</v>
      </c>
      <c r="K61" s="4">
        <f t="shared" si="25"/>
        <v>9.2073318575277018E-14</v>
      </c>
      <c r="L61" s="4">
        <f t="shared" si="25"/>
        <v>1.2419187902909763E-13</v>
      </c>
      <c r="M61" s="4">
        <f t="shared" si="25"/>
        <v>1.5897119324617154E-13</v>
      </c>
      <c r="N61" s="4">
        <f t="shared" si="25"/>
        <v>1.9637581837565122E-13</v>
      </c>
      <c r="O61" s="4">
        <f t="shared" si="25"/>
        <v>2.364593219415477E-13</v>
      </c>
      <c r="P61" s="4">
        <f t="shared" si="25"/>
        <v>2.7934459883998171E-13</v>
      </c>
      <c r="Q61" s="4">
        <f t="shared" si="25"/>
        <v>3.2521379943948351E-13</v>
      </c>
      <c r="R61" s="4">
        <f t="shared" si="25"/>
        <v>3.7430354399136246E-13</v>
      </c>
      <c r="S61" s="4">
        <f t="shared" si="25"/>
        <v>4.26903427506752E-13</v>
      </c>
      <c r="T61" s="4">
        <f t="shared" si="25"/>
        <v>4.833568244255929E-13</v>
      </c>
      <c r="U61" s="4">
        <f t="shared" si="25"/>
        <v>5.4406348840119924E-13</v>
      </c>
      <c r="V61" s="4">
        <f t="shared" si="25"/>
        <v>6.0948370207518195E-13</v>
      </c>
      <c r="W61" s="4">
        <f t="shared" si="24"/>
        <v>6.8014388463792771E-13</v>
      </c>
      <c r="X61" s="4">
        <f t="shared" si="24"/>
        <v>7.5664366517821745E-13</v>
      </c>
      <c r="Y61" s="4">
        <f t="shared" si="24"/>
        <v>8.39664503666901E-13</v>
      </c>
      <c r="Z61" s="4">
        <f t="shared" si="24"/>
        <v>9.2998000283021466E-13</v>
      </c>
      <c r="AA61" s="4">
        <f t="shared" si="24"/>
        <v>1.0284681111926167E-12</v>
      </c>
      <c r="AB61" s="4">
        <f t="shared" si="24"/>
        <v>1.1361254753663075E-12</v>
      </c>
      <c r="AC61" s="4">
        <f t="shared" si="24"/>
        <v>1.2540842619949631E-12</v>
      </c>
      <c r="AD61" s="4">
        <f t="shared" si="24"/>
        <v>1.3836318397715774E-12</v>
      </c>
      <c r="AE61" s="4">
        <f t="shared" si="24"/>
        <v>1.5262337926407209E-12</v>
      </c>
      <c r="AF61" s="4">
        <f t="shared" si="24"/>
        <v>1.6835608298061017E-12</v>
      </c>
      <c r="AG61" s="4">
        <f t="shared" si="24"/>
        <v>1.8575202700107407E-12</v>
      </c>
      <c r="AH61" s="4">
        <f t="shared" si="24"/>
        <v>2.0502929108303333E-12</v>
      </c>
      <c r="AI61" s="4">
        <f t="shared" si="24"/>
        <v>2.2643762532914926E-12</v>
      </c>
      <c r="AJ61" s="4">
        <f t="shared" si="24"/>
        <v>2.5026352438741714E-12</v>
      </c>
      <c r="AK61" s="4">
        <f t="shared" si="24"/>
        <v>2.7683619270347137E-12</v>
      </c>
      <c r="AL61" s="4">
        <f t="shared" si="22"/>
        <v>3.0653456805429062E-12</v>
      </c>
      <c r="AM61" s="4">
        <f t="shared" si="22"/>
        <v>3.3979560439073721E-12</v>
      </c>
      <c r="AN61" s="4">
        <f t="shared" si="22"/>
        <v>3.7712405601994438E-12</v>
      </c>
      <c r="AO61" s="4">
        <f t="shared" si="22"/>
        <v>4.1910405500081589E-12</v>
      </c>
      <c r="AP61" s="4">
        <f t="shared" si="22"/>
        <v>4.664128343271843E-12</v>
      </c>
      <c r="AQ61" s="4">
        <f t="shared" si="22"/>
        <v>5.1983702353778378E-12</v>
      </c>
      <c r="AR61" s="4">
        <f t="shared" si="22"/>
        <v>5.8029203393028247E-12</v>
      </c>
      <c r="AS61" s="4">
        <f t="shared" si="22"/>
        <v>6.4884516143814118E-12</v>
      </c>
      <c r="AT61" s="4">
        <f t="shared" si="22"/>
        <v>7.267431712783561E-12</v>
      </c>
      <c r="AU61" s="4">
        <f t="shared" si="22"/>
        <v>8.1544529572062835E-12</v>
      </c>
      <c r="AV61" s="4">
        <f t="shared" si="22"/>
        <v>9.1666278230388194E-12</v>
      </c>
      <c r="AW61" s="4">
        <f t="shared" si="22"/>
        <v>1.032406383986601E-11</v>
      </c>
      <c r="AX61" s="4">
        <f t="shared" si="22"/>
        <v>1.1650434969358605E-11</v>
      </c>
      <c r="AY61" s="4">
        <f t="shared" si="22"/>
        <v>1.3173670408774073E-11</v>
      </c>
      <c r="AZ61" s="4">
        <f t="shared" si="22"/>
        <v>1.4926786599850662E-11</v>
      </c>
      <c r="BA61" s="4">
        <f t="shared" ref="BA61:BP76" si="26">$C61*IF(AND(BA$2=0,$D61=0),1,BA$2^$D61)*EXP($E61*(1-IF(AND(BA$2=0,$F61=0),1,BA$2^$F61)))</f>
        <v>1.6948894229824823E-11</v>
      </c>
      <c r="BB61" s="4">
        <f t="shared" si="26"/>
        <v>1.9286419495907708E-11</v>
      </c>
      <c r="BC61" s="4">
        <f t="shared" si="26"/>
        <v>2.1994588248925244E-11</v>
      </c>
      <c r="BD61" s="4">
        <f t="shared" si="26"/>
        <v>2.2140856413928126E-11</v>
      </c>
      <c r="BE61" s="4">
        <f t="shared" si="26"/>
        <v>2.2288222114662622E-11</v>
      </c>
      <c r="BF61" s="4">
        <f t="shared" si="26"/>
        <v>2.243669442547136E-11</v>
      </c>
      <c r="BG61" s="4">
        <f t="shared" si="26"/>
        <v>2.2586282501794028E-11</v>
      </c>
      <c r="BH61" s="4">
        <f t="shared" si="26"/>
        <v>2.2736995580941844E-11</v>
      </c>
      <c r="BI61" s="4">
        <f t="shared" si="26"/>
        <v>2.2888842982879868E-11</v>
      </c>
      <c r="BJ61" s="4">
        <f t="shared" si="26"/>
        <v>2.3041834111017232E-11</v>
      </c>
      <c r="BK61" s="4">
        <f t="shared" si="26"/>
        <v>2.3195978453005359E-11</v>
      </c>
      <c r="BL61" s="4">
        <f t="shared" si="26"/>
        <v>2.3351285581544286E-11</v>
      </c>
      <c r="BM61" s="4">
        <f t="shared" si="26"/>
        <v>2.3507765155197175E-11</v>
      </c>
      <c r="BN61" s="4">
        <f t="shared" si="26"/>
        <v>2.3665426919213015E-11</v>
      </c>
      <c r="BO61" s="4">
        <f t="shared" si="26"/>
        <v>2.3824280706357824E-11</v>
      </c>
      <c r="BP61" s="4">
        <f t="shared" si="26"/>
        <v>2.3984336437754087E-11</v>
      </c>
      <c r="BQ61" s="4">
        <f t="shared" si="19"/>
        <v>2.4145604123728901E-11</v>
      </c>
      <c r="BR61" s="4">
        <f t="shared" si="17"/>
        <v>2.4308093864670647E-11</v>
      </c>
      <c r="BS61" s="4">
        <f t="shared" si="17"/>
        <v>2.4471815851894422E-11</v>
      </c>
      <c r="BT61" s="4">
        <f t="shared" si="17"/>
        <v>2.4636780368516195E-11</v>
      </c>
      <c r="BU61" s="4">
        <f t="shared" si="17"/>
        <v>2.4802997790335994E-11</v>
      </c>
      <c r="BV61" s="4">
        <f t="shared" si="17"/>
        <v>2.4970478586729978E-11</v>
      </c>
      <c r="BW61" s="4">
        <f t="shared" si="17"/>
        <v>2.5139233321551654E-11</v>
      </c>
      <c r="BX61" s="4">
        <f t="shared" si="17"/>
        <v>2.530927265404226E-11</v>
      </c>
      <c r="BY61" s="4">
        <f t="shared" si="17"/>
        <v>2.5480607339750452E-11</v>
      </c>
      <c r="BZ61" s="4">
        <f t="shared" si="17"/>
        <v>2.5653248231461386E-11</v>
      </c>
      <c r="CA61" s="4">
        <f t="shared" si="17"/>
        <v>2.5827206280135267E-11</v>
      </c>
      <c r="CB61" s="4">
        <f t="shared" si="17"/>
        <v>2.6002492535855489E-11</v>
      </c>
      <c r="CC61" s="4">
        <f t="shared" si="17"/>
        <v>2.6179118148786517E-11</v>
      </c>
      <c r="CD61" s="4">
        <f t="shared" si="17"/>
        <v>2.6357094370141478E-11</v>
      </c>
      <c r="CE61" s="4">
        <f t="shared" si="17"/>
        <v>2.6536432553159756E-11</v>
      </c>
      <c r="CF61" s="4">
        <f t="shared" si="17"/>
        <v>2.6717144154094509E-11</v>
      </c>
      <c r="CG61" s="4">
        <f t="shared" si="23"/>
        <v>2.6899240733210374E-11</v>
      </c>
      <c r="CH61" s="4">
        <f t="shared" si="23"/>
        <v>2.7082733955791358E-11</v>
      </c>
      <c r="CI61" s="4">
        <f t="shared" si="23"/>
        <v>2.7267635593159073E-11</v>
      </c>
      <c r="CJ61" s="4">
        <f t="shared" si="23"/>
        <v>2.7453957523701438E-11</v>
      </c>
      <c r="CK61" s="4">
        <f t="shared" si="23"/>
        <v>2.7641711733911917E-11</v>
      </c>
      <c r="CL61" s="4">
        <f t="shared" si="23"/>
        <v>2.7830910319439447E-11</v>
      </c>
      <c r="CM61" s="4">
        <f t="shared" si="23"/>
        <v>2.8021565486149167E-11</v>
      </c>
      <c r="CN61" s="4">
        <f t="shared" si="23"/>
        <v>2.821368955119402E-11</v>
      </c>
      <c r="CO61" s="4">
        <f t="shared" si="15"/>
        <v>2.8407294944097452E-11</v>
      </c>
      <c r="CP61" s="4">
        <f t="shared" si="15"/>
        <v>2.8602394207847135E-11</v>
      </c>
      <c r="CQ61" s="4">
        <f t="shared" si="15"/>
        <v>2.8799000000000098E-11</v>
      </c>
    </row>
    <row r="62" spans="1:95">
      <c r="A62" s="3">
        <v>60</v>
      </c>
      <c r="B62" s="17" t="str">
        <f>データファイル用!$B63</f>
        <v>ASHRAE Cement Board</v>
      </c>
      <c r="C62" s="18">
        <f>データファイル用!G63</f>
        <v>1.9225E-11</v>
      </c>
      <c r="D62" s="19">
        <f>データファイル用!H63</f>
        <v>5.7365000000000003E-3</v>
      </c>
      <c r="E62" s="20">
        <f>データファイル用!I63</f>
        <v>-0.97311000000000003</v>
      </c>
      <c r="F62" s="42">
        <f>データファイル用!J63</f>
        <v>1.9202999999999999</v>
      </c>
      <c r="G62" s="4">
        <f t="shared" si="25"/>
        <v>0</v>
      </c>
      <c r="H62" s="4">
        <f t="shared" si="25"/>
        <v>7.1077934448581164E-12</v>
      </c>
      <c r="I62" s="4">
        <f t="shared" si="25"/>
        <v>7.1466860334472676E-12</v>
      </c>
      <c r="J62" s="4">
        <f t="shared" si="25"/>
        <v>7.1803356856466364E-12</v>
      </c>
      <c r="K62" s="4">
        <f t="shared" si="25"/>
        <v>7.2154845722684385E-12</v>
      </c>
      <c r="L62" s="4">
        <f t="shared" si="25"/>
        <v>7.2542246725317181E-12</v>
      </c>
      <c r="M62" s="4">
        <f t="shared" si="25"/>
        <v>7.297495408269664E-12</v>
      </c>
      <c r="N62" s="4">
        <f t="shared" si="25"/>
        <v>7.3458202082130165E-12</v>
      </c>
      <c r="O62" s="4">
        <f t="shared" si="25"/>
        <v>7.3995425053748476E-12</v>
      </c>
      <c r="P62" s="4">
        <f t="shared" si="25"/>
        <v>7.4589204923367239E-12</v>
      </c>
      <c r="Q62" s="4">
        <f t="shared" si="25"/>
        <v>7.5241711790284392E-12</v>
      </c>
      <c r="R62" s="4">
        <f t="shared" si="25"/>
        <v>7.5954931756330616E-12</v>
      </c>
      <c r="S62" s="4">
        <f t="shared" si="25"/>
        <v>7.6730795062721067E-12</v>
      </c>
      <c r="T62" s="4">
        <f t="shared" si="25"/>
        <v>7.7571253549708844E-12</v>
      </c>
      <c r="U62" s="4">
        <f t="shared" si="25"/>
        <v>7.8478330733992046E-12</v>
      </c>
      <c r="V62" s="4">
        <f t="shared" si="25"/>
        <v>7.9454156411076394E-12</v>
      </c>
      <c r="W62" s="4">
        <f t="shared" si="24"/>
        <v>8.0500992242976095E-12</v>
      </c>
      <c r="X62" s="4">
        <f t="shared" si="24"/>
        <v>8.162125201780918E-12</v>
      </c>
      <c r="Y62" s="4">
        <f t="shared" si="24"/>
        <v>8.2817518780167392E-12</v>
      </c>
      <c r="Z62" s="4">
        <f t="shared" si="24"/>
        <v>8.4092560198028268E-12</v>
      </c>
      <c r="AA62" s="4">
        <f t="shared" si="24"/>
        <v>8.5449343048286447E-12</v>
      </c>
      <c r="AB62" s="4">
        <f t="shared" si="24"/>
        <v>8.6891047413672197E-12</v>
      </c>
      <c r="AC62" s="4">
        <f t="shared" si="24"/>
        <v>8.8421081006639505E-12</v>
      </c>
      <c r="AD62" s="4">
        <f t="shared" si="24"/>
        <v>9.0043093925421583E-12</v>
      </c>
      <c r="AE62" s="4">
        <f t="shared" si="24"/>
        <v>9.1760994078060692E-12</v>
      </c>
      <c r="AF62" s="4">
        <f t="shared" si="24"/>
        <v>9.3578963466692905E-12</v>
      </c>
      <c r="AG62" s="4">
        <f t="shared" si="24"/>
        <v>9.5501475497612015E-12</v>
      </c>
      <c r="AH62" s="4">
        <f t="shared" si="24"/>
        <v>9.7533313467058542E-12</v>
      </c>
      <c r="AI62" s="4">
        <f t="shared" si="24"/>
        <v>9.9679590364780738E-12</v>
      </c>
      <c r="AJ62" s="4">
        <f t="shared" si="24"/>
        <v>1.0194577013496959E-11</v>
      </c>
      <c r="AK62" s="4">
        <f t="shared" si="24"/>
        <v>1.0433769053575043E-11</v>
      </c>
      <c r="AL62" s="4">
        <f t="shared" ref="AL62:BA77" si="27">$C62*IF(AND(AL$2=0,$D62=0),1,AL$2^$D62)*EXP($E62*(1-IF(AND(AL$2=0,$F62=0),1,AL$2^$F62)))</f>
        <v>1.0686158774310287E-11</v>
      </c>
      <c r="AM62" s="4">
        <f t="shared" si="27"/>
        <v>1.0952412285228548E-11</v>
      </c>
      <c r="AN62" s="4">
        <f t="shared" si="27"/>
        <v>1.1233241043919763E-11</v>
      </c>
      <c r="AO62" s="4">
        <f t="shared" si="27"/>
        <v>1.152940493553955E-11</v>
      </c>
      <c r="AP62" s="4">
        <f t="shared" si="27"/>
        <v>1.1841715594358037E-11</v>
      </c>
      <c r="AQ62" s="4">
        <f t="shared" si="27"/>
        <v>1.2171039987525917E-11</v>
      </c>
      <c r="AR62" s="4">
        <f t="shared" si="27"/>
        <v>1.2518304282895602E-11</v>
      </c>
      <c r="AS62" s="4">
        <f t="shared" si="27"/>
        <v>1.288449802458933E-11</v>
      </c>
      <c r="AT62" s="4">
        <f t="shared" si="27"/>
        <v>1.3270678642056753E-11</v>
      </c>
      <c r="AU62" s="4">
        <f t="shared" si="27"/>
        <v>1.3677976320624422E-11</v>
      </c>
      <c r="AV62" s="4">
        <f t="shared" si="27"/>
        <v>1.4107599264025775E-11</v>
      </c>
      <c r="AW62" s="4">
        <f t="shared" si="27"/>
        <v>1.456083938213103E-11</v>
      </c>
      <c r="AX62" s="4">
        <f t="shared" si="27"/>
        <v>1.5039078440094444E-11</v>
      </c>
      <c r="AY62" s="4">
        <f t="shared" si="27"/>
        <v>1.5543794708425822E-11</v>
      </c>
      <c r="AZ62" s="4">
        <f t="shared" si="27"/>
        <v>1.6076570157102464E-11</v>
      </c>
      <c r="BA62" s="4">
        <f t="shared" si="27"/>
        <v>1.6639098240797449E-11</v>
      </c>
      <c r="BB62" s="4">
        <f t="shared" si="26"/>
        <v>1.7233192326645497E-11</v>
      </c>
      <c r="BC62" s="4">
        <f t="shared" si="26"/>
        <v>1.7860794820736617E-11</v>
      </c>
      <c r="BD62" s="4">
        <f t="shared" si="26"/>
        <v>1.7893091256091114E-11</v>
      </c>
      <c r="BE62" s="4">
        <f t="shared" si="26"/>
        <v>1.7925476904362023E-11</v>
      </c>
      <c r="BF62" s="4">
        <f t="shared" si="26"/>
        <v>1.7957952036125781E-11</v>
      </c>
      <c r="BG62" s="4">
        <f t="shared" si="26"/>
        <v>1.7990516922900122E-11</v>
      </c>
      <c r="BH62" s="4">
        <f t="shared" si="26"/>
        <v>1.8023171837147613E-11</v>
      </c>
      <c r="BI62" s="4">
        <f t="shared" si="26"/>
        <v>1.8055917052279148E-11</v>
      </c>
      <c r="BJ62" s="4">
        <f t="shared" si="26"/>
        <v>1.8088752842657536E-11</v>
      </c>
      <c r="BK62" s="4">
        <f t="shared" si="26"/>
        <v>1.8121679483601023E-11</v>
      </c>
      <c r="BL62" s="4">
        <f t="shared" si="26"/>
        <v>1.8154697251386893E-11</v>
      </c>
      <c r="BM62" s="4">
        <f t="shared" si="26"/>
        <v>1.8187806423255037E-11</v>
      </c>
      <c r="BN62" s="4">
        <f t="shared" si="26"/>
        <v>1.8221007277411564E-11</v>
      </c>
      <c r="BO62" s="4">
        <f t="shared" si="26"/>
        <v>1.8254300093032424E-11</v>
      </c>
      <c r="BP62" s="4">
        <f t="shared" si="26"/>
        <v>1.8287685150267023E-11</v>
      </c>
      <c r="BQ62" s="4">
        <f t="shared" si="19"/>
        <v>1.8321162730241885E-11</v>
      </c>
      <c r="BR62" s="4">
        <f t="shared" si="17"/>
        <v>1.8354733115064305E-11</v>
      </c>
      <c r="BS62" s="4">
        <f t="shared" si="17"/>
        <v>1.8388396587826027E-11</v>
      </c>
      <c r="BT62" s="4">
        <f t="shared" si="17"/>
        <v>1.8422153432606941E-11</v>
      </c>
      <c r="BU62" s="4">
        <f t="shared" si="17"/>
        <v>1.8456003934478775E-11</v>
      </c>
      <c r="BV62" s="4">
        <f t="shared" si="17"/>
        <v>1.8489948379508831E-11</v>
      </c>
      <c r="BW62" s="4">
        <f t="shared" si="17"/>
        <v>1.8523987054763711E-11</v>
      </c>
      <c r="BX62" s="4">
        <f t="shared" si="17"/>
        <v>1.8558120248313082E-11</v>
      </c>
      <c r="BY62" s="4">
        <f t="shared" si="17"/>
        <v>1.8592348249233414E-11</v>
      </c>
      <c r="BZ62" s="4">
        <f t="shared" si="17"/>
        <v>1.8626671347611801E-11</v>
      </c>
      <c r="CA62" s="4">
        <f t="shared" si="17"/>
        <v>1.8661089834549718E-11</v>
      </c>
      <c r="CB62" s="4">
        <f t="shared" si="17"/>
        <v>1.869560400216687E-11</v>
      </c>
      <c r="CC62" s="4">
        <f t="shared" si="17"/>
        <v>1.8730214143605001E-11</v>
      </c>
      <c r="CD62" s="4">
        <f t="shared" si="17"/>
        <v>1.8764920553031727E-11</v>
      </c>
      <c r="CE62" s="4">
        <f t="shared" si="17"/>
        <v>1.8799723525644422E-11</v>
      </c>
      <c r="CF62" s="4">
        <f t="shared" si="17"/>
        <v>1.8834623357674077E-11</v>
      </c>
      <c r="CG62" s="4">
        <f t="shared" si="23"/>
        <v>1.8869620346389193E-11</v>
      </c>
      <c r="CH62" s="4">
        <f t="shared" si="23"/>
        <v>1.8904714790099687E-11</v>
      </c>
      <c r="CI62" s="4">
        <f t="shared" si="23"/>
        <v>1.8939906988160818E-11</v>
      </c>
      <c r="CJ62" s="4">
        <f t="shared" si="23"/>
        <v>1.8975197240977117E-11</v>
      </c>
      <c r="CK62" s="4">
        <f t="shared" si="23"/>
        <v>1.901058585000636E-11</v>
      </c>
      <c r="CL62" s="4">
        <f t="shared" si="23"/>
        <v>1.9046073117763516E-11</v>
      </c>
      <c r="CM62" s="4">
        <f t="shared" si="23"/>
        <v>1.9081659347824748E-11</v>
      </c>
      <c r="CN62" s="4">
        <f t="shared" si="23"/>
        <v>1.9117344844831412E-11</v>
      </c>
      <c r="CO62" s="4">
        <f t="shared" si="15"/>
        <v>1.9153129914494082E-11</v>
      </c>
      <c r="CP62" s="4">
        <f t="shared" si="15"/>
        <v>1.9189014863596583E-11</v>
      </c>
      <c r="CQ62" s="4">
        <f t="shared" si="15"/>
        <v>1.9225000000000016E-11</v>
      </c>
    </row>
    <row r="63" spans="1:95">
      <c r="A63" s="51">
        <v>61</v>
      </c>
      <c r="B63" s="17" t="str">
        <f>データファイル用!$B64</f>
        <v>ASHRAE Lime Stone</v>
      </c>
      <c r="C63" s="18">
        <f>データファイル用!G64</f>
        <v>1.5819E-12</v>
      </c>
      <c r="D63" s="19">
        <f>データファイル用!H64</f>
        <v>3.8359000000000002E-3</v>
      </c>
      <c r="E63" s="20">
        <f>データファイル用!I64</f>
        <v>-4.7901999999999996</v>
      </c>
      <c r="F63" s="42">
        <f>データファイル用!J64</f>
        <v>1.7801</v>
      </c>
      <c r="G63" s="4">
        <f t="shared" si="25"/>
        <v>0</v>
      </c>
      <c r="H63" s="4">
        <f t="shared" si="25"/>
        <v>1.3009826554383975E-14</v>
      </c>
      <c r="I63" s="4">
        <f t="shared" si="25"/>
        <v>1.3189090754049347E-14</v>
      </c>
      <c r="J63" s="4">
        <f t="shared" si="25"/>
        <v>1.3428831876340957E-14</v>
      </c>
      <c r="K63" s="4">
        <f t="shared" si="25"/>
        <v>1.3734603395510794E-14</v>
      </c>
      <c r="L63" s="4">
        <f t="shared" si="25"/>
        <v>1.4109222734607268E-14</v>
      </c>
      <c r="M63" s="4">
        <f t="shared" si="25"/>
        <v>1.4555968008025227E-14</v>
      </c>
      <c r="N63" s="4">
        <f t="shared" si="25"/>
        <v>1.5079095044923741E-14</v>
      </c>
      <c r="O63" s="4">
        <f t="shared" si="25"/>
        <v>1.5683988000123921E-14</v>
      </c>
      <c r="P63" s="4">
        <f t="shared" si="25"/>
        <v>1.6377256135387666E-14</v>
      </c>
      <c r="Q63" s="4">
        <f t="shared" si="25"/>
        <v>1.716684125074259E-14</v>
      </c>
      <c r="R63" s="4">
        <f t="shared" si="25"/>
        <v>1.8062153052689182E-14</v>
      </c>
      <c r="S63" s="4">
        <f t="shared" si="25"/>
        <v>1.9074239236451342E-14</v>
      </c>
      <c r="T63" s="4">
        <f t="shared" si="25"/>
        <v>2.0215995121874081E-14</v>
      </c>
      <c r="U63" s="4">
        <f t="shared" si="25"/>
        <v>2.1502418114577985E-14</v>
      </c>
      <c r="V63" s="4">
        <f t="shared" si="25"/>
        <v>2.2950913491520012E-14</v>
      </c>
      <c r="W63" s="4">
        <f t="shared" si="24"/>
        <v>2.4581659624973653E-14</v>
      </c>
      <c r="X63" s="4">
        <f t="shared" si="24"/>
        <v>2.6418042686774745E-14</v>
      </c>
      <c r="Y63" s="4">
        <f t="shared" si="24"/>
        <v>2.8487173149851012E-14</v>
      </c>
      <c r="Z63" s="4">
        <f t="shared" si="24"/>
        <v>3.0820499105131057E-14</v>
      </c>
      <c r="AA63" s="4">
        <f t="shared" si="24"/>
        <v>3.3454534644397454E-14</v>
      </c>
      <c r="AB63" s="4">
        <f t="shared" si="24"/>
        <v>3.6431725454025216E-14</v>
      </c>
      <c r="AC63" s="4">
        <f t="shared" si="24"/>
        <v>3.9801478480288461E-14</v>
      </c>
      <c r="AD63" s="4">
        <f t="shared" si="24"/>
        <v>4.3621388259323152E-14</v>
      </c>
      <c r="AE63" s="4">
        <f t="shared" si="24"/>
        <v>4.795869949423064E-14</v>
      </c>
      <c r="AF63" s="4">
        <f t="shared" si="24"/>
        <v>5.2892054005198819E-14</v>
      </c>
      <c r="AG63" s="4">
        <f t="shared" si="24"/>
        <v>5.851358064420509E-14</v>
      </c>
      <c r="AH63" s="4">
        <f t="shared" si="24"/>
        <v>6.4931399611784794E-14</v>
      </c>
      <c r="AI63" s="4">
        <f t="shared" si="24"/>
        <v>7.2272628410205346E-14</v>
      </c>
      <c r="AJ63" s="4">
        <f t="shared" si="24"/>
        <v>8.068699612782839E-14</v>
      </c>
      <c r="AK63" s="4">
        <f t="shared" si="24"/>
        <v>9.0351196765022059E-14</v>
      </c>
      <c r="AL63" s="4">
        <f t="shared" si="27"/>
        <v>1.0147414199999792E-13</v>
      </c>
      <c r="AM63" s="4">
        <f t="shared" si="27"/>
        <v>1.1430331055600598E-13</v>
      </c>
      <c r="AN63" s="4">
        <f t="shared" si="27"/>
        <v>1.2913243693310827E-13</v>
      </c>
      <c r="AO63" s="4">
        <f t="shared" si="27"/>
        <v>1.4631083892968305E-13</v>
      </c>
      <c r="AP63" s="4">
        <f t="shared" si="27"/>
        <v>1.6625475390342519E-13</v>
      </c>
      <c r="AQ63" s="4">
        <f t="shared" si="27"/>
        <v>1.8946114165041889E-13</v>
      </c>
      <c r="AR63" s="4">
        <f t="shared" si="27"/>
        <v>2.1652452159659403E-13</v>
      </c>
      <c r="AS63" s="4">
        <f t="shared" si="27"/>
        <v>2.4815754938199947E-13</v>
      </c>
      <c r="AT63" s="4">
        <f t="shared" si="27"/>
        <v>2.8521621009261034E-13</v>
      </c>
      <c r="AU63" s="4">
        <f t="shared" si="27"/>
        <v>3.2873072153829803E-13</v>
      </c>
      <c r="AV63" s="4">
        <f t="shared" si="27"/>
        <v>3.7994351278809084E-13</v>
      </c>
      <c r="AW63" s="4">
        <f t="shared" si="27"/>
        <v>4.4035598558644787E-13</v>
      </c>
      <c r="AX63" s="4">
        <f t="shared" si="27"/>
        <v>5.1178619837628021E-13</v>
      </c>
      <c r="AY63" s="4">
        <f t="shared" si="27"/>
        <v>5.9644015889165018E-13</v>
      </c>
      <c r="AZ63" s="4">
        <f t="shared" si="27"/>
        <v>6.9700010301364527E-13</v>
      </c>
      <c r="BA63" s="4">
        <f t="shared" si="27"/>
        <v>8.1673401509980533E-13</v>
      </c>
      <c r="BB63" s="4">
        <f t="shared" si="26"/>
        <v>9.5963176016212771E-13</v>
      </c>
      <c r="BC63" s="4">
        <f t="shared" si="26"/>
        <v>1.1305746179456815E-12</v>
      </c>
      <c r="BD63" s="4">
        <f t="shared" si="26"/>
        <v>1.1399599520732392E-12</v>
      </c>
      <c r="BE63" s="4">
        <f t="shared" si="26"/>
        <v>1.149430905788306E-12</v>
      </c>
      <c r="BF63" s="4">
        <f t="shared" si="26"/>
        <v>1.1589883162193596E-12</v>
      </c>
      <c r="BG63" s="4">
        <f t="shared" si="26"/>
        <v>1.1686330291574348E-12</v>
      </c>
      <c r="BH63" s="4">
        <f t="shared" si="26"/>
        <v>1.1783658991501988E-12</v>
      </c>
      <c r="BI63" s="4">
        <f t="shared" si="26"/>
        <v>1.188187789597091E-12</v>
      </c>
      <c r="BJ63" s="4">
        <f t="shared" si="26"/>
        <v>1.1980995728455391E-12</v>
      </c>
      <c r="BK63" s="4">
        <f t="shared" si="26"/>
        <v>1.2081021302882714E-12</v>
      </c>
      <c r="BL63" s="4">
        <f t="shared" si="26"/>
        <v>1.2181963524617282E-12</v>
      </c>
      <c r="BM63" s="4">
        <f t="shared" si="26"/>
        <v>1.2283831391455897E-12</v>
      </c>
      <c r="BN63" s="4">
        <f t="shared" si="26"/>
        <v>1.2386633994634387E-12</v>
      </c>
      <c r="BO63" s="4">
        <f t="shared" si="26"/>
        <v>1.2490380519845606E-12</v>
      </c>
      <c r="BP63" s="4">
        <f t="shared" si="26"/>
        <v>1.259508024826904E-12</v>
      </c>
      <c r="BQ63" s="4">
        <f t="shared" si="19"/>
        <v>1.2700742557612125E-12</v>
      </c>
      <c r="BR63" s="4">
        <f t="shared" si="17"/>
        <v>1.280737692316336E-12</v>
      </c>
      <c r="BS63" s="4">
        <f t="shared" si="17"/>
        <v>1.2914992918857448E-12</v>
      </c>
      <c r="BT63" s="4">
        <f t="shared" si="17"/>
        <v>1.3023600218352538E-12</v>
      </c>
      <c r="BU63" s="4">
        <f t="shared" si="17"/>
        <v>1.313320859611975E-12</v>
      </c>
      <c r="BV63" s="4">
        <f t="shared" si="17"/>
        <v>1.3243827928545082E-12</v>
      </c>
      <c r="BW63" s="4">
        <f t="shared" si="17"/>
        <v>1.335546819504391E-12</v>
      </c>
      <c r="BX63" s="4">
        <f t="shared" si="17"/>
        <v>1.3468139479188159E-12</v>
      </c>
      <c r="BY63" s="4">
        <f t="shared" si="17"/>
        <v>1.3581851969846394E-12</v>
      </c>
      <c r="BZ63" s="4">
        <f t="shared" si="17"/>
        <v>1.3696615962336816E-12</v>
      </c>
      <c r="CA63" s="4">
        <f t="shared" si="17"/>
        <v>1.3812441859593556E-12</v>
      </c>
      <c r="CB63" s="4">
        <f t="shared" si="17"/>
        <v>1.3929340173346151E-12</v>
      </c>
      <c r="CC63" s="4">
        <f t="shared" si="17"/>
        <v>1.4047321525312608E-12</v>
      </c>
      <c r="CD63" s="4">
        <f t="shared" si="17"/>
        <v>1.416639664840603E-12</v>
      </c>
      <c r="CE63" s="4">
        <f t="shared" si="17"/>
        <v>1.4286576387955094E-12</v>
      </c>
      <c r="CF63" s="4">
        <f t="shared" si="17"/>
        <v>1.4407871702938465E-12</v>
      </c>
      <c r="CG63" s="4">
        <f t="shared" si="23"/>
        <v>1.4530293667233329E-12</v>
      </c>
      <c r="CH63" s="4">
        <f t="shared" si="23"/>
        <v>1.4653853470878269E-12</v>
      </c>
      <c r="CI63" s="4">
        <f t="shared" si="23"/>
        <v>1.4778562421350532E-12</v>
      </c>
      <c r="CJ63" s="4">
        <f t="shared" si="23"/>
        <v>1.4904431944858001E-12</v>
      </c>
      <c r="CK63" s="4">
        <f t="shared" si="23"/>
        <v>1.5031473587645982E-12</v>
      </c>
      <c r="CL63" s="4">
        <f t="shared" si="23"/>
        <v>1.5159699017318888E-12</v>
      </c>
      <c r="CM63" s="4">
        <f t="shared" si="23"/>
        <v>1.5289120024177224E-12</v>
      </c>
      <c r="CN63" s="4">
        <f t="shared" si="23"/>
        <v>1.5419748522569814E-12</v>
      </c>
      <c r="CO63" s="4">
        <f t="shared" si="15"/>
        <v>1.5551596552261594E-12</v>
      </c>
      <c r="CP63" s="4">
        <f t="shared" si="15"/>
        <v>1.5684676279817144E-12</v>
      </c>
      <c r="CQ63" s="4">
        <f t="shared" si="15"/>
        <v>1.5819000000000066E-12</v>
      </c>
    </row>
    <row r="64" spans="1:95">
      <c r="A64" s="3">
        <v>62</v>
      </c>
      <c r="B64" s="17" t="str">
        <f>データファイル用!$B65</f>
        <v>ASHRAE Low-density Glassfibre Batt Insulation</v>
      </c>
      <c r="C64" s="18">
        <f>データファイル用!G65</f>
        <v>1.7000000000000001E-10</v>
      </c>
      <c r="D64" s="19">
        <f>データファイル用!H65</f>
        <v>0</v>
      </c>
      <c r="E64" s="20">
        <f>データファイル用!I65</f>
        <v>0</v>
      </c>
      <c r="F64" s="42">
        <f>データファイル用!J65</f>
        <v>0</v>
      </c>
      <c r="G64" s="4">
        <f t="shared" si="25"/>
        <v>1.7000000000000001E-10</v>
      </c>
      <c r="H64" s="4">
        <f t="shared" si="25"/>
        <v>1.7000000000000001E-10</v>
      </c>
      <c r="I64" s="4">
        <f t="shared" si="25"/>
        <v>1.7000000000000001E-10</v>
      </c>
      <c r="J64" s="4">
        <f t="shared" si="25"/>
        <v>1.7000000000000001E-10</v>
      </c>
      <c r="K64" s="4">
        <f t="shared" si="25"/>
        <v>1.7000000000000001E-10</v>
      </c>
      <c r="L64" s="4">
        <f t="shared" si="25"/>
        <v>1.7000000000000001E-10</v>
      </c>
      <c r="M64" s="4">
        <f t="shared" si="25"/>
        <v>1.7000000000000001E-10</v>
      </c>
      <c r="N64" s="4">
        <f t="shared" si="25"/>
        <v>1.7000000000000001E-10</v>
      </c>
      <c r="O64" s="4">
        <f t="shared" si="25"/>
        <v>1.7000000000000001E-10</v>
      </c>
      <c r="P64" s="4">
        <f t="shared" si="25"/>
        <v>1.7000000000000001E-10</v>
      </c>
      <c r="Q64" s="4">
        <f t="shared" si="25"/>
        <v>1.7000000000000001E-10</v>
      </c>
      <c r="R64" s="4">
        <f t="shared" si="25"/>
        <v>1.7000000000000001E-10</v>
      </c>
      <c r="S64" s="4">
        <f t="shared" si="25"/>
        <v>1.7000000000000001E-10</v>
      </c>
      <c r="T64" s="4">
        <f t="shared" si="25"/>
        <v>1.7000000000000001E-10</v>
      </c>
      <c r="U64" s="4">
        <f t="shared" si="25"/>
        <v>1.7000000000000001E-10</v>
      </c>
      <c r="V64" s="4">
        <f t="shared" si="25"/>
        <v>1.7000000000000001E-10</v>
      </c>
      <c r="W64" s="4">
        <f t="shared" si="24"/>
        <v>1.7000000000000001E-10</v>
      </c>
      <c r="X64" s="4">
        <f t="shared" si="24"/>
        <v>1.7000000000000001E-10</v>
      </c>
      <c r="Y64" s="4">
        <f t="shared" si="24"/>
        <v>1.7000000000000001E-10</v>
      </c>
      <c r="Z64" s="4">
        <f t="shared" si="24"/>
        <v>1.7000000000000001E-10</v>
      </c>
      <c r="AA64" s="4">
        <f t="shared" si="24"/>
        <v>1.7000000000000001E-10</v>
      </c>
      <c r="AB64" s="4">
        <f t="shared" si="24"/>
        <v>1.7000000000000001E-10</v>
      </c>
      <c r="AC64" s="4">
        <f t="shared" si="24"/>
        <v>1.7000000000000001E-10</v>
      </c>
      <c r="AD64" s="4">
        <f t="shared" si="24"/>
        <v>1.7000000000000001E-10</v>
      </c>
      <c r="AE64" s="4">
        <f t="shared" si="24"/>
        <v>1.7000000000000001E-10</v>
      </c>
      <c r="AF64" s="4">
        <f t="shared" si="24"/>
        <v>1.7000000000000001E-10</v>
      </c>
      <c r="AG64" s="4">
        <f t="shared" si="24"/>
        <v>1.7000000000000001E-10</v>
      </c>
      <c r="AH64" s="4">
        <f t="shared" si="24"/>
        <v>1.7000000000000001E-10</v>
      </c>
      <c r="AI64" s="4">
        <f t="shared" si="24"/>
        <v>1.7000000000000001E-10</v>
      </c>
      <c r="AJ64" s="4">
        <f t="shared" si="24"/>
        <v>1.7000000000000001E-10</v>
      </c>
      <c r="AK64" s="4">
        <f t="shared" si="24"/>
        <v>1.7000000000000001E-10</v>
      </c>
      <c r="AL64" s="4">
        <f t="shared" si="27"/>
        <v>1.7000000000000001E-10</v>
      </c>
      <c r="AM64" s="4">
        <f t="shared" si="27"/>
        <v>1.7000000000000001E-10</v>
      </c>
      <c r="AN64" s="4">
        <f t="shared" si="27"/>
        <v>1.7000000000000001E-10</v>
      </c>
      <c r="AO64" s="4">
        <f t="shared" si="27"/>
        <v>1.7000000000000001E-10</v>
      </c>
      <c r="AP64" s="4">
        <f t="shared" si="27"/>
        <v>1.7000000000000001E-10</v>
      </c>
      <c r="AQ64" s="4">
        <f t="shared" si="27"/>
        <v>1.7000000000000001E-10</v>
      </c>
      <c r="AR64" s="4">
        <f t="shared" si="27"/>
        <v>1.7000000000000001E-10</v>
      </c>
      <c r="AS64" s="4">
        <f t="shared" si="27"/>
        <v>1.7000000000000001E-10</v>
      </c>
      <c r="AT64" s="4">
        <f t="shared" si="27"/>
        <v>1.7000000000000001E-10</v>
      </c>
      <c r="AU64" s="4">
        <f t="shared" si="27"/>
        <v>1.7000000000000001E-10</v>
      </c>
      <c r="AV64" s="4">
        <f t="shared" si="27"/>
        <v>1.7000000000000001E-10</v>
      </c>
      <c r="AW64" s="4">
        <f t="shared" si="27"/>
        <v>1.7000000000000001E-10</v>
      </c>
      <c r="AX64" s="4">
        <f t="shared" si="27"/>
        <v>1.7000000000000001E-10</v>
      </c>
      <c r="AY64" s="4">
        <f t="shared" si="27"/>
        <v>1.7000000000000001E-10</v>
      </c>
      <c r="AZ64" s="4">
        <f t="shared" si="27"/>
        <v>1.7000000000000001E-10</v>
      </c>
      <c r="BA64" s="4">
        <f t="shared" si="27"/>
        <v>1.7000000000000001E-10</v>
      </c>
      <c r="BB64" s="4">
        <f t="shared" si="26"/>
        <v>1.7000000000000001E-10</v>
      </c>
      <c r="BC64" s="4">
        <f t="shared" si="26"/>
        <v>1.7000000000000001E-10</v>
      </c>
      <c r="BD64" s="4">
        <f t="shared" si="26"/>
        <v>1.7000000000000001E-10</v>
      </c>
      <c r="BE64" s="4">
        <f t="shared" si="26"/>
        <v>1.7000000000000001E-10</v>
      </c>
      <c r="BF64" s="4">
        <f t="shared" si="26"/>
        <v>1.7000000000000001E-10</v>
      </c>
      <c r="BG64" s="4">
        <f t="shared" si="26"/>
        <v>1.7000000000000001E-10</v>
      </c>
      <c r="BH64" s="4">
        <f t="shared" si="26"/>
        <v>1.7000000000000001E-10</v>
      </c>
      <c r="BI64" s="4">
        <f t="shared" si="26"/>
        <v>1.7000000000000001E-10</v>
      </c>
      <c r="BJ64" s="4">
        <f t="shared" si="26"/>
        <v>1.7000000000000001E-10</v>
      </c>
      <c r="BK64" s="4">
        <f t="shared" si="26"/>
        <v>1.7000000000000001E-10</v>
      </c>
      <c r="BL64" s="4">
        <f t="shared" si="26"/>
        <v>1.7000000000000001E-10</v>
      </c>
      <c r="BM64" s="4">
        <f t="shared" si="26"/>
        <v>1.7000000000000001E-10</v>
      </c>
      <c r="BN64" s="4">
        <f t="shared" si="26"/>
        <v>1.7000000000000001E-10</v>
      </c>
      <c r="BO64" s="4">
        <f t="shared" si="26"/>
        <v>1.7000000000000001E-10</v>
      </c>
      <c r="BP64" s="4">
        <f t="shared" si="26"/>
        <v>1.7000000000000001E-10</v>
      </c>
      <c r="BQ64" s="4">
        <f t="shared" si="19"/>
        <v>1.7000000000000001E-10</v>
      </c>
      <c r="BR64" s="4">
        <f t="shared" ref="BR64:CG80" si="28">$C64*IF(AND(BR$2=0,$D64=0),1,BR$2^$D64)*EXP($E64*(1-IF(AND(BR$2=0,$F64=0),1,BR$2^$F64)))</f>
        <v>1.7000000000000001E-10</v>
      </c>
      <c r="BS64" s="4">
        <f t="shared" si="28"/>
        <v>1.7000000000000001E-10</v>
      </c>
      <c r="BT64" s="4">
        <f t="shared" si="28"/>
        <v>1.7000000000000001E-10</v>
      </c>
      <c r="BU64" s="4">
        <f t="shared" si="28"/>
        <v>1.7000000000000001E-10</v>
      </c>
      <c r="BV64" s="4">
        <f t="shared" si="28"/>
        <v>1.7000000000000001E-10</v>
      </c>
      <c r="BW64" s="4">
        <f t="shared" si="28"/>
        <v>1.7000000000000001E-10</v>
      </c>
      <c r="BX64" s="4">
        <f t="shared" si="28"/>
        <v>1.7000000000000001E-10</v>
      </c>
      <c r="BY64" s="4">
        <f t="shared" si="28"/>
        <v>1.7000000000000001E-10</v>
      </c>
      <c r="BZ64" s="4">
        <f t="shared" si="28"/>
        <v>1.7000000000000001E-10</v>
      </c>
      <c r="CA64" s="4">
        <f t="shared" si="28"/>
        <v>1.7000000000000001E-10</v>
      </c>
      <c r="CB64" s="4">
        <f t="shared" si="28"/>
        <v>1.7000000000000001E-10</v>
      </c>
      <c r="CC64" s="4">
        <f t="shared" si="28"/>
        <v>1.7000000000000001E-10</v>
      </c>
      <c r="CD64" s="4">
        <f t="shared" si="28"/>
        <v>1.7000000000000001E-10</v>
      </c>
      <c r="CE64" s="4">
        <f t="shared" si="28"/>
        <v>1.7000000000000001E-10</v>
      </c>
      <c r="CF64" s="4">
        <f t="shared" si="28"/>
        <v>1.7000000000000001E-10</v>
      </c>
      <c r="CG64" s="4">
        <f t="shared" si="28"/>
        <v>1.7000000000000001E-10</v>
      </c>
      <c r="CH64" s="4">
        <f t="shared" si="23"/>
        <v>1.7000000000000001E-10</v>
      </c>
      <c r="CI64" s="4">
        <f t="shared" si="23"/>
        <v>1.7000000000000001E-10</v>
      </c>
      <c r="CJ64" s="4">
        <f t="shared" si="23"/>
        <v>1.7000000000000001E-10</v>
      </c>
      <c r="CK64" s="4">
        <f t="shared" si="23"/>
        <v>1.7000000000000001E-10</v>
      </c>
      <c r="CL64" s="4">
        <f t="shared" si="23"/>
        <v>1.7000000000000001E-10</v>
      </c>
      <c r="CM64" s="4">
        <f t="shared" si="23"/>
        <v>1.7000000000000001E-10</v>
      </c>
      <c r="CN64" s="4">
        <f t="shared" si="23"/>
        <v>1.7000000000000001E-10</v>
      </c>
      <c r="CO64" s="4">
        <f t="shared" si="15"/>
        <v>1.7000000000000001E-10</v>
      </c>
      <c r="CP64" s="4">
        <f t="shared" si="15"/>
        <v>1.7000000000000001E-10</v>
      </c>
      <c r="CQ64" s="4">
        <f t="shared" si="15"/>
        <v>1.7000000000000001E-10</v>
      </c>
    </row>
    <row r="65" spans="1:95">
      <c r="A65" s="3">
        <v>63</v>
      </c>
      <c r="B65" s="17" t="str">
        <f>データファイル用!$B66</f>
        <v>ASHRAE Cellulose Insulation</v>
      </c>
      <c r="C65" s="18">
        <f>データファイル用!G66</f>
        <v>1.8461E-10</v>
      </c>
      <c r="D65" s="19">
        <f>データファイル用!H66</f>
        <v>0.11912</v>
      </c>
      <c r="E65" s="20">
        <f>データファイル用!I66</f>
        <v>-0.18942999999999999</v>
      </c>
      <c r="F65" s="42">
        <f>データファイル用!J66</f>
        <v>0.98895999999999995</v>
      </c>
      <c r="G65" s="4">
        <f t="shared" si="25"/>
        <v>0</v>
      </c>
      <c r="H65" s="4">
        <f t="shared" si="25"/>
        <v>9.6232883251930306E-11</v>
      </c>
      <c r="I65" s="4">
        <f t="shared" si="25"/>
        <v>1.0492379359909538E-10</v>
      </c>
      <c r="J65" s="4">
        <f t="shared" si="25"/>
        <v>1.1054319717413301E-10</v>
      </c>
      <c r="K65" s="4">
        <f t="shared" si="25"/>
        <v>1.1483928259059094E-10</v>
      </c>
      <c r="L65" s="4">
        <f t="shared" si="25"/>
        <v>1.1838739664115993E-10</v>
      </c>
      <c r="M65" s="4">
        <f t="shared" si="25"/>
        <v>1.214520664924416E-10</v>
      </c>
      <c r="N65" s="4">
        <f t="shared" si="25"/>
        <v>1.2417778212966349E-10</v>
      </c>
      <c r="O65" s="4">
        <f t="shared" si="25"/>
        <v>1.2665243866565891E-10</v>
      </c>
      <c r="P65" s="4">
        <f t="shared" si="25"/>
        <v>1.2893362829630991E-10</v>
      </c>
      <c r="Q65" s="4">
        <f t="shared" si="25"/>
        <v>1.3106120522151447E-10</v>
      </c>
      <c r="R65" s="4">
        <f t="shared" si="25"/>
        <v>1.3306392909912066E-10</v>
      </c>
      <c r="S65" s="4">
        <f t="shared" si="25"/>
        <v>1.3496325459992129E-10</v>
      </c>
      <c r="T65" s="4">
        <f t="shared" si="25"/>
        <v>1.3677562507444625E-10</v>
      </c>
      <c r="U65" s="4">
        <f t="shared" si="25"/>
        <v>1.3851392863532492E-10</v>
      </c>
      <c r="V65" s="4">
        <f t="shared" si="25"/>
        <v>1.4018845952439893E-10</v>
      </c>
      <c r="W65" s="4">
        <f t="shared" si="24"/>
        <v>1.4180757407957165E-10</v>
      </c>
      <c r="X65" s="4">
        <f t="shared" si="24"/>
        <v>1.4337815102616801E-10</v>
      </c>
      <c r="Y65" s="4">
        <f t="shared" si="24"/>
        <v>1.4490592234868021E-10</v>
      </c>
      <c r="Z65" s="4">
        <f t="shared" si="24"/>
        <v>1.4639571618093996E-10</v>
      </c>
      <c r="AA65" s="4">
        <f t="shared" si="24"/>
        <v>1.4785163843265515E-10</v>
      </c>
      <c r="AB65" s="4">
        <f t="shared" si="24"/>
        <v>1.4927721084500295E-10</v>
      </c>
      <c r="AC65" s="4">
        <f t="shared" si="24"/>
        <v>1.5067547747089261E-10</v>
      </c>
      <c r="AD65" s="4">
        <f t="shared" si="24"/>
        <v>1.5204908788537515E-10</v>
      </c>
      <c r="AE65" s="4">
        <f t="shared" si="24"/>
        <v>1.5340036298587834E-10</v>
      </c>
      <c r="AF65" s="4">
        <f t="shared" si="24"/>
        <v>1.5473134758706598E-10</v>
      </c>
      <c r="AG65" s="4">
        <f t="shared" si="24"/>
        <v>1.5604385287432224E-10</v>
      </c>
      <c r="AH65" s="4">
        <f t="shared" si="24"/>
        <v>1.5733949098002094E-10</v>
      </c>
      <c r="AI65" s="4">
        <f t="shared" si="24"/>
        <v>1.5861970337723761E-10</v>
      </c>
      <c r="AJ65" s="4">
        <f t="shared" si="24"/>
        <v>1.5988578437428718E-10</v>
      </c>
      <c r="AK65" s="4">
        <f t="shared" si="24"/>
        <v>1.6113890069258415E-10</v>
      </c>
      <c r="AL65" s="4">
        <f t="shared" si="27"/>
        <v>1.6238010788753797E-10</v>
      </c>
      <c r="AM65" s="4">
        <f t="shared" si="27"/>
        <v>1.6361036420540536E-10</v>
      </c>
      <c r="AN65" s="4">
        <f t="shared" si="27"/>
        <v>1.6483054234285316E-10</v>
      </c>
      <c r="AO65" s="4">
        <f t="shared" si="27"/>
        <v>1.6604143947963444E-10</v>
      </c>
      <c r="AP65" s="4">
        <f t="shared" si="27"/>
        <v>1.6724378588053308E-10</v>
      </c>
      <c r="AQ65" s="4">
        <f t="shared" si="27"/>
        <v>1.6843825230504068E-10</v>
      </c>
      <c r="AR65" s="4">
        <f t="shared" si="27"/>
        <v>1.696254564180499E-10</v>
      </c>
      <c r="AS65" s="4">
        <f t="shared" si="27"/>
        <v>1.708059683592022E-10</v>
      </c>
      <c r="AT65" s="4">
        <f t="shared" si="27"/>
        <v>1.7198031560021344E-10</v>
      </c>
      <c r="AU65" s="4">
        <f t="shared" si="27"/>
        <v>1.7314898719685653E-10</v>
      </c>
      <c r="AV65" s="4">
        <f t="shared" si="27"/>
        <v>1.7431243752406503E-10</v>
      </c>
      <c r="AW65" s="4">
        <f t="shared" si="27"/>
        <v>1.7547108956787618E-10</v>
      </c>
      <c r="AX65" s="4">
        <f t="shared" si="27"/>
        <v>1.7662533783593798E-10</v>
      </c>
      <c r="AY65" s="4">
        <f t="shared" si="27"/>
        <v>1.7777555093848674E-10</v>
      </c>
      <c r="AZ65" s="4">
        <f t="shared" si="27"/>
        <v>1.7892207388363705E-10</v>
      </c>
      <c r="BA65" s="4">
        <f t="shared" si="27"/>
        <v>1.8006523012415824E-10</v>
      </c>
      <c r="BB65" s="4">
        <f t="shared" si="26"/>
        <v>1.8120532338738244E-10</v>
      </c>
      <c r="BC65" s="4">
        <f t="shared" si="26"/>
        <v>1.8234263931528045E-10</v>
      </c>
      <c r="BD65" s="4">
        <f t="shared" si="26"/>
        <v>1.8239943709955593E-10</v>
      </c>
      <c r="BE65" s="4">
        <f t="shared" si="26"/>
        <v>1.8245622864882758E-10</v>
      </c>
      <c r="BF65" s="4">
        <f t="shared" si="26"/>
        <v>1.8251301399558686E-10</v>
      </c>
      <c r="BG65" s="4">
        <f t="shared" si="26"/>
        <v>1.8256979317223069E-10</v>
      </c>
      <c r="BH65" s="4">
        <f t="shared" si="26"/>
        <v>1.8262656621106171E-10</v>
      </c>
      <c r="BI65" s="4">
        <f t="shared" si="26"/>
        <v>1.8268333314428872E-10</v>
      </c>
      <c r="BJ65" s="4">
        <f t="shared" si="26"/>
        <v>1.8274009400402715E-10</v>
      </c>
      <c r="BK65" s="4">
        <f t="shared" si="26"/>
        <v>1.8279684882229913E-10</v>
      </c>
      <c r="BL65" s="4">
        <f t="shared" si="26"/>
        <v>1.8285359763103432E-10</v>
      </c>
      <c r="BM65" s="4">
        <f t="shared" si="26"/>
        <v>1.8291034046207E-10</v>
      </c>
      <c r="BN65" s="4">
        <f t="shared" si="26"/>
        <v>1.8296707734715137E-10</v>
      </c>
      <c r="BO65" s="4">
        <f t="shared" si="26"/>
        <v>1.830238083179323E-10</v>
      </c>
      <c r="BP65" s="4">
        <f t="shared" si="26"/>
        <v>1.8308053340597522E-10</v>
      </c>
      <c r="BQ65" s="4">
        <f t="shared" si="19"/>
        <v>1.8313725264275192E-10</v>
      </c>
      <c r="BR65" s="4">
        <f t="shared" si="28"/>
        <v>1.8319396605964357E-10</v>
      </c>
      <c r="BS65" s="4">
        <f t="shared" si="28"/>
        <v>1.8325067368794144E-10</v>
      </c>
      <c r="BT65" s="4">
        <f t="shared" si="28"/>
        <v>1.8330737555884689E-10</v>
      </c>
      <c r="BU65" s="4">
        <f t="shared" si="28"/>
        <v>1.8336407170347198E-10</v>
      </c>
      <c r="BV65" s="4">
        <f t="shared" si="28"/>
        <v>1.834207621528398E-10</v>
      </c>
      <c r="BW65" s="4">
        <f t="shared" si="28"/>
        <v>1.8347744693788479E-10</v>
      </c>
      <c r="BX65" s="4">
        <f t="shared" si="28"/>
        <v>1.8353412608945305E-10</v>
      </c>
      <c r="BY65" s="4">
        <f t="shared" si="28"/>
        <v>1.835907996383028E-10</v>
      </c>
      <c r="BZ65" s="4">
        <f t="shared" si="28"/>
        <v>1.8364746761510463E-10</v>
      </c>
      <c r="CA65" s="4">
        <f t="shared" si="28"/>
        <v>1.8370413005044198E-10</v>
      </c>
      <c r="CB65" s="4">
        <f t="shared" si="28"/>
        <v>1.8376078697481133E-10</v>
      </c>
      <c r="CC65" s="4">
        <f t="shared" si="28"/>
        <v>1.8381743841862274E-10</v>
      </c>
      <c r="CD65" s="4">
        <f t="shared" si="28"/>
        <v>1.8387408441219998E-10</v>
      </c>
      <c r="CE65" s="4">
        <f t="shared" si="28"/>
        <v>1.8393072498578103E-10</v>
      </c>
      <c r="CF65" s="4">
        <f t="shared" si="28"/>
        <v>1.8398736016951842E-10</v>
      </c>
      <c r="CG65" s="4">
        <f t="shared" si="28"/>
        <v>1.8404398999347942E-10</v>
      </c>
      <c r="CH65" s="4">
        <f t="shared" si="23"/>
        <v>1.8410061448764662E-10</v>
      </c>
      <c r="CI65" s="4">
        <f t="shared" si="23"/>
        <v>1.8415723368191812E-10</v>
      </c>
      <c r="CJ65" s="4">
        <f t="shared" si="23"/>
        <v>1.8421384760610776E-10</v>
      </c>
      <c r="CK65" s="4">
        <f t="shared" si="23"/>
        <v>1.8427045628994573E-10</v>
      </c>
      <c r="CL65" s="4">
        <f t="shared" si="23"/>
        <v>1.8432705976307865E-10</v>
      </c>
      <c r="CM65" s="4">
        <f t="shared" si="23"/>
        <v>1.8438365805507008E-10</v>
      </c>
      <c r="CN65" s="4">
        <f t="shared" si="23"/>
        <v>1.8444025119540072E-10</v>
      </c>
      <c r="CO65" s="4">
        <f t="shared" si="15"/>
        <v>1.8449683921346882E-10</v>
      </c>
      <c r="CP65" s="4">
        <f t="shared" si="15"/>
        <v>1.8455342213859054E-10</v>
      </c>
      <c r="CQ65" s="4">
        <f t="shared" si="15"/>
        <v>1.8461E-10</v>
      </c>
    </row>
    <row r="66" spans="1:95">
      <c r="A66" s="3">
        <v>64</v>
      </c>
      <c r="B66" s="17" t="str">
        <f>データファイル用!$B67</f>
        <v>ASHRAE Expanded Polystyrene Insulation</v>
      </c>
      <c r="C66" s="18">
        <f>データファイル用!G67</f>
        <v>5.9967000000000001E-12</v>
      </c>
      <c r="D66" s="19">
        <f>データファイル用!H67</f>
        <v>7.3921999999999996E-4</v>
      </c>
      <c r="E66" s="20">
        <f>データファイル用!I67</f>
        <v>-0.81091999999999997</v>
      </c>
      <c r="F66" s="42">
        <f>データファイル用!J67</f>
        <v>1.0419</v>
      </c>
      <c r="G66" s="4">
        <f t="shared" si="25"/>
        <v>0</v>
      </c>
      <c r="H66" s="4">
        <f t="shared" si="25"/>
        <v>2.6943686156216475E-12</v>
      </c>
      <c r="I66" s="4">
        <f t="shared" si="25"/>
        <v>2.7353354191678004E-12</v>
      </c>
      <c r="J66" s="4">
        <f t="shared" si="25"/>
        <v>2.7772309749852594E-12</v>
      </c>
      <c r="K66" s="4">
        <f t="shared" si="25"/>
        <v>2.820124967706839E-12</v>
      </c>
      <c r="L66" s="4">
        <f t="shared" si="25"/>
        <v>2.8640054049266358E-12</v>
      </c>
      <c r="M66" s="4">
        <f t="shared" si="25"/>
        <v>2.9088572186212123E-12</v>
      </c>
      <c r="N66" s="4">
        <f t="shared" si="25"/>
        <v>2.9546703190481759E-12</v>
      </c>
      <c r="O66" s="4">
        <f t="shared" si="25"/>
        <v>3.0014396728748046E-12</v>
      </c>
      <c r="P66" s="4">
        <f t="shared" si="25"/>
        <v>3.0491643612229971E-12</v>
      </c>
      <c r="Q66" s="4">
        <f t="shared" si="25"/>
        <v>3.0978466963399599E-12</v>
      </c>
      <c r="R66" s="4">
        <f t="shared" si="25"/>
        <v>3.1474915386937121E-12</v>
      </c>
      <c r="S66" s="4">
        <f t="shared" si="25"/>
        <v>3.1981057906768465E-12</v>
      </c>
      <c r="T66" s="4">
        <f t="shared" si="25"/>
        <v>3.2496980230344139E-12</v>
      </c>
      <c r="U66" s="4">
        <f t="shared" si="25"/>
        <v>3.3022781972767858E-12</v>
      </c>
      <c r="V66" s="4">
        <f t="shared" si="25"/>
        <v>3.3558574571808659E-12</v>
      </c>
      <c r="W66" s="4">
        <f t="shared" si="24"/>
        <v>3.4104479703799894E-12</v>
      </c>
      <c r="X66" s="4">
        <f t="shared" si="24"/>
        <v>3.4660628066948156E-12</v>
      </c>
      <c r="Y66" s="4">
        <f t="shared" si="24"/>
        <v>3.5227158437719857E-12</v>
      </c>
      <c r="Z66" s="4">
        <f t="shared" si="24"/>
        <v>3.5804216932927042E-12</v>
      </c>
      <c r="AA66" s="4">
        <f t="shared" si="24"/>
        <v>3.6391956428789629E-12</v>
      </c>
      <c r="AB66" s="4">
        <f t="shared" si="24"/>
        <v>3.6990536101290356E-12</v>
      </c>
      <c r="AC66" s="4">
        <f t="shared" si="24"/>
        <v>3.7600121061359166E-12</v>
      </c>
      <c r="AD66" s="4">
        <f t="shared" si="24"/>
        <v>3.8220882065025675E-12</v>
      </c>
      <c r="AE66" s="4">
        <f t="shared" si="24"/>
        <v>3.8852995283463524E-12</v>
      </c>
      <c r="AF66" s="4">
        <f t="shared" si="24"/>
        <v>3.9496642121360086E-12</v>
      </c>
      <c r="AG66" s="4">
        <f t="shared" si="24"/>
        <v>4.0152009074649518E-12</v>
      </c>
      <c r="AH66" s="4">
        <f t="shared" si="24"/>
        <v>4.081928762060008E-12</v>
      </c>
      <c r="AI66" s="4">
        <f t="shared" si="24"/>
        <v>4.1498674134727188E-12</v>
      </c>
      <c r="AJ66" s="4">
        <f t="shared" si="24"/>
        <v>4.2190369830135594E-12</v>
      </c>
      <c r="AK66" s="4">
        <f t="shared" si="24"/>
        <v>4.2894580715768894E-12</v>
      </c>
      <c r="AL66" s="4">
        <f t="shared" si="27"/>
        <v>4.3611517570725001E-12</v>
      </c>
      <c r="AM66" s="4">
        <f t="shared" si="27"/>
        <v>4.4341395932331073E-12</v>
      </c>
      <c r="AN66" s="4">
        <f t="shared" si="27"/>
        <v>4.5084436096093973E-12</v>
      </c>
      <c r="AO66" s="4">
        <f t="shared" si="27"/>
        <v>4.5840863125979159E-12</v>
      </c>
      <c r="AP66" s="4">
        <f t="shared" si="27"/>
        <v>4.6610906873741424E-12</v>
      </c>
      <c r="AQ66" s="4">
        <f t="shared" si="27"/>
        <v>4.7394802006248453E-12</v>
      </c>
      <c r="AR66" s="4">
        <f t="shared" si="27"/>
        <v>4.8192788039915978E-12</v>
      </c>
      <c r="AS66" s="4">
        <f t="shared" si="27"/>
        <v>4.9005109381517757E-12</v>
      </c>
      <c r="AT66" s="4">
        <f t="shared" si="27"/>
        <v>4.983201537475236E-12</v>
      </c>
      <c r="AU66" s="4">
        <f t="shared" si="27"/>
        <v>5.0673760352047349E-12</v>
      </c>
      <c r="AV66" s="4">
        <f t="shared" si="27"/>
        <v>5.1530603691162712E-12</v>
      </c>
      <c r="AW66" s="4">
        <f t="shared" si="27"/>
        <v>5.2402809876223304E-12</v>
      </c>
      <c r="AX66" s="4">
        <f t="shared" si="27"/>
        <v>5.3290648562867454E-12</v>
      </c>
      <c r="AY66" s="4">
        <f t="shared" si="27"/>
        <v>5.4194394647246213E-12</v>
      </c>
      <c r="AZ66" s="4">
        <f t="shared" si="27"/>
        <v>5.5114328338648927E-12</v>
      </c>
      <c r="BA66" s="4">
        <f t="shared" si="27"/>
        <v>5.605073523556477E-12</v>
      </c>
      <c r="BB66" s="4">
        <f t="shared" si="26"/>
        <v>5.7003906405019379E-12</v>
      </c>
      <c r="BC66" s="4">
        <f t="shared" si="26"/>
        <v>5.7974138465051064E-12</v>
      </c>
      <c r="BD66" s="4">
        <f t="shared" si="26"/>
        <v>5.8023103313881514E-12</v>
      </c>
      <c r="BE66" s="4">
        <f t="shared" si="26"/>
        <v>5.8072111607539882E-12</v>
      </c>
      <c r="BF66" s="4">
        <f t="shared" si="26"/>
        <v>5.8121163384216678E-12</v>
      </c>
      <c r="BG66" s="4">
        <f t="shared" si="26"/>
        <v>5.8170258682138235E-12</v>
      </c>
      <c r="BH66" s="4">
        <f t="shared" si="26"/>
        <v>5.8219397539566811E-12</v>
      </c>
      <c r="BI66" s="4">
        <f t="shared" si="26"/>
        <v>5.8268579994800472E-12</v>
      </c>
      <c r="BJ66" s="4">
        <f t="shared" si="26"/>
        <v>5.8317806086173289E-12</v>
      </c>
      <c r="BK66" s="4">
        <f t="shared" si="26"/>
        <v>5.8367075852055204E-12</v>
      </c>
      <c r="BL66" s="4">
        <f t="shared" si="26"/>
        <v>5.8416389330852191E-12</v>
      </c>
      <c r="BM66" s="4">
        <f t="shared" si="26"/>
        <v>5.8465746561006182E-12</v>
      </c>
      <c r="BN66" s="4">
        <f t="shared" si="26"/>
        <v>5.8515147580995182E-12</v>
      </c>
      <c r="BO66" s="4">
        <f t="shared" si="26"/>
        <v>5.8564592429333228E-12</v>
      </c>
      <c r="BP66" s="4">
        <f t="shared" si="26"/>
        <v>5.8614081144570466E-12</v>
      </c>
      <c r="BQ66" s="4">
        <f t="shared" si="19"/>
        <v>5.8663613765293152E-12</v>
      </c>
      <c r="BR66" s="4">
        <f t="shared" si="28"/>
        <v>5.871319033012369E-12</v>
      </c>
      <c r="BS66" s="4">
        <f t="shared" si="28"/>
        <v>5.8762810877720656E-12</v>
      </c>
      <c r="BT66" s="4">
        <f t="shared" si="28"/>
        <v>5.8812475446778824E-12</v>
      </c>
      <c r="BU66" s="4">
        <f t="shared" si="28"/>
        <v>5.886218407602923E-12</v>
      </c>
      <c r="BV66" s="4">
        <f t="shared" si="28"/>
        <v>5.8911936804239123E-12</v>
      </c>
      <c r="BW66" s="4">
        <f t="shared" si="28"/>
        <v>5.8961733670212095E-12</v>
      </c>
      <c r="BX66" s="4">
        <f t="shared" si="28"/>
        <v>5.9011574712788032E-12</v>
      </c>
      <c r="BY66" s="4">
        <f t="shared" si="28"/>
        <v>5.9061459970843171E-12</v>
      </c>
      <c r="BZ66" s="4">
        <f t="shared" si="28"/>
        <v>5.9111389483290107E-12</v>
      </c>
      <c r="CA66" s="4">
        <f t="shared" si="28"/>
        <v>5.9161363289077876E-12</v>
      </c>
      <c r="CB66" s="4">
        <f t="shared" si="28"/>
        <v>5.9211381427191927E-12</v>
      </c>
      <c r="CC66" s="4">
        <f t="shared" si="28"/>
        <v>5.9261443936654191E-12</v>
      </c>
      <c r="CD66" s="4">
        <f t="shared" si="28"/>
        <v>5.9311550856523079E-12</v>
      </c>
      <c r="CE66" s="4">
        <f t="shared" si="28"/>
        <v>5.936170222589352E-12</v>
      </c>
      <c r="CF66" s="4">
        <f t="shared" si="28"/>
        <v>5.9411898083897015E-12</v>
      </c>
      <c r="CG66" s="4">
        <f t="shared" si="28"/>
        <v>5.9462138469701632E-12</v>
      </c>
      <c r="CH66" s="4">
        <f t="shared" si="23"/>
        <v>5.9512423422512064E-12</v>
      </c>
      <c r="CI66" s="4">
        <f t="shared" si="23"/>
        <v>5.9562752981569607E-12</v>
      </c>
      <c r="CJ66" s="4">
        <f t="shared" si="23"/>
        <v>5.9613127186152285E-12</v>
      </c>
      <c r="CK66" s="4">
        <f t="shared" si="23"/>
        <v>5.9663546075574764E-12</v>
      </c>
      <c r="CL66" s="4">
        <f t="shared" si="23"/>
        <v>5.9714009689188476E-12</v>
      </c>
      <c r="CM66" s="4">
        <f t="shared" si="23"/>
        <v>5.9764518066381594E-12</v>
      </c>
      <c r="CN66" s="4">
        <f t="shared" si="23"/>
        <v>5.9815071246579115E-12</v>
      </c>
      <c r="CO66" s="4">
        <f t="shared" si="15"/>
        <v>5.9865669269242788E-12</v>
      </c>
      <c r="CP66" s="4">
        <f t="shared" si="15"/>
        <v>5.9916312173871247E-12</v>
      </c>
      <c r="CQ66" s="4">
        <f t="shared" si="15"/>
        <v>5.9967000000000025E-12</v>
      </c>
    </row>
    <row r="67" spans="1:95">
      <c r="A67" s="3">
        <v>65</v>
      </c>
      <c r="B67" s="17" t="str">
        <f>データファイル用!$B68</f>
        <v>ASHRAE Extruded Polystyrene Insulation</v>
      </c>
      <c r="C67" s="18">
        <f>データファイル用!G68</f>
        <v>2.9871000000000001E-12</v>
      </c>
      <c r="D67" s="19">
        <f>データファイル用!H68</f>
        <v>6.1105999999999997E-4</v>
      </c>
      <c r="E67" s="20">
        <f>データファイル用!I68</f>
        <v>-1.1353</v>
      </c>
      <c r="F67" s="42">
        <f>データファイル用!J68</f>
        <v>4.3906999999999998</v>
      </c>
      <c r="G67" s="4">
        <f t="shared" si="25"/>
        <v>0</v>
      </c>
      <c r="H67" s="4">
        <f t="shared" si="25"/>
        <v>9.5754034379568009E-13</v>
      </c>
      <c r="I67" s="4">
        <f t="shared" si="25"/>
        <v>9.5794675411675867E-13</v>
      </c>
      <c r="J67" s="4">
        <f t="shared" si="25"/>
        <v>9.5818803261387568E-13</v>
      </c>
      <c r="K67" s="4">
        <f t="shared" si="25"/>
        <v>9.5836840333492139E-13</v>
      </c>
      <c r="L67" s="4">
        <f t="shared" si="25"/>
        <v>9.5852673420927892E-13</v>
      </c>
      <c r="M67" s="4">
        <f t="shared" si="25"/>
        <v>9.5868783067911248E-13</v>
      </c>
      <c r="N67" s="4">
        <f t="shared" si="25"/>
        <v>9.5887353269975535E-13</v>
      </c>
      <c r="O67" s="4">
        <f t="shared" si="25"/>
        <v>9.5910647184210727E-13</v>
      </c>
      <c r="P67" s="4">
        <f t="shared" si="25"/>
        <v>9.5941173349276517E-13</v>
      </c>
      <c r="Q67" s="4">
        <f t="shared" si="25"/>
        <v>9.5981775678033118E-13</v>
      </c>
      <c r="R67" s="4">
        <f t="shared" si="25"/>
        <v>9.6035691220891522E-13</v>
      </c>
      <c r="S67" s="4">
        <f t="shared" si="25"/>
        <v>9.6106593154697413E-13</v>
      </c>
      <c r="T67" s="4">
        <f t="shared" si="25"/>
        <v>9.6198627067223112E-13</v>
      </c>
      <c r="U67" s="4">
        <f t="shared" si="25"/>
        <v>9.6316444874289736E-13</v>
      </c>
      <c r="V67" s="4">
        <f t="shared" si="25"/>
        <v>9.6465239110737454E-13</v>
      </c>
      <c r="W67" s="4">
        <f t="shared" si="24"/>
        <v>9.6650779644733523E-13</v>
      </c>
      <c r="X67" s="4">
        <f t="shared" si="24"/>
        <v>9.68794545967301E-13</v>
      </c>
      <c r="Y67" s="4">
        <f t="shared" si="24"/>
        <v>9.7158317197556172E-13</v>
      </c>
      <c r="Z67" s="4">
        <f t="shared" si="24"/>
        <v>9.7495140405715995E-13</v>
      </c>
      <c r="AA67" s="4">
        <f t="shared" si="24"/>
        <v>9.789848128342687E-13</v>
      </c>
      <c r="AB67" s="4">
        <f t="shared" si="24"/>
        <v>9.8377757390394216E-13</v>
      </c>
      <c r="AC67" s="4">
        <f t="shared" si="24"/>
        <v>9.8943337793661566E-13</v>
      </c>
      <c r="AD67" s="4">
        <f t="shared" si="24"/>
        <v>9.9606651719956972E-13</v>
      </c>
      <c r="AE67" s="4">
        <f t="shared" si="24"/>
        <v>1.0038031840996522E-12</v>
      </c>
      <c r="AF67" s="4">
        <f t="shared" si="24"/>
        <v>1.0127830239512103E-12</v>
      </c>
      <c r="AG67" s="4">
        <f t="shared" si="24"/>
        <v>1.0231609923796584E-12</v>
      </c>
      <c r="AH67" s="4">
        <f t="shared" si="24"/>
        <v>1.0351095779737397E-12</v>
      </c>
      <c r="AI67" s="4">
        <f t="shared" si="24"/>
        <v>1.0488214635237806E-12</v>
      </c>
      <c r="AJ67" s="4">
        <f t="shared" si="24"/>
        <v>1.0645127151032897E-12</v>
      </c>
      <c r="AK67" s="4">
        <f t="shared" si="24"/>
        <v>1.0824266082368987E-12</v>
      </c>
      <c r="AL67" s="4">
        <f t="shared" si="27"/>
        <v>1.1028382255743604E-12</v>
      </c>
      <c r="AM67" s="4">
        <f t="shared" si="27"/>
        <v>1.1260599923202164E-12</v>
      </c>
      <c r="AN67" s="4">
        <f t="shared" si="27"/>
        <v>1.1524483560597633E-12</v>
      </c>
      <c r="AO67" s="4">
        <f t="shared" si="27"/>
        <v>1.1824118690754274E-12</v>
      </c>
      <c r="AP67" s="4">
        <f t="shared" si="27"/>
        <v>1.2164209970589641E-12</v>
      </c>
      <c r="AQ67" s="4">
        <f t="shared" si="27"/>
        <v>1.2550200626572312E-12</v>
      </c>
      <c r="AR67" s="4">
        <f t="shared" si="27"/>
        <v>1.298841841348933E-12</v>
      </c>
      <c r="AS67" s="4">
        <f t="shared" si="27"/>
        <v>1.3486254685040031E-12</v>
      </c>
      <c r="AT67" s="4">
        <f t="shared" si="27"/>
        <v>1.4052385005716401E-12</v>
      </c>
      <c r="AU67" s="4">
        <f t="shared" si="27"/>
        <v>1.4697042143011758E-12</v>
      </c>
      <c r="AV67" s="4">
        <f t="shared" si="27"/>
        <v>1.5432355449254354E-12</v>
      </c>
      <c r="AW67" s="4">
        <f t="shared" si="27"/>
        <v>1.6272774835884504E-12</v>
      </c>
      <c r="AX67" s="4">
        <f t="shared" si="27"/>
        <v>1.7235603120967817E-12</v>
      </c>
      <c r="AY67" s="4">
        <f t="shared" si="27"/>
        <v>1.8341667992947379E-12</v>
      </c>
      <c r="AZ67" s="4">
        <f t="shared" si="27"/>
        <v>1.9616174875938725E-12</v>
      </c>
      <c r="BA67" s="4">
        <f t="shared" si="27"/>
        <v>2.1089795579282983E-12</v>
      </c>
      <c r="BB67" s="4">
        <f t="shared" si="26"/>
        <v>2.2800066141737238E-12</v>
      </c>
      <c r="BC67" s="4">
        <f t="shared" si="26"/>
        <v>2.4793192691149698E-12</v>
      </c>
      <c r="BD67" s="4">
        <f t="shared" si="26"/>
        <v>2.4901246241594772E-12</v>
      </c>
      <c r="BE67" s="4">
        <f t="shared" si="26"/>
        <v>2.5010155058781102E-12</v>
      </c>
      <c r="BF67" s="4">
        <f t="shared" si="26"/>
        <v>2.511992719918056E-12</v>
      </c>
      <c r="BG67" s="4">
        <f t="shared" si="26"/>
        <v>2.5230570808527296E-12</v>
      </c>
      <c r="BH67" s="4">
        <f t="shared" si="26"/>
        <v>2.5342094122938022E-12</v>
      </c>
      <c r="BI67" s="4">
        <f t="shared" si="26"/>
        <v>2.5454505470047848E-12</v>
      </c>
      <c r="BJ67" s="4">
        <f t="shared" si="26"/>
        <v>2.5567813270161933E-12</v>
      </c>
      <c r="BK67" s="4">
        <f t="shared" si="26"/>
        <v>2.5682026037423155E-12</v>
      </c>
      <c r="BL67" s="4">
        <f t="shared" si="26"/>
        <v>2.5797152380996073E-12</v>
      </c>
      <c r="BM67" s="4">
        <f t="shared" si="26"/>
        <v>2.5913201006267464E-12</v>
      </c>
      <c r="BN67" s="4">
        <f t="shared" si="26"/>
        <v>2.603018071606353E-12</v>
      </c>
      <c r="BO67" s="4">
        <f t="shared" si="26"/>
        <v>2.6148100411884309E-12</v>
      </c>
      <c r="BP67" s="4">
        <f t="shared" si="26"/>
        <v>2.6266969095155226E-12</v>
      </c>
      <c r="BQ67" s="4">
        <f t="shared" si="19"/>
        <v>2.6386795868496312E-12</v>
      </c>
      <c r="BR67" s="4">
        <f t="shared" si="28"/>
        <v>2.6507589937009224E-12</v>
      </c>
      <c r="BS67" s="4">
        <f t="shared" si="28"/>
        <v>2.6629360609582364E-12</v>
      </c>
      <c r="BT67" s="4">
        <f t="shared" si="28"/>
        <v>2.6752117300214391E-12</v>
      </c>
      <c r="BU67" s="4">
        <f t="shared" si="28"/>
        <v>2.6875869529356427E-12</v>
      </c>
      <c r="BV67" s="4">
        <f t="shared" si="28"/>
        <v>2.7000626925273146E-12</v>
      </c>
      <c r="BW67" s="4">
        <f t="shared" si="28"/>
        <v>2.71263992254232E-12</v>
      </c>
      <c r="BX67" s="4">
        <f t="shared" si="28"/>
        <v>2.7253196277859141E-12</v>
      </c>
      <c r="BY67" s="4">
        <f t="shared" si="28"/>
        <v>2.7381028042647153E-12</v>
      </c>
      <c r="BZ67" s="4">
        <f t="shared" si="28"/>
        <v>2.7509904593307028E-12</v>
      </c>
      <c r="CA67" s="4">
        <f t="shared" si="28"/>
        <v>2.7639836118272531E-12</v>
      </c>
      <c r="CB67" s="4">
        <f t="shared" si="28"/>
        <v>2.7770832922372581E-12</v>
      </c>
      <c r="CC67" s="4">
        <f t="shared" si="28"/>
        <v>2.7902905428333497E-12</v>
      </c>
      <c r="CD67" s="4">
        <f t="shared" si="28"/>
        <v>2.8036064178302751E-12</v>
      </c>
      <c r="CE67" s="4">
        <f t="shared" si="28"/>
        <v>2.8170319835394399E-12</v>
      </c>
      <c r="CF67" s="4">
        <f t="shared" si="28"/>
        <v>2.8305683185256682E-12</v>
      </c>
      <c r="CG67" s="4">
        <f t="shared" si="28"/>
        <v>2.8442165137662049E-12</v>
      </c>
      <c r="CH67" s="4">
        <f t="shared" si="23"/>
        <v>2.857977672811996E-12</v>
      </c>
      <c r="CI67" s="4">
        <f t="shared" si="23"/>
        <v>2.8718529119512907E-12</v>
      </c>
      <c r="CJ67" s="4">
        <f t="shared" si="23"/>
        <v>2.8858433603755854E-12</v>
      </c>
      <c r="CK67" s="4">
        <f t="shared" si="23"/>
        <v>2.8999501603479681E-12</v>
      </c>
      <c r="CL67" s="4">
        <f t="shared" si="23"/>
        <v>2.9141744673738799E-12</v>
      </c>
      <c r="CM67" s="4">
        <f t="shared" si="23"/>
        <v>2.9285174503743419E-12</v>
      </c>
      <c r="CN67" s="4">
        <f t="shared" si="23"/>
        <v>2.9429802918616921E-12</v>
      </c>
      <c r="CO67" s="4">
        <f t="shared" si="15"/>
        <v>2.9575641881178532E-12</v>
      </c>
      <c r="CP67" s="4">
        <f t="shared" si="15"/>
        <v>2.9722703493751947E-12</v>
      </c>
      <c r="CQ67" s="4">
        <f t="shared" si="15"/>
        <v>2.9871000000000065E-12</v>
      </c>
    </row>
    <row r="68" spans="1:95">
      <c r="A68" s="3">
        <v>66</v>
      </c>
      <c r="B68" s="17" t="str">
        <f>データファイル用!$B69</f>
        <v>ASHRAE Spray Polyurethane Foam Insulation</v>
      </c>
      <c r="C68" s="18">
        <f>データファイル用!G69</f>
        <v>3.5810000000000002E-12</v>
      </c>
      <c r="D68" s="19">
        <f>データファイル用!H69</f>
        <v>2.6801E-4</v>
      </c>
      <c r="E68" s="20">
        <f>データファイル用!I69</f>
        <v>-0.46839999999999998</v>
      </c>
      <c r="F68" s="42">
        <f>データファイル用!J69</f>
        <v>1.3521000000000001</v>
      </c>
      <c r="G68" s="4">
        <f t="shared" si="25"/>
        <v>0</v>
      </c>
      <c r="H68" s="4">
        <f t="shared" si="25"/>
        <v>2.2446654682625252E-12</v>
      </c>
      <c r="I68" s="4">
        <f t="shared" si="25"/>
        <v>2.2533351602757794E-12</v>
      </c>
      <c r="J68" s="4">
        <f t="shared" si="25"/>
        <v>2.2635278151370163E-12</v>
      </c>
      <c r="K68" s="4">
        <f t="shared" si="25"/>
        <v>2.2749632509384466E-12</v>
      </c>
      <c r="L68" s="4">
        <f t="shared" si="25"/>
        <v>2.2874706988061107E-12</v>
      </c>
      <c r="M68" s="4">
        <f t="shared" si="25"/>
        <v>2.3009371938849721E-12</v>
      </c>
      <c r="N68" s="4">
        <f t="shared" si="25"/>
        <v>2.3152831273869646E-12</v>
      </c>
      <c r="O68" s="4">
        <f t="shared" si="25"/>
        <v>2.3304499151385684E-12</v>
      </c>
      <c r="P68" s="4">
        <f t="shared" si="25"/>
        <v>2.3463931387570155E-12</v>
      </c>
      <c r="Q68" s="4">
        <f t="shared" si="25"/>
        <v>2.3630784220029873E-12</v>
      </c>
      <c r="R68" s="4">
        <f t="shared" si="25"/>
        <v>2.3804787971198315E-12</v>
      </c>
      <c r="S68" s="4">
        <f t="shared" si="25"/>
        <v>2.3985729405881031E-12</v>
      </c>
      <c r="T68" s="4">
        <f t="shared" si="25"/>
        <v>2.4173439449754353E-12</v>
      </c>
      <c r="U68" s="4">
        <f t="shared" si="25"/>
        <v>2.4367784365858357E-12</v>
      </c>
      <c r="V68" s="4">
        <f t="shared" si="25"/>
        <v>2.45686592466158E-12</v>
      </c>
      <c r="W68" s="4">
        <f t="shared" si="24"/>
        <v>2.4775983106013027E-12</v>
      </c>
      <c r="X68" s="4">
        <f t="shared" si="24"/>
        <v>2.4989695107756947E-12</v>
      </c>
      <c r="Y68" s="4">
        <f t="shared" si="24"/>
        <v>2.5209751618853681E-12</v>
      </c>
      <c r="Z68" s="4">
        <f t="shared" si="24"/>
        <v>2.5436123875257566E-12</v>
      </c>
      <c r="AA68" s="4">
        <f t="shared" si="24"/>
        <v>2.5668796109577482E-12</v>
      </c>
      <c r="AB68" s="4">
        <f t="shared" si="24"/>
        <v>2.5907764033181841E-12</v>
      </c>
      <c r="AC68" s="4">
        <f t="shared" si="24"/>
        <v>2.6153033594021326E-12</v>
      </c>
      <c r="AD68" s="4">
        <f t="shared" si="24"/>
        <v>2.6404619951723484E-12</v>
      </c>
      <c r="AE68" s="4">
        <f t="shared" si="24"/>
        <v>2.6662546625904476E-12</v>
      </c>
      <c r="AF68" s="4">
        <f t="shared" si="24"/>
        <v>2.6926844784048636E-12</v>
      </c>
      <c r="AG68" s="4">
        <f t="shared" si="24"/>
        <v>2.7197552642943367E-12</v>
      </c>
      <c r="AH68" s="4">
        <f t="shared" si="24"/>
        <v>2.7474714963339334E-12</v>
      </c>
      <c r="AI68" s="4">
        <f t="shared" si="24"/>
        <v>2.7758382621786688E-12</v>
      </c>
      <c r="AJ68" s="4">
        <f t="shared" si="24"/>
        <v>2.8048612246860318E-12</v>
      </c>
      <c r="AK68" s="4">
        <f t="shared" si="24"/>
        <v>2.8345465909499558E-12</v>
      </c>
      <c r="AL68" s="4">
        <f t="shared" si="27"/>
        <v>2.8649010859142001E-12</v>
      </c>
      <c r="AM68" s="4">
        <f t="shared" si="27"/>
        <v>2.8959319298864253E-12</v>
      </c>
      <c r="AN68" s="4">
        <f t="shared" si="27"/>
        <v>2.9276468193956322E-12</v>
      </c>
      <c r="AO68" s="4">
        <f t="shared" si="27"/>
        <v>2.9600539109324418E-12</v>
      </c>
      <c r="AP68" s="4">
        <f t="shared" si="27"/>
        <v>2.9931618071894903E-12</v>
      </c>
      <c r="AQ68" s="4">
        <f t="shared" si="27"/>
        <v>3.0269795454821647E-12</v>
      </c>
      <c r="AR68" s="4">
        <f t="shared" si="27"/>
        <v>3.0615165880811648E-12</v>
      </c>
      <c r="AS68" s="4">
        <f t="shared" si="27"/>
        <v>3.0967828142303953E-12</v>
      </c>
      <c r="AT68" s="4">
        <f t="shared" si="27"/>
        <v>3.1327885136583057E-12</v>
      </c>
      <c r="AU68" s="4">
        <f t="shared" si="27"/>
        <v>3.1695443814194781E-12</v>
      </c>
      <c r="AV68" s="4">
        <f t="shared" si="27"/>
        <v>3.207061513927185E-12</v>
      </c>
      <c r="AW68" s="4">
        <f t="shared" si="27"/>
        <v>3.2453514060576037E-12</v>
      </c>
      <c r="AX68" s="4">
        <f t="shared" si="27"/>
        <v>3.2844259492232468E-12</v>
      </c>
      <c r="AY68" s="4">
        <f t="shared" si="27"/>
        <v>3.3242974303273307E-12</v>
      </c>
      <c r="AZ68" s="4">
        <f t="shared" si="27"/>
        <v>3.3649785315229084E-12</v>
      </c>
      <c r="BA68" s="4">
        <f t="shared" si="27"/>
        <v>3.4064823307108432E-12</v>
      </c>
      <c r="BB68" s="4">
        <f t="shared" si="26"/>
        <v>3.4488223027194935E-12</v>
      </c>
      <c r="BC68" s="4">
        <f t="shared" si="26"/>
        <v>3.4920123211165331E-12</v>
      </c>
      <c r="BD68" s="4">
        <f t="shared" si="26"/>
        <v>3.4941943900905097E-12</v>
      </c>
      <c r="BE68" s="4">
        <f t="shared" si="26"/>
        <v>3.4963786215940221E-12</v>
      </c>
      <c r="BF68" s="4">
        <f t="shared" si="26"/>
        <v>3.4985650174403532E-12</v>
      </c>
      <c r="BG68" s="4">
        <f t="shared" si="26"/>
        <v>3.5007535794453119E-12</v>
      </c>
      <c r="BH68" s="4">
        <f t="shared" si="26"/>
        <v>3.5029443094272362E-12</v>
      </c>
      <c r="BI68" s="4">
        <f t="shared" si="26"/>
        <v>3.5051372092069933E-12</v>
      </c>
      <c r="BJ68" s="4">
        <f t="shared" si="26"/>
        <v>3.5073322806079803E-12</v>
      </c>
      <c r="BK68" s="4">
        <f t="shared" si="26"/>
        <v>3.5095295254561243E-12</v>
      </c>
      <c r="BL68" s="4">
        <f t="shared" si="26"/>
        <v>3.5117289455798867E-12</v>
      </c>
      <c r="BM68" s="4">
        <f t="shared" si="26"/>
        <v>3.5139305428102613E-12</v>
      </c>
      <c r="BN68" s="4">
        <f t="shared" si="26"/>
        <v>3.5161343189807763E-12</v>
      </c>
      <c r="BO68" s="4">
        <f t="shared" si="26"/>
        <v>3.5183402759274955E-12</v>
      </c>
      <c r="BP68" s="4">
        <f t="shared" si="26"/>
        <v>3.520548415489019E-12</v>
      </c>
      <c r="BQ68" s="4">
        <f t="shared" si="19"/>
        <v>3.5227587395064852E-12</v>
      </c>
      <c r="BR68" s="4">
        <f t="shared" si="28"/>
        <v>3.5249712498235706E-12</v>
      </c>
      <c r="BS68" s="4">
        <f t="shared" si="28"/>
        <v>3.5271859482864931E-12</v>
      </c>
      <c r="BT68" s="4">
        <f t="shared" si="28"/>
        <v>3.5294028367440089E-12</v>
      </c>
      <c r="BU68" s="4">
        <f t="shared" si="28"/>
        <v>3.5316219170474195E-12</v>
      </c>
      <c r="BV68" s="4">
        <f t="shared" si="28"/>
        <v>3.5338431910505678E-12</v>
      </c>
      <c r="BW68" s="4">
        <f t="shared" si="28"/>
        <v>3.536066660609841E-12</v>
      </c>
      <c r="BX68" s="4">
        <f t="shared" si="28"/>
        <v>3.5382923275841736E-12</v>
      </c>
      <c r="BY68" s="4">
        <f t="shared" si="28"/>
        <v>3.540520193835044E-12</v>
      </c>
      <c r="BZ68" s="4">
        <f t="shared" si="28"/>
        <v>3.5427502612264829E-12</v>
      </c>
      <c r="CA68" s="4">
        <f t="shared" si="28"/>
        <v>3.5449825316250652E-12</v>
      </c>
      <c r="CB68" s="4">
        <f t="shared" si="28"/>
        <v>3.5472170068999188E-12</v>
      </c>
      <c r="CC68" s="4">
        <f t="shared" si="28"/>
        <v>3.5494536889227237E-12</v>
      </c>
      <c r="CD68" s="4">
        <f t="shared" si="28"/>
        <v>3.5516925795677112E-12</v>
      </c>
      <c r="CE68" s="4">
        <f t="shared" si="28"/>
        <v>3.5539336807116661E-12</v>
      </c>
      <c r="CF68" s="4">
        <f t="shared" si="28"/>
        <v>3.5561769942339301E-12</v>
      </c>
      <c r="CG68" s="4">
        <f t="shared" si="28"/>
        <v>3.5584225220163999E-12</v>
      </c>
      <c r="CH68" s="4">
        <f t="shared" si="23"/>
        <v>3.5606702659435292E-12</v>
      </c>
      <c r="CI68" s="4">
        <f t="shared" si="23"/>
        <v>3.5629202279023329E-12</v>
      </c>
      <c r="CJ68" s="4">
        <f t="shared" si="23"/>
        <v>3.5651724097823829E-12</v>
      </c>
      <c r="CK68" s="4">
        <f t="shared" si="23"/>
        <v>3.5674268134758151E-12</v>
      </c>
      <c r="CL68" s="4">
        <f t="shared" si="23"/>
        <v>3.5696834408773257E-12</v>
      </c>
      <c r="CM68" s="4">
        <f t="shared" si="23"/>
        <v>3.5719422938841767E-12</v>
      </c>
      <c r="CN68" s="4">
        <f t="shared" si="23"/>
        <v>3.5742033743961931E-12</v>
      </c>
      <c r="CO68" s="4">
        <f t="shared" si="15"/>
        <v>3.5764666843157679E-12</v>
      </c>
      <c r="CP68" s="4">
        <f t="shared" si="15"/>
        <v>3.5787322255478611E-12</v>
      </c>
      <c r="CQ68" s="4">
        <f t="shared" si="15"/>
        <v>3.581000000000001E-12</v>
      </c>
    </row>
    <row r="69" spans="1:95">
      <c r="A69" s="3">
        <v>67</v>
      </c>
      <c r="B69" s="17" t="str">
        <f>データファイル用!$B70</f>
        <v>ASHRAE Polyisocyanurate Insulation</v>
      </c>
      <c r="C69" s="18">
        <f>データファイル用!G70</f>
        <v>6.7089000000000002E-12</v>
      </c>
      <c r="D69" s="19">
        <f>データファイル用!H70</f>
        <v>3.0986E-3</v>
      </c>
      <c r="E69" s="20">
        <f>データファイル用!I70</f>
        <v>-0.70938000000000001</v>
      </c>
      <c r="F69" s="42">
        <f>データファイル用!J70</f>
        <v>0.60294999999999999</v>
      </c>
      <c r="G69" s="4">
        <f t="shared" si="25"/>
        <v>0</v>
      </c>
      <c r="H69" s="4">
        <f t="shared" si="25"/>
        <v>3.4868422152768221E-12</v>
      </c>
      <c r="I69" s="4">
        <f t="shared" si="25"/>
        <v>3.6180601976579416E-12</v>
      </c>
      <c r="J69" s="4">
        <f t="shared" si="25"/>
        <v>3.7262553566303345E-12</v>
      </c>
      <c r="K69" s="4">
        <f t="shared" si="25"/>
        <v>3.8226013749242769E-12</v>
      </c>
      <c r="L69" s="4">
        <f t="shared" si="25"/>
        <v>3.9114265277460373E-12</v>
      </c>
      <c r="M69" s="4">
        <f t="shared" si="25"/>
        <v>3.9949558732603013E-12</v>
      </c>
      <c r="N69" s="4">
        <f t="shared" si="25"/>
        <v>4.0745145251354294E-12</v>
      </c>
      <c r="O69" s="4">
        <f t="shared" si="25"/>
        <v>4.1509678193532285E-12</v>
      </c>
      <c r="P69" s="4">
        <f t="shared" si="25"/>
        <v>4.2249179793921269E-12</v>
      </c>
      <c r="Q69" s="4">
        <f t="shared" si="25"/>
        <v>4.2968041861463347E-12</v>
      </c>
      <c r="R69" s="4">
        <f t="shared" si="25"/>
        <v>4.3669584254169585E-12</v>
      </c>
      <c r="S69" s="4">
        <f t="shared" si="25"/>
        <v>4.4356388965018896E-12</v>
      </c>
      <c r="T69" s="4">
        <f t="shared" si="25"/>
        <v>4.5030511120069468E-12</v>
      </c>
      <c r="U69" s="4">
        <f t="shared" si="25"/>
        <v>4.5693618185206467E-12</v>
      </c>
      <c r="V69" s="4">
        <f t="shared" si="25"/>
        <v>4.6347085168534222E-12</v>
      </c>
      <c r="W69" s="4">
        <f t="shared" si="24"/>
        <v>4.6992061719265857E-12</v>
      </c>
      <c r="X69" s="4">
        <f t="shared" si="24"/>
        <v>4.762952064660582E-12</v>
      </c>
      <c r="Y69" s="4">
        <f t="shared" si="24"/>
        <v>4.8260293786588289E-12</v>
      </c>
      <c r="Z69" s="4">
        <f t="shared" si="24"/>
        <v>4.888509903065733E-12</v>
      </c>
      <c r="AA69" s="4">
        <f t="shared" si="24"/>
        <v>4.9504561040890063E-12</v>
      </c>
      <c r="AB69" s="4">
        <f t="shared" si="24"/>
        <v>5.0119227365923053E-12</v>
      </c>
      <c r="AC69" s="4">
        <f t="shared" si="24"/>
        <v>5.0729581147267116E-12</v>
      </c>
      <c r="AD69" s="4">
        <f t="shared" si="24"/>
        <v>5.133605125819112E-12</v>
      </c>
      <c r="AE69" s="4">
        <f t="shared" si="24"/>
        <v>5.1939020481988537E-12</v>
      </c>
      <c r="AF69" s="4">
        <f t="shared" si="24"/>
        <v>5.2538832173874428E-12</v>
      </c>
      <c r="AG69" s="4">
        <f t="shared" si="24"/>
        <v>5.3135795736476274E-12</v>
      </c>
      <c r="AH69" s="4">
        <f t="shared" si="24"/>
        <v>5.3730191157240721E-12</v>
      </c>
      <c r="AI69" s="4">
        <f t="shared" si="24"/>
        <v>5.4322272796897423E-12</v>
      </c>
      <c r="AJ69" s="4">
        <f t="shared" si="24"/>
        <v>5.4912272574642196E-12</v>
      </c>
      <c r="AK69" s="4">
        <f t="shared" si="24"/>
        <v>5.5500402663365208E-12</v>
      </c>
      <c r="AL69" s="4">
        <f t="shared" si="27"/>
        <v>5.608685778392281E-12</v>
      </c>
      <c r="AM69" s="4">
        <f t="shared" si="27"/>
        <v>5.6671817168959571E-12</v>
      </c>
      <c r="AN69" s="4">
        <f t="shared" si="27"/>
        <v>5.7255446252591193E-12</v>
      </c>
      <c r="AO69" s="4">
        <f t="shared" si="27"/>
        <v>5.7837898131262014E-12</v>
      </c>
      <c r="AP69" s="4">
        <f t="shared" si="27"/>
        <v>5.8419314832499791E-12</v>
      </c>
      <c r="AQ69" s="4">
        <f t="shared" si="27"/>
        <v>5.8999828421525917E-12</v>
      </c>
      <c r="AR69" s="4">
        <f t="shared" si="27"/>
        <v>5.9579561970311939E-12</v>
      </c>
      <c r="AS69" s="4">
        <f t="shared" si="27"/>
        <v>6.0158630409386543E-12</v>
      </c>
      <c r="AT69" s="4">
        <f t="shared" si="27"/>
        <v>6.0737141279249574E-12</v>
      </c>
      <c r="AU69" s="4">
        <f t="shared" si="27"/>
        <v>6.1315195395460145E-12</v>
      </c>
      <c r="AV69" s="4">
        <f t="shared" si="27"/>
        <v>6.1892887439196197E-12</v>
      </c>
      <c r="AW69" s="4">
        <f t="shared" si="27"/>
        <v>6.2470306483224836E-12</v>
      </c>
      <c r="AX69" s="4">
        <f t="shared" si="27"/>
        <v>6.3047536461694771E-12</v>
      </c>
      <c r="AY69" s="4">
        <f t="shared" si="27"/>
        <v>6.3624656590898308E-12</v>
      </c>
      <c r="AZ69" s="4">
        <f t="shared" si="27"/>
        <v>6.4201741747101492E-12</v>
      </c>
      <c r="BA69" s="4">
        <f t="shared" si="27"/>
        <v>6.4778862806664815E-12</v>
      </c>
      <c r="BB69" s="4">
        <f t="shared" si="26"/>
        <v>6.535608695294293E-12</v>
      </c>
      <c r="BC69" s="4">
        <f t="shared" si="26"/>
        <v>6.5933477953835384E-12</v>
      </c>
      <c r="BD69" s="4">
        <f t="shared" si="26"/>
        <v>6.5962352983764624E-12</v>
      </c>
      <c r="BE69" s="4">
        <f t="shared" si="26"/>
        <v>6.5991228590325937E-12</v>
      </c>
      <c r="BF69" s="4">
        <f t="shared" si="26"/>
        <v>6.6020104780877141E-12</v>
      </c>
      <c r="BG69" s="4">
        <f t="shared" si="26"/>
        <v>6.6048981562757882E-12</v>
      </c>
      <c r="BH69" s="4">
        <f t="shared" si="26"/>
        <v>6.607785894328967E-12</v>
      </c>
      <c r="BI69" s="4">
        <f t="shared" si="26"/>
        <v>6.6106736929775983E-12</v>
      </c>
      <c r="BJ69" s="4">
        <f t="shared" si="26"/>
        <v>6.6135615529502289E-12</v>
      </c>
      <c r="BK69" s="4">
        <f t="shared" si="26"/>
        <v>6.6164494749736112E-12</v>
      </c>
      <c r="BL69" s="4">
        <f t="shared" si="26"/>
        <v>6.6193374597727174E-12</v>
      </c>
      <c r="BM69" s="4">
        <f t="shared" si="26"/>
        <v>6.6222255080707358E-12</v>
      </c>
      <c r="BN69" s="4">
        <f t="shared" si="26"/>
        <v>6.6251136205890835E-12</v>
      </c>
      <c r="BO69" s="4">
        <f t="shared" si="26"/>
        <v>6.6280017980474134E-12</v>
      </c>
      <c r="BP69" s="4">
        <f t="shared" si="26"/>
        <v>6.6308900411636155E-12</v>
      </c>
      <c r="BQ69" s="4">
        <f t="shared" si="19"/>
        <v>6.6337783506538264E-12</v>
      </c>
      <c r="BR69" s="4">
        <f t="shared" si="28"/>
        <v>6.6366667272324409E-12</v>
      </c>
      <c r="BS69" s="4">
        <f t="shared" si="28"/>
        <v>6.6395551716121074E-12</v>
      </c>
      <c r="BT69" s="4">
        <f t="shared" si="28"/>
        <v>6.642443684503744E-12</v>
      </c>
      <c r="BU69" s="4">
        <f t="shared" si="28"/>
        <v>6.645332266616537E-12</v>
      </c>
      <c r="BV69" s="4">
        <f t="shared" si="28"/>
        <v>6.6482209186579576E-12</v>
      </c>
      <c r="BW69" s="4">
        <f t="shared" si="28"/>
        <v>6.6511096413337565E-12</v>
      </c>
      <c r="BX69" s="4">
        <f t="shared" si="28"/>
        <v>6.6539984353479758E-12</v>
      </c>
      <c r="BY69" s="4">
        <f t="shared" si="28"/>
        <v>6.6568873014029565E-12</v>
      </c>
      <c r="BZ69" s="4">
        <f t="shared" si="28"/>
        <v>6.6597762401993431E-12</v>
      </c>
      <c r="CA69" s="4">
        <f t="shared" si="28"/>
        <v>6.6626652524360889E-12</v>
      </c>
      <c r="CB69" s="4">
        <f t="shared" si="28"/>
        <v>6.665554338810461E-12</v>
      </c>
      <c r="CC69" s="4">
        <f t="shared" si="28"/>
        <v>6.6684435000180496E-12</v>
      </c>
      <c r="CD69" s="4">
        <f t="shared" si="28"/>
        <v>6.6713327367527768E-12</v>
      </c>
      <c r="CE69" s="4">
        <f t="shared" si="28"/>
        <v>6.6742220497068903E-12</v>
      </c>
      <c r="CF69" s="4">
        <f t="shared" si="28"/>
        <v>6.6771114395709856E-12</v>
      </c>
      <c r="CG69" s="4">
        <f t="shared" si="28"/>
        <v>6.6800009070339985E-12</v>
      </c>
      <c r="CH69" s="4">
        <f t="shared" si="23"/>
        <v>6.6828904527832191E-12</v>
      </c>
      <c r="CI69" s="4">
        <f t="shared" si="23"/>
        <v>6.6857800775042936E-12</v>
      </c>
      <c r="CJ69" s="4">
        <f t="shared" si="23"/>
        <v>6.6886697818812342E-12</v>
      </c>
      <c r="CK69" s="4">
        <f t="shared" si="23"/>
        <v>6.6915595665964197E-12</v>
      </c>
      <c r="CL69" s="4">
        <f t="shared" si="23"/>
        <v>6.6944494323306084E-12</v>
      </c>
      <c r="CM69" s="4">
        <f t="shared" si="23"/>
        <v>6.6973393797629325E-12</v>
      </c>
      <c r="CN69" s="4">
        <f t="shared" si="23"/>
        <v>6.7002294095709192E-12</v>
      </c>
      <c r="CO69" s="4">
        <f t="shared" si="15"/>
        <v>6.7031195224304825E-12</v>
      </c>
      <c r="CP69" s="4">
        <f t="shared" si="15"/>
        <v>6.7060097190159362E-12</v>
      </c>
      <c r="CQ69" s="4">
        <f t="shared" si="15"/>
        <v>6.7089000000000018E-12</v>
      </c>
    </row>
    <row r="70" spans="1:95">
      <c r="A70" s="3">
        <v>68</v>
      </c>
      <c r="B70" s="17" t="str">
        <f>データファイル用!$B71</f>
        <v>ASHRAE Low-density Polyurethane Foam Insulation</v>
      </c>
      <c r="C70" s="18">
        <f>データファイル用!G71</f>
        <v>8.8000000000000006E-11</v>
      </c>
      <c r="D70" s="19">
        <f>データファイル用!H71</f>
        <v>0</v>
      </c>
      <c r="E70" s="20">
        <f>データファイル用!I71</f>
        <v>0</v>
      </c>
      <c r="F70" s="42">
        <f>データファイル用!J71</f>
        <v>0</v>
      </c>
      <c r="G70" s="4">
        <f t="shared" si="25"/>
        <v>8.8000000000000006E-11</v>
      </c>
      <c r="H70" s="4">
        <f t="shared" si="25"/>
        <v>8.8000000000000006E-11</v>
      </c>
      <c r="I70" s="4">
        <f t="shared" si="25"/>
        <v>8.8000000000000006E-11</v>
      </c>
      <c r="J70" s="4">
        <f t="shared" si="25"/>
        <v>8.8000000000000006E-11</v>
      </c>
      <c r="K70" s="4">
        <f t="shared" si="25"/>
        <v>8.8000000000000006E-11</v>
      </c>
      <c r="L70" s="4">
        <f t="shared" si="25"/>
        <v>8.8000000000000006E-11</v>
      </c>
      <c r="M70" s="4">
        <f t="shared" si="25"/>
        <v>8.8000000000000006E-11</v>
      </c>
      <c r="N70" s="4">
        <f t="shared" si="25"/>
        <v>8.8000000000000006E-11</v>
      </c>
      <c r="O70" s="4">
        <f t="shared" si="25"/>
        <v>8.8000000000000006E-11</v>
      </c>
      <c r="P70" s="4">
        <f t="shared" si="25"/>
        <v>8.8000000000000006E-11</v>
      </c>
      <c r="Q70" s="4">
        <f t="shared" si="25"/>
        <v>8.8000000000000006E-11</v>
      </c>
      <c r="R70" s="4">
        <f t="shared" si="25"/>
        <v>8.8000000000000006E-11</v>
      </c>
      <c r="S70" s="4">
        <f t="shared" si="25"/>
        <v>8.8000000000000006E-11</v>
      </c>
      <c r="T70" s="4">
        <f t="shared" si="25"/>
        <v>8.8000000000000006E-11</v>
      </c>
      <c r="U70" s="4">
        <f t="shared" si="25"/>
        <v>8.8000000000000006E-11</v>
      </c>
      <c r="V70" s="4">
        <f t="shared" si="25"/>
        <v>8.8000000000000006E-11</v>
      </c>
      <c r="W70" s="4">
        <f t="shared" si="24"/>
        <v>8.8000000000000006E-11</v>
      </c>
      <c r="X70" s="4">
        <f t="shared" si="24"/>
        <v>8.8000000000000006E-11</v>
      </c>
      <c r="Y70" s="4">
        <f t="shared" si="24"/>
        <v>8.8000000000000006E-11</v>
      </c>
      <c r="Z70" s="4">
        <f t="shared" si="24"/>
        <v>8.8000000000000006E-11</v>
      </c>
      <c r="AA70" s="4">
        <f t="shared" si="24"/>
        <v>8.8000000000000006E-11</v>
      </c>
      <c r="AB70" s="4">
        <f t="shared" si="24"/>
        <v>8.8000000000000006E-11</v>
      </c>
      <c r="AC70" s="4">
        <f t="shared" si="24"/>
        <v>8.8000000000000006E-11</v>
      </c>
      <c r="AD70" s="4">
        <f t="shared" si="24"/>
        <v>8.8000000000000006E-11</v>
      </c>
      <c r="AE70" s="4">
        <f t="shared" si="24"/>
        <v>8.8000000000000006E-11</v>
      </c>
      <c r="AF70" s="4">
        <f t="shared" si="24"/>
        <v>8.8000000000000006E-11</v>
      </c>
      <c r="AG70" s="4">
        <f t="shared" si="24"/>
        <v>8.8000000000000006E-11</v>
      </c>
      <c r="AH70" s="4">
        <f t="shared" si="24"/>
        <v>8.8000000000000006E-11</v>
      </c>
      <c r="AI70" s="4">
        <f t="shared" si="24"/>
        <v>8.8000000000000006E-11</v>
      </c>
      <c r="AJ70" s="4">
        <f t="shared" si="24"/>
        <v>8.8000000000000006E-11</v>
      </c>
      <c r="AK70" s="4">
        <f t="shared" si="24"/>
        <v>8.8000000000000006E-11</v>
      </c>
      <c r="AL70" s="4">
        <f t="shared" si="27"/>
        <v>8.8000000000000006E-11</v>
      </c>
      <c r="AM70" s="4">
        <f t="shared" si="27"/>
        <v>8.8000000000000006E-11</v>
      </c>
      <c r="AN70" s="4">
        <f t="shared" si="27"/>
        <v>8.8000000000000006E-11</v>
      </c>
      <c r="AO70" s="4">
        <f t="shared" si="27"/>
        <v>8.8000000000000006E-11</v>
      </c>
      <c r="AP70" s="4">
        <f t="shared" si="27"/>
        <v>8.8000000000000006E-11</v>
      </c>
      <c r="AQ70" s="4">
        <f t="shared" si="27"/>
        <v>8.8000000000000006E-11</v>
      </c>
      <c r="AR70" s="4">
        <f t="shared" si="27"/>
        <v>8.8000000000000006E-11</v>
      </c>
      <c r="AS70" s="4">
        <f t="shared" si="27"/>
        <v>8.8000000000000006E-11</v>
      </c>
      <c r="AT70" s="4">
        <f t="shared" si="27"/>
        <v>8.8000000000000006E-11</v>
      </c>
      <c r="AU70" s="4">
        <f t="shared" si="27"/>
        <v>8.8000000000000006E-11</v>
      </c>
      <c r="AV70" s="4">
        <f t="shared" si="27"/>
        <v>8.8000000000000006E-11</v>
      </c>
      <c r="AW70" s="4">
        <f t="shared" si="27"/>
        <v>8.8000000000000006E-11</v>
      </c>
      <c r="AX70" s="4">
        <f t="shared" si="27"/>
        <v>8.8000000000000006E-11</v>
      </c>
      <c r="AY70" s="4">
        <f t="shared" si="27"/>
        <v>8.8000000000000006E-11</v>
      </c>
      <c r="AZ70" s="4">
        <f t="shared" si="27"/>
        <v>8.8000000000000006E-11</v>
      </c>
      <c r="BA70" s="4">
        <f t="shared" si="27"/>
        <v>8.8000000000000006E-11</v>
      </c>
      <c r="BB70" s="4">
        <f t="shared" si="26"/>
        <v>8.8000000000000006E-11</v>
      </c>
      <c r="BC70" s="4">
        <f t="shared" si="26"/>
        <v>8.8000000000000006E-11</v>
      </c>
      <c r="BD70" s="4">
        <f t="shared" si="26"/>
        <v>8.8000000000000006E-11</v>
      </c>
      <c r="BE70" s="4">
        <f t="shared" si="26"/>
        <v>8.8000000000000006E-11</v>
      </c>
      <c r="BF70" s="4">
        <f t="shared" si="26"/>
        <v>8.8000000000000006E-11</v>
      </c>
      <c r="BG70" s="4">
        <f t="shared" si="26"/>
        <v>8.8000000000000006E-11</v>
      </c>
      <c r="BH70" s="4">
        <f t="shared" si="26"/>
        <v>8.8000000000000006E-11</v>
      </c>
      <c r="BI70" s="4">
        <f t="shared" si="26"/>
        <v>8.8000000000000006E-11</v>
      </c>
      <c r="BJ70" s="4">
        <f t="shared" si="26"/>
        <v>8.8000000000000006E-11</v>
      </c>
      <c r="BK70" s="4">
        <f t="shared" si="26"/>
        <v>8.8000000000000006E-11</v>
      </c>
      <c r="BL70" s="4">
        <f t="shared" si="26"/>
        <v>8.8000000000000006E-11</v>
      </c>
      <c r="BM70" s="4">
        <f t="shared" si="26"/>
        <v>8.8000000000000006E-11</v>
      </c>
      <c r="BN70" s="4">
        <f t="shared" si="26"/>
        <v>8.8000000000000006E-11</v>
      </c>
      <c r="BO70" s="4">
        <f t="shared" si="26"/>
        <v>8.8000000000000006E-11</v>
      </c>
      <c r="BP70" s="4">
        <f t="shared" si="26"/>
        <v>8.8000000000000006E-11</v>
      </c>
      <c r="BQ70" s="4">
        <f t="shared" si="19"/>
        <v>8.8000000000000006E-11</v>
      </c>
      <c r="BR70" s="4">
        <f t="shared" si="28"/>
        <v>8.8000000000000006E-11</v>
      </c>
      <c r="BS70" s="4">
        <f t="shared" si="28"/>
        <v>8.8000000000000006E-11</v>
      </c>
      <c r="BT70" s="4">
        <f t="shared" si="28"/>
        <v>8.8000000000000006E-11</v>
      </c>
      <c r="BU70" s="4">
        <f t="shared" si="28"/>
        <v>8.8000000000000006E-11</v>
      </c>
      <c r="BV70" s="4">
        <f t="shared" si="28"/>
        <v>8.8000000000000006E-11</v>
      </c>
      <c r="BW70" s="4">
        <f t="shared" si="28"/>
        <v>8.8000000000000006E-11</v>
      </c>
      <c r="BX70" s="4">
        <f t="shared" si="28"/>
        <v>8.8000000000000006E-11</v>
      </c>
      <c r="BY70" s="4">
        <f t="shared" si="28"/>
        <v>8.8000000000000006E-11</v>
      </c>
      <c r="BZ70" s="4">
        <f t="shared" si="28"/>
        <v>8.8000000000000006E-11</v>
      </c>
      <c r="CA70" s="4">
        <f t="shared" si="28"/>
        <v>8.8000000000000006E-11</v>
      </c>
      <c r="CB70" s="4">
        <f t="shared" si="28"/>
        <v>8.8000000000000006E-11</v>
      </c>
      <c r="CC70" s="4">
        <f t="shared" si="28"/>
        <v>8.8000000000000006E-11</v>
      </c>
      <c r="CD70" s="4">
        <f t="shared" si="28"/>
        <v>8.8000000000000006E-11</v>
      </c>
      <c r="CE70" s="4">
        <f t="shared" si="28"/>
        <v>8.8000000000000006E-11</v>
      </c>
      <c r="CF70" s="4">
        <f t="shared" si="28"/>
        <v>8.8000000000000006E-11</v>
      </c>
      <c r="CG70" s="4">
        <f t="shared" si="28"/>
        <v>8.8000000000000006E-11</v>
      </c>
      <c r="CH70" s="4">
        <f t="shared" si="23"/>
        <v>8.8000000000000006E-11</v>
      </c>
      <c r="CI70" s="4">
        <f t="shared" si="23"/>
        <v>8.8000000000000006E-11</v>
      </c>
      <c r="CJ70" s="4">
        <f t="shared" si="23"/>
        <v>8.8000000000000006E-11</v>
      </c>
      <c r="CK70" s="4">
        <f t="shared" si="23"/>
        <v>8.8000000000000006E-11</v>
      </c>
      <c r="CL70" s="4">
        <f t="shared" si="23"/>
        <v>8.8000000000000006E-11</v>
      </c>
      <c r="CM70" s="4">
        <f t="shared" si="23"/>
        <v>8.8000000000000006E-11</v>
      </c>
      <c r="CN70" s="4">
        <f t="shared" si="23"/>
        <v>8.8000000000000006E-11</v>
      </c>
      <c r="CO70" s="4">
        <f t="shared" si="15"/>
        <v>8.8000000000000006E-11</v>
      </c>
      <c r="CP70" s="4">
        <f t="shared" si="15"/>
        <v>8.8000000000000006E-11</v>
      </c>
      <c r="CQ70" s="4">
        <f t="shared" si="15"/>
        <v>8.8000000000000006E-11</v>
      </c>
    </row>
    <row r="71" spans="1:95">
      <c r="A71" s="3">
        <v>69</v>
      </c>
      <c r="B71" s="17" t="str">
        <f>データファイル用!$B72</f>
        <v>ASHRAE #15 Felt</v>
      </c>
      <c r="C71" s="18">
        <f>データファイル用!G72</f>
        <v>2.2906999999999999E-12</v>
      </c>
      <c r="D71" s="19">
        <f>データファイル用!H72</f>
        <v>4.8381999999999999E-5</v>
      </c>
      <c r="E71" s="20">
        <f>データファイル用!I72</f>
        <v>-2.4329999999999998</v>
      </c>
      <c r="F71" s="42">
        <f>データファイル用!J72</f>
        <v>5.0298999999999996</v>
      </c>
      <c r="G71" s="4">
        <f t="shared" si="25"/>
        <v>0</v>
      </c>
      <c r="H71" s="4">
        <f t="shared" si="25"/>
        <v>2.0102383077956864E-13</v>
      </c>
      <c r="I71" s="4">
        <f t="shared" si="25"/>
        <v>2.0103061649358988E-13</v>
      </c>
      <c r="J71" s="4">
        <f t="shared" si="25"/>
        <v>2.0103486435489142E-13</v>
      </c>
      <c r="K71" s="4">
        <f t="shared" si="25"/>
        <v>2.0103879903258689E-13</v>
      </c>
      <c r="L71" s="4">
        <f t="shared" si="25"/>
        <v>2.0104404920616075E-13</v>
      </c>
      <c r="M71" s="4">
        <f t="shared" si="25"/>
        <v>2.0105268055214385E-13</v>
      </c>
      <c r="N71" s="4">
        <f t="shared" si="25"/>
        <v>2.0106756264469686E-13</v>
      </c>
      <c r="O71" s="4">
        <f t="shared" si="25"/>
        <v>2.0109261605961583E-13</v>
      </c>
      <c r="P71" s="4">
        <f t="shared" si="25"/>
        <v>2.0113302713895005E-13</v>
      </c>
      <c r="Q71" s="4">
        <f t="shared" si="25"/>
        <v>2.0119545329640212E-13</v>
      </c>
      <c r="R71" s="4">
        <f t="shared" si="25"/>
        <v>2.012882274872593E-13</v>
      </c>
      <c r="S71" s="4">
        <f t="shared" si="25"/>
        <v>2.0142156678666946E-13</v>
      </c>
      <c r="T71" s="4">
        <f t="shared" si="25"/>
        <v>2.0160778937917492E-13</v>
      </c>
      <c r="U71" s="4">
        <f t="shared" si="25"/>
        <v>2.0186154478662648E-13</v>
      </c>
      <c r="V71" s="4">
        <f t="shared" si="25"/>
        <v>2.0220006331114205E-13</v>
      </c>
      <c r="W71" s="4">
        <f t="shared" si="24"/>
        <v>2.0264343229406462E-13</v>
      </c>
      <c r="X71" s="4">
        <f t="shared" si="24"/>
        <v>2.0321490888107294E-13</v>
      </c>
      <c r="Y71" s="4">
        <f t="shared" si="24"/>
        <v>2.0394128159696692E-13</v>
      </c>
      <c r="Z71" s="4">
        <f t="shared" si="24"/>
        <v>2.0485329628175003E-13</v>
      </c>
      <c r="AA71" s="4">
        <f t="shared" si="24"/>
        <v>2.0598616598688849E-13</v>
      </c>
      <c r="AB71" s="4">
        <f t="shared" si="24"/>
        <v>2.0738018950850272E-13</v>
      </c>
      <c r="AC71" s="4">
        <f t="shared" si="24"/>
        <v>2.0908150966351927E-13</v>
      </c>
      <c r="AD71" s="4">
        <f t="shared" si="24"/>
        <v>2.1114305063780193E-13</v>
      </c>
      <c r="AE71" s="4">
        <f t="shared" si="24"/>
        <v>2.1362568436167176E-13</v>
      </c>
      <c r="AF71" s="4">
        <f t="shared" si="24"/>
        <v>2.1659968973987633E-13</v>
      </c>
      <c r="AG71" s="4">
        <f t="shared" si="24"/>
        <v>2.2014658684620006E-13</v>
      </c>
      <c r="AH71" s="4">
        <f t="shared" si="24"/>
        <v>2.2436145251058156E-13</v>
      </c>
      <c r="AI71" s="4">
        <f t="shared" si="24"/>
        <v>2.293558563503087E-13</v>
      </c>
      <c r="AJ71" s="4">
        <f t="shared" si="24"/>
        <v>2.3526160042658646E-13</v>
      </c>
      <c r="AK71" s="4">
        <f t="shared" si="24"/>
        <v>2.4223550588451518E-13</v>
      </c>
      <c r="AL71" s="4">
        <f t="shared" si="27"/>
        <v>2.5046557265351051E-13</v>
      </c>
      <c r="AM71" s="4">
        <f t="shared" si="27"/>
        <v>2.601789529157274E-13</v>
      </c>
      <c r="AN71" s="4">
        <f t="shared" si="27"/>
        <v>2.7165233922753873E-13</v>
      </c>
      <c r="AO71" s="4">
        <f t="shared" si="27"/>
        <v>2.8522559393245999E-13</v>
      </c>
      <c r="AP71" s="4">
        <f t="shared" si="27"/>
        <v>3.0131976753812632E-13</v>
      </c>
      <c r="AQ71" s="4">
        <f t="shared" si="27"/>
        <v>3.2046111454380655E-13</v>
      </c>
      <c r="AR71" s="4">
        <f t="shared" si="27"/>
        <v>3.4331338315469964E-13</v>
      </c>
      <c r="AS71" s="4">
        <f t="shared" si="27"/>
        <v>3.7072163346539722E-13</v>
      </c>
      <c r="AT71" s="4">
        <f t="shared" si="27"/>
        <v>4.0377228650654322E-13</v>
      </c>
      <c r="AU71" s="4">
        <f t="shared" si="27"/>
        <v>4.4387627367366672E-13</v>
      </c>
      <c r="AV71" s="4">
        <f t="shared" si="27"/>
        <v>4.9288543809332975E-13</v>
      </c>
      <c r="AW71" s="4">
        <f t="shared" si="27"/>
        <v>5.5325737128699212E-13</v>
      </c>
      <c r="AX71" s="4">
        <f t="shared" si="27"/>
        <v>6.2829168242184392E-13</v>
      </c>
      <c r="AY71" s="4">
        <f t="shared" si="27"/>
        <v>7.22472995480638E-13</v>
      </c>
      <c r="AZ71" s="4">
        <f t="shared" si="27"/>
        <v>8.4197559840156717E-13</v>
      </c>
      <c r="BA71" s="4">
        <f t="shared" si="27"/>
        <v>9.9541646036409989E-13</v>
      </c>
      <c r="BB71" s="4">
        <f t="shared" si="26"/>
        <v>1.1949956230455378E-12</v>
      </c>
      <c r="BC71" s="4">
        <f t="shared" si="26"/>
        <v>1.4582503679681697E-12</v>
      </c>
      <c r="BD71" s="4">
        <f t="shared" si="26"/>
        <v>1.4735001292451359E-12</v>
      </c>
      <c r="BE71" s="4">
        <f t="shared" si="26"/>
        <v>1.4889744579079321E-12</v>
      </c>
      <c r="BF71" s="4">
        <f t="shared" si="26"/>
        <v>1.5046772800332969E-12</v>
      </c>
      <c r="BG71" s="4">
        <f t="shared" si="26"/>
        <v>1.5206126001667397E-12</v>
      </c>
      <c r="BH71" s="4">
        <f t="shared" si="26"/>
        <v>1.5367845030685315E-12</v>
      </c>
      <c r="BI71" s="4">
        <f t="shared" si="26"/>
        <v>1.5531971555022326E-12</v>
      </c>
      <c r="BJ71" s="4">
        <f t="shared" si="26"/>
        <v>1.5698548080668632E-12</v>
      </c>
      <c r="BK71" s="4">
        <f t="shared" si="26"/>
        <v>1.5867617970738696E-12</v>
      </c>
      <c r="BL71" s="4">
        <f t="shared" si="26"/>
        <v>1.603922546470081E-12</v>
      </c>
      <c r="BM71" s="4">
        <f t="shared" si="26"/>
        <v>1.6213415698078595E-12</v>
      </c>
      <c r="BN71" s="4">
        <f t="shared" si="26"/>
        <v>1.6390234722637124E-12</v>
      </c>
      <c r="BO71" s="4">
        <f t="shared" si="26"/>
        <v>1.6569729527066404E-12</v>
      </c>
      <c r="BP71" s="4">
        <f t="shared" si="26"/>
        <v>1.6751948058175572E-12</v>
      </c>
      <c r="BQ71" s="4">
        <f t="shared" si="19"/>
        <v>1.6936939242611388E-12</v>
      </c>
      <c r="BR71" s="4">
        <f t="shared" si="28"/>
        <v>1.712475300911502E-12</v>
      </c>
      <c r="BS71" s="4">
        <f t="shared" si="28"/>
        <v>1.7315440311331632E-12</v>
      </c>
      <c r="BT71" s="4">
        <f t="shared" si="28"/>
        <v>1.7509053151187478E-12</v>
      </c>
      <c r="BU71" s="4">
        <f t="shared" si="28"/>
        <v>1.7705644602849885E-12</v>
      </c>
      <c r="BV71" s="4">
        <f t="shared" si="28"/>
        <v>1.7905268837285753E-12</v>
      </c>
      <c r="BW71" s="4">
        <f t="shared" si="28"/>
        <v>1.8107981147434718E-12</v>
      </c>
      <c r="BX71" s="4">
        <f t="shared" si="28"/>
        <v>1.8313837974013632E-12</v>
      </c>
      <c r="BY71" s="4">
        <f t="shared" si="28"/>
        <v>1.8522896931969494E-12</v>
      </c>
      <c r="BZ71" s="4">
        <f t="shared" si="28"/>
        <v>1.8735216837598306E-12</v>
      </c>
      <c r="CA71" s="4">
        <f t="shared" si="28"/>
        <v>1.8950857736348084E-12</v>
      </c>
      <c r="CB71" s="4">
        <f t="shared" si="28"/>
        <v>1.9169880931324582E-12</v>
      </c>
      <c r="CC71" s="4">
        <f t="shared" si="28"/>
        <v>1.9392349012518991E-12</v>
      </c>
      <c r="CD71" s="4">
        <f t="shared" si="28"/>
        <v>1.9618325886777188E-12</v>
      </c>
      <c r="CE71" s="4">
        <f t="shared" si="28"/>
        <v>1.9847876808531077E-12</v>
      </c>
      <c r="CF71" s="4">
        <f t="shared" si="28"/>
        <v>2.0081068411312718E-12</v>
      </c>
      <c r="CG71" s="4">
        <f t="shared" si="28"/>
        <v>2.0317968740072897E-12</v>
      </c>
      <c r="CH71" s="4">
        <f t="shared" si="23"/>
        <v>2.0558647284326275E-12</v>
      </c>
      <c r="CI71" s="4">
        <f t="shared" si="23"/>
        <v>2.0803175012145842E-12</v>
      </c>
      <c r="CJ71" s="4">
        <f t="shared" si="23"/>
        <v>2.1051624405030349E-12</v>
      </c>
      <c r="CK71" s="4">
        <f t="shared" si="23"/>
        <v>2.1304069493668622E-12</v>
      </c>
      <c r="CL71" s="4">
        <f t="shared" si="23"/>
        <v>2.1560585894625922E-12</v>
      </c>
      <c r="CM71" s="4">
        <f t="shared" si="23"/>
        <v>2.182125084797784E-12</v>
      </c>
      <c r="CN71" s="4">
        <f t="shared" si="23"/>
        <v>2.2086143255918109E-12</v>
      </c>
      <c r="CO71" s="4">
        <f t="shared" si="15"/>
        <v>2.2355343722367607E-12</v>
      </c>
      <c r="CP71" s="4">
        <f t="shared" si="15"/>
        <v>2.2628934593612464E-12</v>
      </c>
      <c r="CQ71" s="4">
        <f t="shared" si="15"/>
        <v>2.290700000000012E-12</v>
      </c>
    </row>
    <row r="72" spans="1:95">
      <c r="A72" s="3">
        <v>70</v>
      </c>
      <c r="B72" s="17" t="str">
        <f>データファイル用!$B73</f>
        <v>ASHRAE 10 min Paper</v>
      </c>
      <c r="C72" s="18">
        <f>データファイル用!G73</f>
        <v>9.2447E-13</v>
      </c>
      <c r="D72" s="19">
        <f>データファイル用!H73</f>
        <v>0.23758000000000001</v>
      </c>
      <c r="E72" s="20">
        <f>データファイル用!I73</f>
        <v>-2.4121000000000001</v>
      </c>
      <c r="F72" s="42">
        <f>データファイル用!J73</f>
        <v>1.6198999999999999</v>
      </c>
      <c r="G72" s="4">
        <f t="shared" si="25"/>
        <v>0</v>
      </c>
      <c r="H72" s="4">
        <f t="shared" si="25"/>
        <v>3.2850608454233971E-14</v>
      </c>
      <c r="I72" s="4">
        <f t="shared" si="25"/>
        <v>3.9075599663915567E-14</v>
      </c>
      <c r="J72" s="4">
        <f t="shared" si="25"/>
        <v>4.3554394213530314E-14</v>
      </c>
      <c r="K72" s="4">
        <f t="shared" si="25"/>
        <v>4.7341016884734115E-14</v>
      </c>
      <c r="L72" s="4">
        <f t="shared" si="25"/>
        <v>5.0802624040097853E-14</v>
      </c>
      <c r="M72" s="4">
        <f t="shared" si="25"/>
        <v>5.4117047178394143E-14</v>
      </c>
      <c r="N72" s="4">
        <f t="shared" si="25"/>
        <v>5.7387662171805701E-14</v>
      </c>
      <c r="O72" s="4">
        <f t="shared" si="25"/>
        <v>6.0682669101574064E-14</v>
      </c>
      <c r="P72" s="4">
        <f t="shared" si="25"/>
        <v>6.4051737461423965E-14</v>
      </c>
      <c r="Q72" s="4">
        <f t="shared" si="25"/>
        <v>6.7534128415619968E-14</v>
      </c>
      <c r="R72" s="4">
        <f t="shared" si="25"/>
        <v>7.1163089480221678E-14</v>
      </c>
      <c r="S72" s="4">
        <f t="shared" si="25"/>
        <v>7.4968436332780215E-14</v>
      </c>
      <c r="T72" s="4">
        <f t="shared" si="25"/>
        <v>7.8978180973427581E-14</v>
      </c>
      <c r="U72" s="4">
        <f t="shared" si="25"/>
        <v>8.321962793508749E-14</v>
      </c>
      <c r="V72" s="4">
        <f t="shared" si="25"/>
        <v>8.772016090715229E-14</v>
      </c>
      <c r="W72" s="4">
        <f t="shared" si="24"/>
        <v>9.2507844268771182E-14</v>
      </c>
      <c r="X72" s="4">
        <f t="shared" si="24"/>
        <v>9.7611912978749327E-14</v>
      </c>
      <c r="Y72" s="4">
        <f t="shared" si="24"/>
        <v>1.0306319629077078E-13</v>
      </c>
      <c r="Z72" s="4">
        <f t="shared" si="24"/>
        <v>1.0889450479920259E-13</v>
      </c>
      <c r="AA72" s="4">
        <f t="shared" si="24"/>
        <v>1.1514100091937182E-13</v>
      </c>
      <c r="AB72" s="4">
        <f t="shared" si="24"/>
        <v>1.2184056724268731E-13</v>
      </c>
      <c r="AC72" s="4">
        <f t="shared" si="24"/>
        <v>1.2903418375582396E-13</v>
      </c>
      <c r="AD72" s="4">
        <f t="shared" si="24"/>
        <v>1.3676632282027658E-13</v>
      </c>
      <c r="AE72" s="4">
        <f t="shared" si="24"/>
        <v>1.450853695808908E-13</v>
      </c>
      <c r="AF72" s="4">
        <f t="shared" si="24"/>
        <v>1.5404407481769916E-13</v>
      </c>
      <c r="AG72" s="4">
        <f t="shared" si="24"/>
        <v>1.6370004699860615E-13</v>
      </c>
      <c r="AH72" s="4">
        <f t="shared" si="24"/>
        <v>1.7411629032399239E-13</v>
      </c>
      <c r="AI72" s="4">
        <f t="shared" si="24"/>
        <v>1.8536179581303889E-13</v>
      </c>
      <c r="AJ72" s="4">
        <f t="shared" si="24"/>
        <v>1.9751219292688884E-13</v>
      </c>
      <c r="AK72" s="4">
        <f t="shared" si="24"/>
        <v>2.1065046983440898E-13</v>
      </c>
      <c r="AL72" s="4">
        <f t="shared" si="27"/>
        <v>2.2486777119275465E-13</v>
      </c>
      <c r="AM72" s="4">
        <f t="shared" si="27"/>
        <v>2.4026428323611E-13</v>
      </c>
      <c r="AN72" s="4">
        <f t="shared" si="27"/>
        <v>2.569502170471438E-13</v>
      </c>
      <c r="AO72" s="4">
        <f t="shared" si="27"/>
        <v>2.7504690213736867E-13</v>
      </c>
      <c r="AP72" s="4">
        <f t="shared" si="27"/>
        <v>2.9468800389973036E-13</v>
      </c>
      <c r="AQ72" s="4">
        <f t="shared" si="27"/>
        <v>3.1602088013862822E-13</v>
      </c>
      <c r="AR72" s="4">
        <f t="shared" si="27"/>
        <v>3.392080937526547E-13</v>
      </c>
      <c r="AS72" s="4">
        <f t="shared" si="27"/>
        <v>3.6442910077147974E-13</v>
      </c>
      <c r="AT72" s="4">
        <f t="shared" si="27"/>
        <v>3.9188213536306226E-13</v>
      </c>
      <c r="AU72" s="4">
        <f t="shared" si="27"/>
        <v>4.2178631616846368E-13</v>
      </c>
      <c r="AV72" s="4">
        <f t="shared" si="27"/>
        <v>4.5438400143247383E-13</v>
      </c>
      <c r="AW72" s="4">
        <f t="shared" si="27"/>
        <v>4.8994342392902889E-13</v>
      </c>
      <c r="AX72" s="4">
        <f t="shared" si="27"/>
        <v>5.2876164068837928E-13</v>
      </c>
      <c r="AY72" s="4">
        <f t="shared" si="27"/>
        <v>5.7116783708391143E-13</v>
      </c>
      <c r="AZ72" s="4">
        <f t="shared" si="27"/>
        <v>6.1752703000580464E-13</v>
      </c>
      <c r="BA72" s="4">
        <f t="shared" si="27"/>
        <v>6.6824422072264239E-13</v>
      </c>
      <c r="BB72" s="4">
        <f t="shared" si="26"/>
        <v>7.2376905470961866E-13</v>
      </c>
      <c r="BC72" s="4">
        <f t="shared" si="26"/>
        <v>7.8460105331645224E-13</v>
      </c>
      <c r="BD72" s="4">
        <f t="shared" si="26"/>
        <v>7.8779167252701712E-13</v>
      </c>
      <c r="BE72" s="4">
        <f t="shared" si="26"/>
        <v>7.9099700818171154E-13</v>
      </c>
      <c r="BF72" s="4">
        <f t="shared" si="26"/>
        <v>7.9421713395473801E-13</v>
      </c>
      <c r="BG72" s="4">
        <f t="shared" si="26"/>
        <v>7.9745212391357805E-13</v>
      </c>
      <c r="BH72" s="4">
        <f t="shared" si="26"/>
        <v>8.007020525212065E-13</v>
      </c>
      <c r="BI72" s="4">
        <f t="shared" si="26"/>
        <v>8.0396699463832083E-13</v>
      </c>
      <c r="BJ72" s="4">
        <f t="shared" si="26"/>
        <v>8.0724702552557959E-13</v>
      </c>
      <c r="BK72" s="4">
        <f t="shared" si="26"/>
        <v>8.1054222084585875E-13</v>
      </c>
      <c r="BL72" s="4">
        <f t="shared" si="26"/>
        <v>8.1385265666651839E-13</v>
      </c>
      <c r="BM72" s="4">
        <f t="shared" si="26"/>
        <v>8.1717840946168316E-13</v>
      </c>
      <c r="BN72" s="4">
        <f t="shared" si="26"/>
        <v>8.2051955611453652E-13</v>
      </c>
      <c r="BO72" s="4">
        <f t="shared" si="26"/>
        <v>8.2387617391963016E-13</v>
      </c>
      <c r="BP72" s="4">
        <f t="shared" si="26"/>
        <v>8.2724834058520252E-13</v>
      </c>
      <c r="BQ72" s="4">
        <f t="shared" si="19"/>
        <v>8.3063613423551644E-13</v>
      </c>
      <c r="BR72" s="4">
        <f t="shared" si="28"/>
        <v>8.340396334132076E-13</v>
      </c>
      <c r="BS72" s="4">
        <f t="shared" si="28"/>
        <v>8.374589170816462E-13</v>
      </c>
      <c r="BT72" s="4">
        <f t="shared" si="28"/>
        <v>8.4089406462731495E-13</v>
      </c>
      <c r="BU72" s="4">
        <f t="shared" si="28"/>
        <v>8.4434515586219887E-13</v>
      </c>
      <c r="BV72" s="4">
        <f t="shared" si="28"/>
        <v>8.4781227102619142E-13</v>
      </c>
      <c r="BW72" s="4">
        <f t="shared" si="28"/>
        <v>8.5129549078951215E-13</v>
      </c>
      <c r="BX72" s="4">
        <f t="shared" si="28"/>
        <v>8.5479489625514227E-13</v>
      </c>
      <c r="BY72" s="4">
        <f t="shared" si="28"/>
        <v>8.5831056896127036E-13</v>
      </c>
      <c r="BZ72" s="4">
        <f t="shared" si="28"/>
        <v>8.6184259088375584E-13</v>
      </c>
      <c r="CA72" s="4">
        <f t="shared" si="28"/>
        <v>8.6539104443860575E-13</v>
      </c>
      <c r="CB72" s="4">
        <f t="shared" si="28"/>
        <v>8.6895601248446581E-13</v>
      </c>
      <c r="CC72" s="4">
        <f t="shared" si="28"/>
        <v>8.7253757832512848E-13</v>
      </c>
      <c r="CD72" s="4">
        <f t="shared" si="28"/>
        <v>8.7613582571205171E-13</v>
      </c>
      <c r="CE72" s="4">
        <f t="shared" si="28"/>
        <v>8.7975083884689696E-13</v>
      </c>
      <c r="CF72" s="4">
        <f t="shared" si="28"/>
        <v>8.8338270238407918E-13</v>
      </c>
      <c r="CG72" s="4">
        <f t="shared" si="28"/>
        <v>8.8703150143333342E-13</v>
      </c>
      <c r="CH72" s="4">
        <f t="shared" si="23"/>
        <v>8.9069732156229695E-13</v>
      </c>
      <c r="CI72" s="4">
        <f t="shared" si="23"/>
        <v>8.9438024879910552E-13</v>
      </c>
      <c r="CJ72" s="4">
        <f t="shared" si="23"/>
        <v>8.9808036963500506E-13</v>
      </c>
      <c r="CK72" s="4">
        <f t="shared" si="23"/>
        <v>9.0179777102698011E-13</v>
      </c>
      <c r="CL72" s="4">
        <f t="shared" si="23"/>
        <v>9.0553254040039697E-13</v>
      </c>
      <c r="CM72" s="4">
        <f t="shared" si="23"/>
        <v>9.0928476565166291E-13</v>
      </c>
      <c r="CN72" s="4">
        <f t="shared" si="23"/>
        <v>9.1305453515089918E-13</v>
      </c>
      <c r="CO72" s="4">
        <f t="shared" si="15"/>
        <v>9.168419377446349E-13</v>
      </c>
      <c r="CP72" s="4">
        <f t="shared" si="15"/>
        <v>9.2064706275851034E-13</v>
      </c>
      <c r="CQ72" s="4">
        <f t="shared" si="15"/>
        <v>9.2447000000000141E-13</v>
      </c>
    </row>
    <row r="73" spans="1:95">
      <c r="A73" s="3">
        <v>71</v>
      </c>
      <c r="B73" s="17" t="str">
        <f>データファイル用!$B74</f>
        <v>ASHRAE 30 min Paper</v>
      </c>
      <c r="C73" s="18">
        <f>データファイル用!G74</f>
        <v>1.6061E-12</v>
      </c>
      <c r="D73" s="19">
        <f>データファイル用!H74</f>
        <v>0.35289999999999999</v>
      </c>
      <c r="E73" s="20">
        <f>データファイル用!I74</f>
        <v>-1.9686999999999999</v>
      </c>
      <c r="F73" s="42">
        <f>データファイル用!J74</f>
        <v>2.1236999999999999</v>
      </c>
      <c r="G73" s="4">
        <f t="shared" si="25"/>
        <v>0</v>
      </c>
      <c r="H73" s="4">
        <f t="shared" si="25"/>
        <v>5.6418471567064077E-14</v>
      </c>
      <c r="I73" s="4">
        <f t="shared" si="25"/>
        <v>7.2170991980498255E-14</v>
      </c>
      <c r="J73" s="4">
        <f t="shared" si="25"/>
        <v>8.3514124329777172E-14</v>
      </c>
      <c r="K73" s="4">
        <f t="shared" si="25"/>
        <v>9.2828459118686231E-14</v>
      </c>
      <c r="L73" s="4">
        <f t="shared" si="25"/>
        <v>1.0099684762702782E-13</v>
      </c>
      <c r="M73" s="4">
        <f t="shared" si="25"/>
        <v>1.084655062201142E-13</v>
      </c>
      <c r="N73" s="4">
        <f t="shared" si="25"/>
        <v>1.1550097156559928E-13</v>
      </c>
      <c r="O73" s="4">
        <f t="shared" si="25"/>
        <v>1.2228108712565277E-13</v>
      </c>
      <c r="P73" s="4">
        <f t="shared" si="25"/>
        <v>1.2893470301700335E-13</v>
      </c>
      <c r="Q73" s="4">
        <f t="shared" si="25"/>
        <v>1.3556155124399908E-13</v>
      </c>
      <c r="R73" s="4">
        <f t="shared" si="25"/>
        <v>1.4224324400367201E-13</v>
      </c>
      <c r="S73" s="4">
        <f t="shared" si="25"/>
        <v>1.4904985767133802E-13</v>
      </c>
      <c r="T73" s="4">
        <f t="shared" si="25"/>
        <v>1.5604414308632365E-13</v>
      </c>
      <c r="U73" s="4">
        <f t="shared" si="25"/>
        <v>1.632843814079022E-13</v>
      </c>
      <c r="V73" s="4">
        <f t="shared" si="25"/>
        <v>1.7082643207985077E-13</v>
      </c>
      <c r="W73" s="4">
        <f t="shared" si="24"/>
        <v>1.7872528387935528E-13</v>
      </c>
      <c r="X73" s="4">
        <f t="shared" si="24"/>
        <v>1.8703629542252836E-13</v>
      </c>
      <c r="Y73" s="4">
        <f t="shared" si="24"/>
        <v>1.9581624230066357E-13</v>
      </c>
      <c r="Z73" s="4">
        <f t="shared" si="24"/>
        <v>2.0512424805434487E-13</v>
      </c>
      <c r="AA73" s="4">
        <f t="shared" si="24"/>
        <v>2.150226524022581E-13</v>
      </c>
      <c r="AB73" s="4">
        <f t="shared" si="24"/>
        <v>2.2557785569556352E-13</v>
      </c>
      <c r="AC73" s="4">
        <f t="shared" si="24"/>
        <v>2.3686116974170487E-13</v>
      </c>
      <c r="AD73" s="4">
        <f t="shared" si="24"/>
        <v>2.4894969983143428E-13</v>
      </c>
      <c r="AE73" s="4">
        <f t="shared" si="24"/>
        <v>2.6192727979025515E-13</v>
      </c>
      <c r="AF73" s="4">
        <f t="shared" si="24"/>
        <v>2.7588548043903848E-13</v>
      </c>
      <c r="AG73" s="4">
        <f t="shared" si="24"/>
        <v>2.909247115579076E-13</v>
      </c>
      <c r="AH73" s="4">
        <f t="shared" si="24"/>
        <v>3.0715543804843843E-13</v>
      </c>
      <c r="AI73" s="4">
        <f t="shared" si="24"/>
        <v>3.2469953233861452E-13</v>
      </c>
      <c r="AJ73" s="4">
        <f t="shared" si="24"/>
        <v>3.4369178710284395E-13</v>
      </c>
      <c r="AK73" s="4">
        <f t="shared" si="24"/>
        <v>3.6428161505697583E-13</v>
      </c>
      <c r="AL73" s="4">
        <f t="shared" si="27"/>
        <v>3.8663496595551705E-13</v>
      </c>
      <c r="AM73" s="4">
        <f t="shared" si="27"/>
        <v>4.1093649501672422E-13</v>
      </c>
      <c r="AN73" s="4">
        <f t="shared" si="27"/>
        <v>4.3739202191095264E-13</v>
      </c>
      <c r="AO73" s="4">
        <f t="shared" si="27"/>
        <v>4.6623132527649227E-13</v>
      </c>
      <c r="AP73" s="4">
        <f t="shared" si="27"/>
        <v>4.9771132461204266E-13</v>
      </c>
      <c r="AQ73" s="4">
        <f t="shared" si="27"/>
        <v>5.3211970950489703E-13</v>
      </c>
      <c r="AR73" s="4">
        <f t="shared" si="27"/>
        <v>5.6977908569386577E-13</v>
      </c>
      <c r="AS73" s="4">
        <f t="shared" si="27"/>
        <v>6.1105171868298826E-13</v>
      </c>
      <c r="AT73" s="4">
        <f t="shared" si="27"/>
        <v>6.5634496881235091E-13</v>
      </c>
      <c r="AU73" s="4">
        <f t="shared" si="27"/>
        <v>7.0611752721030728E-13</v>
      </c>
      <c r="AV73" s="4">
        <f t="shared" si="27"/>
        <v>7.6088658032090032E-13</v>
      </c>
      <c r="AW73" s="4">
        <f t="shared" si="27"/>
        <v>8.2123605222809235E-13</v>
      </c>
      <c r="AX73" s="4">
        <f t="shared" si="27"/>
        <v>8.8782609939062389E-13</v>
      </c>
      <c r="AY73" s="4">
        <f t="shared" si="27"/>
        <v>9.6140406238353035E-13</v>
      </c>
      <c r="AZ73" s="4">
        <f t="shared" si="27"/>
        <v>1.0428171146838468E-12</v>
      </c>
      <c r="BA73" s="4">
        <f t="shared" si="27"/>
        <v>1.1330268904812873E-12</v>
      </c>
      <c r="BB73" s="4">
        <f t="shared" si="26"/>
        <v>1.2331264231914095E-12</v>
      </c>
      <c r="BC73" s="4">
        <f t="shared" si="26"/>
        <v>1.3443597853034001E-12</v>
      </c>
      <c r="BD73" s="4">
        <f t="shared" si="26"/>
        <v>1.3502383442019102E-12</v>
      </c>
      <c r="BE73" s="4">
        <f t="shared" si="26"/>
        <v>1.356148430438168E-12</v>
      </c>
      <c r="BF73" s="4">
        <f t="shared" si="26"/>
        <v>1.3620902347645745E-12</v>
      </c>
      <c r="BG73" s="4">
        <f t="shared" si="26"/>
        <v>1.3680639491991298E-12</v>
      </c>
      <c r="BH73" s="4">
        <f t="shared" si="26"/>
        <v>1.3740697670344931E-12</v>
      </c>
      <c r="BI73" s="4">
        <f t="shared" si="26"/>
        <v>1.3801078828471142E-12</v>
      </c>
      <c r="BJ73" s="4">
        <f t="shared" si="26"/>
        <v>1.3861784925064333E-12</v>
      </c>
      <c r="BK73" s="4">
        <f t="shared" si="26"/>
        <v>1.3922817931841519E-12</v>
      </c>
      <c r="BL73" s="4">
        <f t="shared" si="26"/>
        <v>1.3984179833635727E-12</v>
      </c>
      <c r="BM73" s="4">
        <f t="shared" si="26"/>
        <v>1.4045872628490131E-12</v>
      </c>
      <c r="BN73" s="4">
        <f t="shared" si="26"/>
        <v>1.4107898327752895E-12</v>
      </c>
      <c r="BO73" s="4">
        <f t="shared" si="26"/>
        <v>1.4170258956172737E-12</v>
      </c>
      <c r="BP73" s="4">
        <f t="shared" si="26"/>
        <v>1.4232956551995244E-12</v>
      </c>
      <c r="BQ73" s="4">
        <f t="shared" si="19"/>
        <v>1.4295993167059904E-12</v>
      </c>
      <c r="BR73" s="4">
        <f t="shared" si="28"/>
        <v>1.4359370866897887E-12</v>
      </c>
      <c r="BS73" s="4">
        <f t="shared" si="28"/>
        <v>1.4423091730830583E-12</v>
      </c>
      <c r="BT73" s="4">
        <f t="shared" si="28"/>
        <v>1.4487157852068888E-12</v>
      </c>
      <c r="BU73" s="4">
        <f t="shared" si="28"/>
        <v>1.4551571337813255E-12</v>
      </c>
      <c r="BV73" s="4">
        <f t="shared" si="28"/>
        <v>1.4616334309354507E-12</v>
      </c>
      <c r="BW73" s="4">
        <f t="shared" si="28"/>
        <v>1.468144890217543E-12</v>
      </c>
      <c r="BX73" s="4">
        <f t="shared" si="28"/>
        <v>1.4746917266053149E-12</v>
      </c>
      <c r="BY73" s="4">
        <f t="shared" si="28"/>
        <v>1.4812741565162283E-12</v>
      </c>
      <c r="BZ73" s="4">
        <f t="shared" si="28"/>
        <v>1.4878923978178899E-12</v>
      </c>
      <c r="CA73" s="4">
        <f t="shared" si="28"/>
        <v>1.4945466698385253E-12</v>
      </c>
      <c r="CB73" s="4">
        <f t="shared" si="28"/>
        <v>1.5012371933775358E-12</v>
      </c>
      <c r="CC73" s="4">
        <f t="shared" si="28"/>
        <v>1.5079641907161355E-12</v>
      </c>
      <c r="CD73" s="4">
        <f t="shared" si="28"/>
        <v>1.514727885628069E-12</v>
      </c>
      <c r="CE73" s="4">
        <f t="shared" si="28"/>
        <v>1.5215285033904134E-12</v>
      </c>
      <c r="CF73" s="4">
        <f t="shared" si="28"/>
        <v>1.5283662707944641E-12</v>
      </c>
      <c r="CG73" s="4">
        <f t="shared" si="28"/>
        <v>1.5352414161567004E-12</v>
      </c>
      <c r="CH73" s="4">
        <f t="shared" si="23"/>
        <v>1.5421541693298423E-12</v>
      </c>
      <c r="CI73" s="4">
        <f t="shared" si="23"/>
        <v>1.549104761713987E-12</v>
      </c>
      <c r="CJ73" s="4">
        <f t="shared" si="23"/>
        <v>1.5560934262678337E-12</v>
      </c>
      <c r="CK73" s="4">
        <f t="shared" si="23"/>
        <v>1.5631203975199949E-12</v>
      </c>
      <c r="CL73" s="4">
        <f t="shared" si="23"/>
        <v>1.5701859115803947E-12</v>
      </c>
      <c r="CM73" s="4">
        <f t="shared" si="23"/>
        <v>1.5772902061517573E-12</v>
      </c>
      <c r="CN73" s="4">
        <f t="shared" si="23"/>
        <v>1.5844335205411798E-12</v>
      </c>
      <c r="CO73" s="4">
        <f t="shared" si="15"/>
        <v>1.5916160956718001E-12</v>
      </c>
      <c r="CP73" s="4">
        <f t="shared" si="15"/>
        <v>1.5988381740945501E-12</v>
      </c>
      <c r="CQ73" s="4">
        <f t="shared" si="15"/>
        <v>1.6061000000000032E-12</v>
      </c>
    </row>
    <row r="74" spans="1:95">
      <c r="A74" s="3">
        <v>72</v>
      </c>
      <c r="B74" s="17" t="str">
        <f>データファイル用!$B75</f>
        <v>ASHRAE 60 min Paper</v>
      </c>
      <c r="C74" s="18">
        <f>データファイル用!G75</f>
        <v>1.6709000000000001E-12</v>
      </c>
      <c r="D74" s="19">
        <f>データファイル用!H75</f>
        <v>2.3546000000000001E-3</v>
      </c>
      <c r="E74" s="20">
        <f>データファイル用!I75</f>
        <v>-1.2228000000000001</v>
      </c>
      <c r="F74" s="42">
        <f>データファイル用!J75</f>
        <v>1.2295</v>
      </c>
      <c r="G74" s="4">
        <f t="shared" si="25"/>
        <v>0</v>
      </c>
      <c r="H74" s="4">
        <f t="shared" si="25"/>
        <v>4.9229164092657726E-13</v>
      </c>
      <c r="I74" s="4">
        <f t="shared" si="25"/>
        <v>4.9974837549935389E-13</v>
      </c>
      <c r="J74" s="4">
        <f t="shared" si="25"/>
        <v>5.078370286984695E-13</v>
      </c>
      <c r="K74" s="4">
        <f t="shared" si="25"/>
        <v>5.1654427914006449E-13</v>
      </c>
      <c r="L74" s="4">
        <f t="shared" si="25"/>
        <v>5.2583252205118254E-13</v>
      </c>
      <c r="M74" s="4">
        <f t="shared" si="25"/>
        <v>5.3567400369273284E-13</v>
      </c>
      <c r="N74" s="4">
        <f t="shared" si="25"/>
        <v>5.4605063264769597E-13</v>
      </c>
      <c r="O74" s="4">
        <f t="shared" si="25"/>
        <v>5.5695161727993848E-13</v>
      </c>
      <c r="P74" s="4">
        <f t="shared" si="25"/>
        <v>5.6837158814960087E-13</v>
      </c>
      <c r="Q74" s="4">
        <f t="shared" si="25"/>
        <v>5.8030929037372983E-13</v>
      </c>
      <c r="R74" s="4">
        <f t="shared" si="25"/>
        <v>5.9276668487842312E-13</v>
      </c>
      <c r="S74" s="4">
        <f t="shared" si="25"/>
        <v>6.0574832357721568E-13</v>
      </c>
      <c r="T74" s="4">
        <f t="shared" si="25"/>
        <v>6.1926090780877254E-13</v>
      </c>
      <c r="U74" s="4">
        <f t="shared" si="25"/>
        <v>6.3331297138983954E-13</v>
      </c>
      <c r="V74" s="4">
        <f t="shared" ref="V74:AK82" si="29">$C74*IF(AND(V$2=0,$D74=0),1,V$2^$D74)*EXP($E74*(1-IF(AND(V$2=0,$F74=0),1,V$2^$F74)))</f>
        <v>6.4791465021390189E-13</v>
      </c>
      <c r="W74" s="4">
        <f t="shared" si="29"/>
        <v>6.630775132833032E-13</v>
      </c>
      <c r="X74" s="4">
        <f t="shared" si="29"/>
        <v>6.7881443828366997E-13</v>
      </c>
      <c r="Y74" s="4">
        <f t="shared" si="29"/>
        <v>6.9513952011244728E-13</v>
      </c>
      <c r="Z74" s="4">
        <f t="shared" si="29"/>
        <v>7.1206800426062505E-13</v>
      </c>
      <c r="AA74" s="4">
        <f t="shared" si="29"/>
        <v>7.2961623928540102E-13</v>
      </c>
      <c r="AB74" s="4">
        <f t="shared" si="29"/>
        <v>7.4780164420989298E-13</v>
      </c>
      <c r="AC74" s="4">
        <f t="shared" si="29"/>
        <v>7.6664268779811055E-13</v>
      </c>
      <c r="AD74" s="4">
        <f t="shared" si="29"/>
        <v>7.8615887744021028E-13</v>
      </c>
      <c r="AE74" s="4">
        <f t="shared" si="29"/>
        <v>8.0637075594847768E-13</v>
      </c>
      <c r="AF74" s="4">
        <f t="shared" si="29"/>
        <v>8.2729990497674686E-13</v>
      </c>
      <c r="AG74" s="4">
        <f t="shared" si="29"/>
        <v>8.4896895408068256E-13</v>
      </c>
      <c r="AH74" s="4">
        <f t="shared" si="29"/>
        <v>8.7140159466447201E-13</v>
      </c>
      <c r="AI74" s="4">
        <f t="shared" si="29"/>
        <v>8.9462259823234418E-13</v>
      </c>
      <c r="AJ74" s="4">
        <f t="shared" si="29"/>
        <v>9.1865783849582793E-13</v>
      </c>
      <c r="AK74" s="4">
        <f t="shared" si="29"/>
        <v>9.4353431699039982E-13</v>
      </c>
      <c r="AL74" s="4">
        <f t="shared" si="27"/>
        <v>9.6928019193565101E-13</v>
      </c>
      <c r="AM74" s="4">
        <f t="shared" si="27"/>
        <v>9.9592481013686617E-13</v>
      </c>
      <c r="AN74" s="4">
        <f t="shared" si="27"/>
        <v>1.0234987417769502E-12</v>
      </c>
      <c r="AO74" s="4">
        <f t="shared" si="27"/>
        <v>1.0520338179889531E-12</v>
      </c>
      <c r="AP74" s="4">
        <f t="shared" si="27"/>
        <v>1.0815631711332401E-12</v>
      </c>
      <c r="AQ74" s="4">
        <f t="shared" si="27"/>
        <v>1.1121212777313518E-12</v>
      </c>
      <c r="AR74" s="4">
        <f t="shared" si="27"/>
        <v>1.1437440040320156E-12</v>
      </c>
      <c r="AS74" s="4">
        <f t="shared" si="27"/>
        <v>1.1764686542046658E-12</v>
      </c>
      <c r="AT74" s="4">
        <f t="shared" si="27"/>
        <v>1.2103340211728906E-12</v>
      </c>
      <c r="AU74" s="4">
        <f t="shared" si="27"/>
        <v>1.24538044011509E-12</v>
      </c>
      <c r="AV74" s="4">
        <f t="shared" si="27"/>
        <v>1.2816498446727555E-12</v>
      </c>
      <c r="AW74" s="4">
        <f t="shared" si="27"/>
        <v>1.3191858259185178E-12</v>
      </c>
      <c r="AX74" s="4">
        <f t="shared" si="27"/>
        <v>1.3580336941467792E-12</v>
      </c>
      <c r="AY74" s="4">
        <f t="shared" si="27"/>
        <v>1.3982405435595605E-12</v>
      </c>
      <c r="AZ74" s="4">
        <f t="shared" si="27"/>
        <v>1.4398553199293514E-12</v>
      </c>
      <c r="BA74" s="4">
        <f t="shared" si="27"/>
        <v>1.4829288913294318E-12</v>
      </c>
      <c r="BB74" s="4">
        <f t="shared" si="26"/>
        <v>1.5275141220303982E-12</v>
      </c>
      <c r="BC74" s="4">
        <f t="shared" si="26"/>
        <v>1.5736659496696857E-12</v>
      </c>
      <c r="BD74" s="4">
        <f t="shared" si="26"/>
        <v>1.5760156789096731E-12</v>
      </c>
      <c r="BE74" s="4">
        <f t="shared" si="26"/>
        <v>1.5783694741865628E-12</v>
      </c>
      <c r="BF74" s="4">
        <f t="shared" si="26"/>
        <v>1.5807273427950014E-12</v>
      </c>
      <c r="BG74" s="4">
        <f t="shared" si="26"/>
        <v>1.5830892920436711E-12</v>
      </c>
      <c r="BH74" s="4">
        <f t="shared" si="26"/>
        <v>1.5854553292553201E-12</v>
      </c>
      <c r="BI74" s="4">
        <f t="shared" si="26"/>
        <v>1.5878254617667869E-12</v>
      </c>
      <c r="BJ74" s="4">
        <f t="shared" si="26"/>
        <v>1.5901996969290292E-12</v>
      </c>
      <c r="BK74" s="4">
        <f t="shared" si="26"/>
        <v>1.59257804210715E-12</v>
      </c>
      <c r="BL74" s="4">
        <f t="shared" si="26"/>
        <v>1.5949605046804248E-12</v>
      </c>
      <c r="BM74" s="4">
        <f t="shared" si="26"/>
        <v>1.5973470920423307E-12</v>
      </c>
      <c r="BN74" s="4">
        <f t="shared" si="26"/>
        <v>1.5997378116005699E-12</v>
      </c>
      <c r="BO74" s="4">
        <f t="shared" si="26"/>
        <v>1.6021326707771015E-12</v>
      </c>
      <c r="BP74" s="4">
        <f t="shared" si="26"/>
        <v>1.6045316770081651E-12</v>
      </c>
      <c r="BQ74" s="4">
        <f t="shared" si="19"/>
        <v>1.6069348377443118E-12</v>
      </c>
      <c r="BR74" s="4">
        <f t="shared" si="28"/>
        <v>1.6093421604504281E-12</v>
      </c>
      <c r="BS74" s="4">
        <f t="shared" si="28"/>
        <v>1.6117536526057669E-12</v>
      </c>
      <c r="BT74" s="4">
        <f t="shared" si="28"/>
        <v>1.6141693217039724E-12</v>
      </c>
      <c r="BU74" s="4">
        <f t="shared" si="28"/>
        <v>1.6165891752531102E-12</v>
      </c>
      <c r="BV74" s="4">
        <f t="shared" si="28"/>
        <v>1.6190132207756922E-12</v>
      </c>
      <c r="BW74" s="4">
        <f t="shared" si="28"/>
        <v>1.6214414658087078E-12</v>
      </c>
      <c r="BX74" s="4">
        <f t="shared" si="28"/>
        <v>1.6238739179036497E-12</v>
      </c>
      <c r="BY74" s="4">
        <f t="shared" si="28"/>
        <v>1.6263105846265417E-12</v>
      </c>
      <c r="BZ74" s="4">
        <f t="shared" si="28"/>
        <v>1.6287514735579681E-12</v>
      </c>
      <c r="CA74" s="4">
        <f t="shared" si="28"/>
        <v>1.6311965922931001E-12</v>
      </c>
      <c r="CB74" s="4">
        <f t="shared" si="28"/>
        <v>1.6336459484417253E-12</v>
      </c>
      <c r="CC74" s="4">
        <f t="shared" si="28"/>
        <v>1.6360995496282766E-12</v>
      </c>
      <c r="CD74" s="4">
        <f t="shared" si="28"/>
        <v>1.6385574034918565E-12</v>
      </c>
      <c r="CE74" s="4">
        <f t="shared" si="28"/>
        <v>1.6410195176862703E-12</v>
      </c>
      <c r="CF74" s="4">
        <f t="shared" si="28"/>
        <v>1.6434858998800519E-12</v>
      </c>
      <c r="CG74" s="4">
        <f t="shared" si="28"/>
        <v>1.6459565577564924E-12</v>
      </c>
      <c r="CH74" s="4">
        <f t="shared" si="23"/>
        <v>1.648431499013669E-12</v>
      </c>
      <c r="CI74" s="4">
        <f t="shared" si="23"/>
        <v>1.6509107313644731E-12</v>
      </c>
      <c r="CJ74" s="4">
        <f t="shared" si="23"/>
        <v>1.6533942625366396E-12</v>
      </c>
      <c r="CK74" s="4">
        <f t="shared" si="23"/>
        <v>1.6558821002727753E-12</v>
      </c>
      <c r="CL74" s="4">
        <f t="shared" si="23"/>
        <v>1.6583742523303871E-12</v>
      </c>
      <c r="CM74" s="4">
        <f t="shared" si="23"/>
        <v>1.660870726481911E-12</v>
      </c>
      <c r="CN74" s="4">
        <f t="shared" si="23"/>
        <v>1.6633715305147421E-12</v>
      </c>
      <c r="CO74" s="4">
        <f t="shared" si="15"/>
        <v>1.6658766722312616E-12</v>
      </c>
      <c r="CP74" s="4">
        <f t="shared" si="15"/>
        <v>1.6683861594488673E-12</v>
      </c>
      <c r="CQ74" s="4">
        <f t="shared" si="15"/>
        <v>1.6709000000000009E-12</v>
      </c>
    </row>
    <row r="75" spans="1:95">
      <c r="A75" s="3">
        <v>73</v>
      </c>
      <c r="B75" s="17" t="str">
        <f>データファイル用!$B76</f>
        <v>ASHRAE Spun Bonded Polyolefin Membrane</v>
      </c>
      <c r="C75" s="18">
        <f>データファイル用!G76</f>
        <v>6.1000000000000003E-13</v>
      </c>
      <c r="D75" s="19">
        <f>データファイル用!H76</f>
        <v>0</v>
      </c>
      <c r="E75" s="20">
        <f>データファイル用!I76</f>
        <v>0</v>
      </c>
      <c r="F75" s="42">
        <f>データファイル用!J76</f>
        <v>0</v>
      </c>
      <c r="G75" s="4">
        <f t="shared" ref="G75:V82" si="30">$C75*IF(AND(G$2=0,$D75=0),1,G$2^$D75)*EXP($E75*(1-IF(AND(G$2=0,$F75=0),1,G$2^$F75)))</f>
        <v>6.1000000000000003E-13</v>
      </c>
      <c r="H75" s="4">
        <f t="shared" si="30"/>
        <v>6.1000000000000003E-13</v>
      </c>
      <c r="I75" s="4">
        <f t="shared" si="30"/>
        <v>6.1000000000000003E-13</v>
      </c>
      <c r="J75" s="4">
        <f t="shared" si="30"/>
        <v>6.1000000000000003E-13</v>
      </c>
      <c r="K75" s="4">
        <f t="shared" si="30"/>
        <v>6.1000000000000003E-13</v>
      </c>
      <c r="L75" s="4">
        <f t="shared" si="30"/>
        <v>6.1000000000000003E-13</v>
      </c>
      <c r="M75" s="4">
        <f t="shared" si="30"/>
        <v>6.1000000000000003E-13</v>
      </c>
      <c r="N75" s="4">
        <f t="shared" si="30"/>
        <v>6.1000000000000003E-13</v>
      </c>
      <c r="O75" s="4">
        <f t="shared" si="30"/>
        <v>6.1000000000000003E-13</v>
      </c>
      <c r="P75" s="4">
        <f t="shared" si="30"/>
        <v>6.1000000000000003E-13</v>
      </c>
      <c r="Q75" s="4">
        <f t="shared" si="30"/>
        <v>6.1000000000000003E-13</v>
      </c>
      <c r="R75" s="4">
        <f t="shared" si="30"/>
        <v>6.1000000000000003E-13</v>
      </c>
      <c r="S75" s="4">
        <f t="shared" si="30"/>
        <v>6.1000000000000003E-13</v>
      </c>
      <c r="T75" s="4">
        <f t="shared" si="30"/>
        <v>6.1000000000000003E-13</v>
      </c>
      <c r="U75" s="4">
        <f t="shared" si="30"/>
        <v>6.1000000000000003E-13</v>
      </c>
      <c r="V75" s="4">
        <f t="shared" si="30"/>
        <v>6.1000000000000003E-13</v>
      </c>
      <c r="W75" s="4">
        <f t="shared" si="29"/>
        <v>6.1000000000000003E-13</v>
      </c>
      <c r="X75" s="4">
        <f t="shared" si="29"/>
        <v>6.1000000000000003E-13</v>
      </c>
      <c r="Y75" s="4">
        <f t="shared" si="29"/>
        <v>6.1000000000000003E-13</v>
      </c>
      <c r="Z75" s="4">
        <f t="shared" si="29"/>
        <v>6.1000000000000003E-13</v>
      </c>
      <c r="AA75" s="4">
        <f t="shared" si="29"/>
        <v>6.1000000000000003E-13</v>
      </c>
      <c r="AB75" s="4">
        <f t="shared" si="29"/>
        <v>6.1000000000000003E-13</v>
      </c>
      <c r="AC75" s="4">
        <f t="shared" si="29"/>
        <v>6.1000000000000003E-13</v>
      </c>
      <c r="AD75" s="4">
        <f t="shared" si="29"/>
        <v>6.1000000000000003E-13</v>
      </c>
      <c r="AE75" s="4">
        <f t="shared" si="29"/>
        <v>6.1000000000000003E-13</v>
      </c>
      <c r="AF75" s="4">
        <f t="shared" si="29"/>
        <v>6.1000000000000003E-13</v>
      </c>
      <c r="AG75" s="4">
        <f t="shared" si="29"/>
        <v>6.1000000000000003E-13</v>
      </c>
      <c r="AH75" s="4">
        <f t="shared" si="29"/>
        <v>6.1000000000000003E-13</v>
      </c>
      <c r="AI75" s="4">
        <f t="shared" si="29"/>
        <v>6.1000000000000003E-13</v>
      </c>
      <c r="AJ75" s="4">
        <f t="shared" si="29"/>
        <v>6.1000000000000003E-13</v>
      </c>
      <c r="AK75" s="4">
        <f t="shared" si="29"/>
        <v>6.1000000000000003E-13</v>
      </c>
      <c r="AL75" s="4">
        <f t="shared" si="27"/>
        <v>6.1000000000000003E-13</v>
      </c>
      <c r="AM75" s="4">
        <f t="shared" si="27"/>
        <v>6.1000000000000003E-13</v>
      </c>
      <c r="AN75" s="4">
        <f t="shared" si="27"/>
        <v>6.1000000000000003E-13</v>
      </c>
      <c r="AO75" s="4">
        <f t="shared" si="27"/>
        <v>6.1000000000000003E-13</v>
      </c>
      <c r="AP75" s="4">
        <f t="shared" si="27"/>
        <v>6.1000000000000003E-13</v>
      </c>
      <c r="AQ75" s="4">
        <f t="shared" si="27"/>
        <v>6.1000000000000003E-13</v>
      </c>
      <c r="AR75" s="4">
        <f t="shared" si="27"/>
        <v>6.1000000000000003E-13</v>
      </c>
      <c r="AS75" s="4">
        <f t="shared" si="27"/>
        <v>6.1000000000000003E-13</v>
      </c>
      <c r="AT75" s="4">
        <f t="shared" si="27"/>
        <v>6.1000000000000003E-13</v>
      </c>
      <c r="AU75" s="4">
        <f t="shared" si="27"/>
        <v>6.1000000000000003E-13</v>
      </c>
      <c r="AV75" s="4">
        <f t="shared" si="27"/>
        <v>6.1000000000000003E-13</v>
      </c>
      <c r="AW75" s="4">
        <f t="shared" si="27"/>
        <v>6.1000000000000003E-13</v>
      </c>
      <c r="AX75" s="4">
        <f t="shared" si="27"/>
        <v>6.1000000000000003E-13</v>
      </c>
      <c r="AY75" s="4">
        <f t="shared" si="27"/>
        <v>6.1000000000000003E-13</v>
      </c>
      <c r="AZ75" s="4">
        <f t="shared" si="27"/>
        <v>6.1000000000000003E-13</v>
      </c>
      <c r="BA75" s="4">
        <f t="shared" si="27"/>
        <v>6.1000000000000003E-13</v>
      </c>
      <c r="BB75" s="4">
        <f t="shared" si="26"/>
        <v>6.1000000000000003E-13</v>
      </c>
      <c r="BC75" s="4">
        <f t="shared" si="26"/>
        <v>6.1000000000000003E-13</v>
      </c>
      <c r="BD75" s="4">
        <f t="shared" si="26"/>
        <v>6.1000000000000003E-13</v>
      </c>
      <c r="BE75" s="4">
        <f t="shared" si="26"/>
        <v>6.1000000000000003E-13</v>
      </c>
      <c r="BF75" s="4">
        <f t="shared" si="26"/>
        <v>6.1000000000000003E-13</v>
      </c>
      <c r="BG75" s="4">
        <f t="shared" si="26"/>
        <v>6.1000000000000003E-13</v>
      </c>
      <c r="BH75" s="4">
        <f t="shared" si="26"/>
        <v>6.1000000000000003E-13</v>
      </c>
      <c r="BI75" s="4">
        <f t="shared" si="26"/>
        <v>6.1000000000000003E-13</v>
      </c>
      <c r="BJ75" s="4">
        <f t="shared" si="26"/>
        <v>6.1000000000000003E-13</v>
      </c>
      <c r="BK75" s="4">
        <f t="shared" si="26"/>
        <v>6.1000000000000003E-13</v>
      </c>
      <c r="BL75" s="4">
        <f t="shared" si="26"/>
        <v>6.1000000000000003E-13</v>
      </c>
      <c r="BM75" s="4">
        <f t="shared" si="26"/>
        <v>6.1000000000000003E-13</v>
      </c>
      <c r="BN75" s="4">
        <f t="shared" si="26"/>
        <v>6.1000000000000003E-13</v>
      </c>
      <c r="BO75" s="4">
        <f t="shared" si="26"/>
        <v>6.1000000000000003E-13</v>
      </c>
      <c r="BP75" s="4">
        <f t="shared" si="26"/>
        <v>6.1000000000000003E-13</v>
      </c>
      <c r="BQ75" s="4">
        <f t="shared" si="19"/>
        <v>6.1000000000000003E-13</v>
      </c>
      <c r="BR75" s="4">
        <f t="shared" si="28"/>
        <v>6.1000000000000003E-13</v>
      </c>
      <c r="BS75" s="4">
        <f t="shared" si="28"/>
        <v>6.1000000000000003E-13</v>
      </c>
      <c r="BT75" s="4">
        <f t="shared" si="28"/>
        <v>6.1000000000000003E-13</v>
      </c>
      <c r="BU75" s="4">
        <f t="shared" si="28"/>
        <v>6.1000000000000003E-13</v>
      </c>
      <c r="BV75" s="4">
        <f t="shared" si="28"/>
        <v>6.1000000000000003E-13</v>
      </c>
      <c r="BW75" s="4">
        <f t="shared" si="28"/>
        <v>6.1000000000000003E-13</v>
      </c>
      <c r="BX75" s="4">
        <f t="shared" si="28"/>
        <v>6.1000000000000003E-13</v>
      </c>
      <c r="BY75" s="4">
        <f t="shared" si="28"/>
        <v>6.1000000000000003E-13</v>
      </c>
      <c r="BZ75" s="4">
        <f t="shared" si="28"/>
        <v>6.1000000000000003E-13</v>
      </c>
      <c r="CA75" s="4">
        <f t="shared" si="28"/>
        <v>6.1000000000000003E-13</v>
      </c>
      <c r="CB75" s="4">
        <f t="shared" si="28"/>
        <v>6.1000000000000003E-13</v>
      </c>
      <c r="CC75" s="4">
        <f t="shared" si="28"/>
        <v>6.1000000000000003E-13</v>
      </c>
      <c r="CD75" s="4">
        <f t="shared" si="28"/>
        <v>6.1000000000000003E-13</v>
      </c>
      <c r="CE75" s="4">
        <f t="shared" si="28"/>
        <v>6.1000000000000003E-13</v>
      </c>
      <c r="CF75" s="4">
        <f t="shared" si="28"/>
        <v>6.1000000000000003E-13</v>
      </c>
      <c r="CG75" s="4">
        <f t="shared" si="28"/>
        <v>6.1000000000000003E-13</v>
      </c>
      <c r="CH75" s="4">
        <f t="shared" si="23"/>
        <v>6.1000000000000003E-13</v>
      </c>
      <c r="CI75" s="4">
        <f t="shared" si="23"/>
        <v>6.1000000000000003E-13</v>
      </c>
      <c r="CJ75" s="4">
        <f t="shared" si="23"/>
        <v>6.1000000000000003E-13</v>
      </c>
      <c r="CK75" s="4">
        <f t="shared" si="23"/>
        <v>6.1000000000000003E-13</v>
      </c>
      <c r="CL75" s="4">
        <f t="shared" si="23"/>
        <v>6.1000000000000003E-13</v>
      </c>
      <c r="CM75" s="4">
        <f t="shared" si="23"/>
        <v>6.1000000000000003E-13</v>
      </c>
      <c r="CN75" s="4">
        <f t="shared" si="23"/>
        <v>6.1000000000000003E-13</v>
      </c>
      <c r="CO75" s="4">
        <f t="shared" si="15"/>
        <v>6.1000000000000003E-13</v>
      </c>
      <c r="CP75" s="4">
        <f t="shared" si="15"/>
        <v>6.1000000000000003E-13</v>
      </c>
      <c r="CQ75" s="4">
        <f t="shared" si="15"/>
        <v>6.1000000000000003E-13</v>
      </c>
    </row>
    <row r="76" spans="1:95">
      <c r="A76" s="3">
        <v>74</v>
      </c>
      <c r="B76" s="17" t="str">
        <f>データファイル用!$B77</f>
        <v>ASHRAE Bonded Polyolefin Membrane (Crinkled )</v>
      </c>
      <c r="C76" s="18">
        <f>データファイル用!G77</f>
        <v>3.0999999999999999E-13</v>
      </c>
      <c r="D76" s="19">
        <f>データファイル用!H77</f>
        <v>0</v>
      </c>
      <c r="E76" s="20">
        <f>データファイル用!I77</f>
        <v>0</v>
      </c>
      <c r="F76" s="42">
        <f>データファイル用!J77</f>
        <v>0</v>
      </c>
      <c r="G76" s="4">
        <f t="shared" si="30"/>
        <v>3.0999999999999999E-13</v>
      </c>
      <c r="H76" s="4">
        <f t="shared" si="30"/>
        <v>3.0999999999999999E-13</v>
      </c>
      <c r="I76" s="4">
        <f t="shared" si="30"/>
        <v>3.0999999999999999E-13</v>
      </c>
      <c r="J76" s="4">
        <f t="shared" si="30"/>
        <v>3.0999999999999999E-13</v>
      </c>
      <c r="K76" s="4">
        <f t="shared" si="30"/>
        <v>3.0999999999999999E-13</v>
      </c>
      <c r="L76" s="4">
        <f t="shared" si="30"/>
        <v>3.0999999999999999E-13</v>
      </c>
      <c r="M76" s="4">
        <f t="shared" si="30"/>
        <v>3.0999999999999999E-13</v>
      </c>
      <c r="N76" s="4">
        <f t="shared" si="30"/>
        <v>3.0999999999999999E-13</v>
      </c>
      <c r="O76" s="4">
        <f t="shared" si="30"/>
        <v>3.0999999999999999E-13</v>
      </c>
      <c r="P76" s="4">
        <f t="shared" si="30"/>
        <v>3.0999999999999999E-13</v>
      </c>
      <c r="Q76" s="4">
        <f t="shared" si="30"/>
        <v>3.0999999999999999E-13</v>
      </c>
      <c r="R76" s="4">
        <f t="shared" si="30"/>
        <v>3.0999999999999999E-13</v>
      </c>
      <c r="S76" s="4">
        <f t="shared" si="30"/>
        <v>3.0999999999999999E-13</v>
      </c>
      <c r="T76" s="4">
        <f t="shared" si="30"/>
        <v>3.0999999999999999E-13</v>
      </c>
      <c r="U76" s="4">
        <f t="shared" si="30"/>
        <v>3.0999999999999999E-13</v>
      </c>
      <c r="V76" s="4">
        <f t="shared" si="30"/>
        <v>3.0999999999999999E-13</v>
      </c>
      <c r="W76" s="4">
        <f t="shared" si="29"/>
        <v>3.0999999999999999E-13</v>
      </c>
      <c r="X76" s="4">
        <f t="shared" si="29"/>
        <v>3.0999999999999999E-13</v>
      </c>
      <c r="Y76" s="4">
        <f t="shared" si="29"/>
        <v>3.0999999999999999E-13</v>
      </c>
      <c r="Z76" s="4">
        <f t="shared" si="29"/>
        <v>3.0999999999999999E-13</v>
      </c>
      <c r="AA76" s="4">
        <f t="shared" si="29"/>
        <v>3.0999999999999999E-13</v>
      </c>
      <c r="AB76" s="4">
        <f t="shared" si="29"/>
        <v>3.0999999999999999E-13</v>
      </c>
      <c r="AC76" s="4">
        <f t="shared" si="29"/>
        <v>3.0999999999999999E-13</v>
      </c>
      <c r="AD76" s="4">
        <f t="shared" si="29"/>
        <v>3.0999999999999999E-13</v>
      </c>
      <c r="AE76" s="4">
        <f t="shared" si="29"/>
        <v>3.0999999999999999E-13</v>
      </c>
      <c r="AF76" s="4">
        <f t="shared" si="29"/>
        <v>3.0999999999999999E-13</v>
      </c>
      <c r="AG76" s="4">
        <f t="shared" si="29"/>
        <v>3.0999999999999999E-13</v>
      </c>
      <c r="AH76" s="4">
        <f t="shared" si="29"/>
        <v>3.0999999999999999E-13</v>
      </c>
      <c r="AI76" s="4">
        <f t="shared" si="29"/>
        <v>3.0999999999999999E-13</v>
      </c>
      <c r="AJ76" s="4">
        <f t="shared" si="29"/>
        <v>3.0999999999999999E-13</v>
      </c>
      <c r="AK76" s="4">
        <f t="shared" si="29"/>
        <v>3.0999999999999999E-13</v>
      </c>
      <c r="AL76" s="4">
        <f t="shared" si="27"/>
        <v>3.0999999999999999E-13</v>
      </c>
      <c r="AM76" s="4">
        <f t="shared" si="27"/>
        <v>3.0999999999999999E-13</v>
      </c>
      <c r="AN76" s="4">
        <f t="shared" si="27"/>
        <v>3.0999999999999999E-13</v>
      </c>
      <c r="AO76" s="4">
        <f t="shared" si="27"/>
        <v>3.0999999999999999E-13</v>
      </c>
      <c r="AP76" s="4">
        <f t="shared" si="27"/>
        <v>3.0999999999999999E-13</v>
      </c>
      <c r="AQ76" s="4">
        <f t="shared" si="27"/>
        <v>3.0999999999999999E-13</v>
      </c>
      <c r="AR76" s="4">
        <f t="shared" si="27"/>
        <v>3.0999999999999999E-13</v>
      </c>
      <c r="AS76" s="4">
        <f t="shared" si="27"/>
        <v>3.0999999999999999E-13</v>
      </c>
      <c r="AT76" s="4">
        <f t="shared" si="27"/>
        <v>3.0999999999999999E-13</v>
      </c>
      <c r="AU76" s="4">
        <f t="shared" si="27"/>
        <v>3.0999999999999999E-13</v>
      </c>
      <c r="AV76" s="4">
        <f t="shared" si="27"/>
        <v>3.0999999999999999E-13</v>
      </c>
      <c r="AW76" s="4">
        <f t="shared" si="27"/>
        <v>3.0999999999999999E-13</v>
      </c>
      <c r="AX76" s="4">
        <f t="shared" si="27"/>
        <v>3.0999999999999999E-13</v>
      </c>
      <c r="AY76" s="4">
        <f t="shared" si="27"/>
        <v>3.0999999999999999E-13</v>
      </c>
      <c r="AZ76" s="4">
        <f t="shared" si="27"/>
        <v>3.0999999999999999E-13</v>
      </c>
      <c r="BA76" s="4">
        <f t="shared" si="27"/>
        <v>3.0999999999999999E-13</v>
      </c>
      <c r="BB76" s="4">
        <f t="shared" si="26"/>
        <v>3.0999999999999999E-13</v>
      </c>
      <c r="BC76" s="4">
        <f t="shared" si="26"/>
        <v>3.0999999999999999E-13</v>
      </c>
      <c r="BD76" s="4">
        <f t="shared" si="26"/>
        <v>3.0999999999999999E-13</v>
      </c>
      <c r="BE76" s="4">
        <f t="shared" si="26"/>
        <v>3.0999999999999999E-13</v>
      </c>
      <c r="BF76" s="4">
        <f t="shared" si="26"/>
        <v>3.0999999999999999E-13</v>
      </c>
      <c r="BG76" s="4">
        <f t="shared" si="26"/>
        <v>3.0999999999999999E-13</v>
      </c>
      <c r="BH76" s="4">
        <f t="shared" si="26"/>
        <v>3.0999999999999999E-13</v>
      </c>
      <c r="BI76" s="4">
        <f t="shared" si="26"/>
        <v>3.0999999999999999E-13</v>
      </c>
      <c r="BJ76" s="4">
        <f t="shared" si="26"/>
        <v>3.0999999999999999E-13</v>
      </c>
      <c r="BK76" s="4">
        <f t="shared" si="26"/>
        <v>3.0999999999999999E-13</v>
      </c>
      <c r="BL76" s="4">
        <f t="shared" si="26"/>
        <v>3.0999999999999999E-13</v>
      </c>
      <c r="BM76" s="4">
        <f t="shared" si="26"/>
        <v>3.0999999999999999E-13</v>
      </c>
      <c r="BN76" s="4">
        <f t="shared" si="26"/>
        <v>3.0999999999999999E-13</v>
      </c>
      <c r="BO76" s="4">
        <f t="shared" si="26"/>
        <v>3.0999999999999999E-13</v>
      </c>
      <c r="BP76" s="4">
        <f t="shared" si="26"/>
        <v>3.0999999999999999E-13</v>
      </c>
      <c r="BQ76" s="4">
        <f t="shared" ref="BQ76:CF82" si="31">$C76*IF(AND(BQ$2=0,$D76=0),1,BQ$2^$D76)*EXP($E76*(1-IF(AND(BQ$2=0,$F76=0),1,BQ$2^$F76)))</f>
        <v>3.0999999999999999E-13</v>
      </c>
      <c r="BR76" s="4">
        <f t="shared" si="31"/>
        <v>3.0999999999999999E-13</v>
      </c>
      <c r="BS76" s="4">
        <f t="shared" si="31"/>
        <v>3.0999999999999999E-13</v>
      </c>
      <c r="BT76" s="4">
        <f t="shared" si="28"/>
        <v>3.0999999999999999E-13</v>
      </c>
      <c r="BU76" s="4">
        <f t="shared" si="28"/>
        <v>3.0999999999999999E-13</v>
      </c>
      <c r="BV76" s="4">
        <f t="shared" si="28"/>
        <v>3.0999999999999999E-13</v>
      </c>
      <c r="BW76" s="4">
        <f t="shared" si="28"/>
        <v>3.0999999999999999E-13</v>
      </c>
      <c r="BX76" s="4">
        <f t="shared" si="28"/>
        <v>3.0999999999999999E-13</v>
      </c>
      <c r="BY76" s="4">
        <f t="shared" si="28"/>
        <v>3.0999999999999999E-13</v>
      </c>
      <c r="BZ76" s="4">
        <f t="shared" si="28"/>
        <v>3.0999999999999999E-13</v>
      </c>
      <c r="CA76" s="4">
        <f t="shared" si="28"/>
        <v>3.0999999999999999E-13</v>
      </c>
      <c r="CB76" s="4">
        <f t="shared" si="28"/>
        <v>3.0999999999999999E-13</v>
      </c>
      <c r="CC76" s="4">
        <f t="shared" si="28"/>
        <v>3.0999999999999999E-13</v>
      </c>
      <c r="CD76" s="4">
        <f t="shared" si="28"/>
        <v>3.0999999999999999E-13</v>
      </c>
      <c r="CE76" s="4">
        <f t="shared" si="28"/>
        <v>3.0999999999999999E-13</v>
      </c>
      <c r="CF76" s="4">
        <f t="shared" si="28"/>
        <v>3.0999999999999999E-13</v>
      </c>
      <c r="CG76" s="4">
        <f t="shared" si="28"/>
        <v>3.0999999999999999E-13</v>
      </c>
      <c r="CH76" s="4">
        <f t="shared" si="23"/>
        <v>3.0999999999999999E-13</v>
      </c>
      <c r="CI76" s="4">
        <f t="shared" si="23"/>
        <v>3.0999999999999999E-13</v>
      </c>
      <c r="CJ76" s="4">
        <f t="shared" si="23"/>
        <v>3.0999999999999999E-13</v>
      </c>
      <c r="CK76" s="4">
        <f t="shared" si="23"/>
        <v>3.0999999999999999E-13</v>
      </c>
      <c r="CL76" s="4">
        <f t="shared" si="23"/>
        <v>3.0999999999999999E-13</v>
      </c>
      <c r="CM76" s="4">
        <f t="shared" si="23"/>
        <v>3.0999999999999999E-13</v>
      </c>
      <c r="CN76" s="4">
        <f t="shared" si="23"/>
        <v>3.0999999999999999E-13</v>
      </c>
      <c r="CO76" s="4">
        <f t="shared" si="15"/>
        <v>3.0999999999999999E-13</v>
      </c>
      <c r="CP76" s="4">
        <f t="shared" si="15"/>
        <v>3.0999999999999999E-13</v>
      </c>
      <c r="CQ76" s="4">
        <f t="shared" si="15"/>
        <v>3.0999999999999999E-13</v>
      </c>
    </row>
    <row r="77" spans="1:95">
      <c r="A77" s="3">
        <v>75</v>
      </c>
      <c r="B77" s="17" t="str">
        <f>データファイル用!$B78</f>
        <v>ASHRAE Vinyl Wallpaper</v>
      </c>
      <c r="C77" s="18">
        <f>データファイル用!G78</f>
        <v>1.1383000000000001E-13</v>
      </c>
      <c r="D77" s="19">
        <f>データファイル用!H78</f>
        <v>9.7079999999999996E-3</v>
      </c>
      <c r="E77" s="20">
        <f>データファイル用!I78</f>
        <v>-2.1326999999999998</v>
      </c>
      <c r="F77" s="42">
        <f>データファイル用!J78</f>
        <v>0.86873999999999996</v>
      </c>
      <c r="G77" s="4">
        <f t="shared" si="30"/>
        <v>0</v>
      </c>
      <c r="H77" s="4">
        <f t="shared" si="30"/>
        <v>1.3947607714737409E-14</v>
      </c>
      <c r="I77" s="4">
        <f t="shared" si="30"/>
        <v>1.4893412586213931E-14</v>
      </c>
      <c r="J77" s="4">
        <f t="shared" si="30"/>
        <v>1.5796947608692723E-14</v>
      </c>
      <c r="K77" s="4">
        <f t="shared" si="30"/>
        <v>1.6696021411570243E-14</v>
      </c>
      <c r="L77" s="4">
        <f t="shared" si="30"/>
        <v>1.760497987560314E-14</v>
      </c>
      <c r="M77" s="4">
        <f t="shared" si="30"/>
        <v>1.8531464196373161E-14</v>
      </c>
      <c r="N77" s="4">
        <f t="shared" si="30"/>
        <v>1.9480383706589929E-14</v>
      </c>
      <c r="O77" s="4">
        <f t="shared" si="30"/>
        <v>2.0455312363753656E-14</v>
      </c>
      <c r="P77" s="4">
        <f t="shared" si="30"/>
        <v>2.1459095741844975E-14</v>
      </c>
      <c r="Q77" s="4">
        <f t="shared" si="30"/>
        <v>2.2494153726749305E-14</v>
      </c>
      <c r="R77" s="4">
        <f t="shared" si="30"/>
        <v>2.3562646986224339E-14</v>
      </c>
      <c r="S77" s="4">
        <f t="shared" si="30"/>
        <v>2.4666575582933548E-14</v>
      </c>
      <c r="T77" s="4">
        <f t="shared" si="30"/>
        <v>2.5807840954688445E-14</v>
      </c>
      <c r="U77" s="4">
        <f t="shared" si="30"/>
        <v>2.6988286834136081E-14</v>
      </c>
      <c r="V77" s="4">
        <f t="shared" si="30"/>
        <v>2.8209727433057016E-14</v>
      </c>
      <c r="W77" s="4">
        <f t="shared" si="29"/>
        <v>2.9473967600400809E-14</v>
      </c>
      <c r="X77" s="4">
        <f t="shared" si="29"/>
        <v>3.0782817745481349E-14</v>
      </c>
      <c r="Y77" s="4">
        <f t="shared" si="29"/>
        <v>3.2138105247775439E-14</v>
      </c>
      <c r="Z77" s="4">
        <f t="shared" si="29"/>
        <v>3.3541683451561717E-14</v>
      </c>
      <c r="AA77" s="4">
        <f t="shared" si="29"/>
        <v>3.499543896701528E-14</v>
      </c>
      <c r="AB77" s="4">
        <f t="shared" si="29"/>
        <v>3.6501297764364416E-14</v>
      </c>
      <c r="AC77" s="4">
        <f t="shared" si="29"/>
        <v>3.8061230396899509E-14</v>
      </c>
      <c r="AD77" s="4">
        <f t="shared" si="29"/>
        <v>3.9677256589407267E-14</v>
      </c>
      <c r="AE77" s="4">
        <f t="shared" si="29"/>
        <v>4.1351449361877072E-14</v>
      </c>
      <c r="AF77" s="4">
        <f t="shared" si="29"/>
        <v>4.3085938812554855E-14</v>
      </c>
      <c r="AG77" s="4">
        <f t="shared" si="29"/>
        <v>4.4882915652460701E-14</v>
      </c>
      <c r="AH77" s="4">
        <f t="shared" si="29"/>
        <v>4.6744634560810782E-14</v>
      </c>
      <c r="AI77" s="4">
        <f t="shared" si="29"/>
        <v>4.8673417414460268E-14</v>
      </c>
      <c r="AJ77" s="4">
        <f t="shared" si="29"/>
        <v>5.0671656432576432E-14</v>
      </c>
      <c r="AK77" s="4">
        <f t="shared" si="29"/>
        <v>5.2741817268962762E-14</v>
      </c>
      <c r="AL77" s="4">
        <f t="shared" si="27"/>
        <v>5.4886442077895411E-14</v>
      </c>
      <c r="AM77" s="4">
        <f t="shared" si="27"/>
        <v>5.7108152574392989E-14</v>
      </c>
      <c r="AN77" s="4">
        <f t="shared" si="27"/>
        <v>5.9409653106084262E-14</v>
      </c>
      <c r="AO77" s="4">
        <f t="shared" si="27"/>
        <v>6.1793733750962422E-14</v>
      </c>
      <c r="AP77" s="4">
        <f t="shared" si="27"/>
        <v>6.4263273453096113E-14</v>
      </c>
      <c r="AQ77" s="4">
        <f t="shared" si="27"/>
        <v>6.6821243206648611E-14</v>
      </c>
      <c r="AR77" s="4">
        <f t="shared" si="27"/>
        <v>6.9470709297216471E-14</v>
      </c>
      <c r="AS77" s="4">
        <f t="shared" si="27"/>
        <v>7.2214836608453329E-14</v>
      </c>
      <c r="AT77" s="4">
        <f t="shared" si="27"/>
        <v>7.5056892001125031E-14</v>
      </c>
      <c r="AU77" s="4">
        <f t="shared" si="27"/>
        <v>7.8000247771102316E-14</v>
      </c>
      <c r="AV77" s="4">
        <f t="shared" si="27"/>
        <v>8.1048385192296255E-14</v>
      </c>
      <c r="AW77" s="4">
        <f t="shared" si="27"/>
        <v>8.4204898150153462E-14</v>
      </c>
      <c r="AX77" s="4">
        <f t="shared" si="27"/>
        <v>8.7473496871029156E-14</v>
      </c>
      <c r="AY77" s="4">
        <f t="shared" si="27"/>
        <v>9.0858011752529104E-14</v>
      </c>
      <c r="AZ77" s="4">
        <f t="shared" si="27"/>
        <v>9.436239729974361E-14</v>
      </c>
      <c r="BA77" s="4">
        <f t="shared" ref="BA77:BP82" si="32">$C77*IF(AND(BA$2=0,$D77=0),1,BA$2^$D77)*EXP($E77*(1-IF(AND(BA$2=0,$F77=0),1,BA$2^$F77)))</f>
        <v>9.799073617217663E-14</v>
      </c>
      <c r="BB77" s="4">
        <f t="shared" si="32"/>
        <v>1.0174724334609306E-13</v>
      </c>
      <c r="BC77" s="4">
        <f t="shared" si="32"/>
        <v>1.0563627039696048E-13</v>
      </c>
      <c r="BD77" s="4">
        <f t="shared" si="32"/>
        <v>1.0583428036957405E-13</v>
      </c>
      <c r="BE77" s="4">
        <f t="shared" si="32"/>
        <v>1.0603263341407314E-13</v>
      </c>
      <c r="BF77" s="4">
        <f t="shared" si="32"/>
        <v>1.0623133010234917E-13</v>
      </c>
      <c r="BG77" s="4">
        <f t="shared" si="32"/>
        <v>1.0643037100720593E-13</v>
      </c>
      <c r="BH77" s="4">
        <f t="shared" si="32"/>
        <v>1.06629756702361E-13</v>
      </c>
      <c r="BI77" s="4">
        <f t="shared" si="32"/>
        <v>1.0682948776244731E-13</v>
      </c>
      <c r="BJ77" s="4">
        <f t="shared" si="32"/>
        <v>1.070295647630144E-13</v>
      </c>
      <c r="BK77" s="4">
        <f t="shared" si="32"/>
        <v>1.0722998828053014E-13</v>
      </c>
      <c r="BL77" s="4">
        <f t="shared" si="32"/>
        <v>1.0743075889238184E-13</v>
      </c>
      <c r="BM77" s="4">
        <f t="shared" si="32"/>
        <v>1.0763187717687801E-13</v>
      </c>
      <c r="BN77" s="4">
        <f t="shared" si="32"/>
        <v>1.0783334371324966E-13</v>
      </c>
      <c r="BO77" s="4">
        <f t="shared" si="32"/>
        <v>1.0803515908165181E-13</v>
      </c>
      <c r="BP77" s="4">
        <f t="shared" si="32"/>
        <v>1.0823732386316487E-13</v>
      </c>
      <c r="BQ77" s="4">
        <f t="shared" si="31"/>
        <v>1.0843983863979622E-13</v>
      </c>
      <c r="BR77" s="4">
        <f t="shared" si="31"/>
        <v>1.0864270399448161E-13</v>
      </c>
      <c r="BS77" s="4">
        <f t="shared" si="31"/>
        <v>1.0884592051108664E-13</v>
      </c>
      <c r="BT77" s="4">
        <f t="shared" si="28"/>
        <v>1.0904948877440817E-13</v>
      </c>
      <c r="BU77" s="4">
        <f t="shared" si="28"/>
        <v>1.0925340937017595E-13</v>
      </c>
      <c r="BV77" s="4">
        <f t="shared" si="28"/>
        <v>1.0945768288505392E-13</v>
      </c>
      <c r="BW77" s="4">
        <f t="shared" si="28"/>
        <v>1.0966230990664172E-13</v>
      </c>
      <c r="BX77" s="4">
        <f t="shared" si="28"/>
        <v>1.0986729102347624E-13</v>
      </c>
      <c r="BY77" s="4">
        <f t="shared" si="28"/>
        <v>1.1007262682503314E-13</v>
      </c>
      <c r="BZ77" s="4">
        <f t="shared" si="28"/>
        <v>1.1027831790172815E-13</v>
      </c>
      <c r="CA77" s="4">
        <f t="shared" si="28"/>
        <v>1.1048436484491867E-13</v>
      </c>
      <c r="CB77" s="4">
        <f t="shared" si="28"/>
        <v>1.1069076824690524E-13</v>
      </c>
      <c r="CC77" s="4">
        <f t="shared" si="28"/>
        <v>1.108975287009331E-13</v>
      </c>
      <c r="CD77" s="4">
        <f t="shared" si="28"/>
        <v>1.1110464680119356E-13</v>
      </c>
      <c r="CE77" s="4">
        <f t="shared" si="28"/>
        <v>1.1131212314282547E-13</v>
      </c>
      <c r="CF77" s="4">
        <f t="shared" si="28"/>
        <v>1.1151995832191699E-13</v>
      </c>
      <c r="CG77" s="4">
        <f t="shared" si="28"/>
        <v>1.1172815293550668E-13</v>
      </c>
      <c r="CH77" s="4">
        <f t="shared" si="23"/>
        <v>1.1193670758158536E-13</v>
      </c>
      <c r="CI77" s="4">
        <f t="shared" si="23"/>
        <v>1.1214562285909731E-13</v>
      </c>
      <c r="CJ77" s="4">
        <f t="shared" si="23"/>
        <v>1.1235489936794208E-13</v>
      </c>
      <c r="CK77" s="4">
        <f t="shared" si="23"/>
        <v>1.1256453770897579E-13</v>
      </c>
      <c r="CL77" s="4">
        <f t="shared" si="23"/>
        <v>1.1277453848401254E-13</v>
      </c>
      <c r="CM77" s="4">
        <f t="shared" si="23"/>
        <v>1.129849022958263E-13</v>
      </c>
      <c r="CN77" s="4">
        <f t="shared" si="23"/>
        <v>1.1319562974815202E-13</v>
      </c>
      <c r="CO77" s="4">
        <f t="shared" si="15"/>
        <v>1.1340672144568739E-13</v>
      </c>
      <c r="CP77" s="4">
        <f t="shared" si="15"/>
        <v>1.1361817799409423E-13</v>
      </c>
      <c r="CQ77" s="4">
        <f t="shared" si="15"/>
        <v>1.1383000000000011E-13</v>
      </c>
    </row>
    <row r="78" spans="1:95">
      <c r="A78" s="3">
        <v>76</v>
      </c>
      <c r="B78" s="17" t="str">
        <f>データファイル用!$B79</f>
        <v>ASHRAE Gypsum</v>
      </c>
      <c r="C78" s="18">
        <f>データファイル用!G79</f>
        <v>6.1233000000000005E-11</v>
      </c>
      <c r="D78" s="19">
        <f>データファイル用!H79</f>
        <v>2.2334E-2</v>
      </c>
      <c r="E78" s="20">
        <f>データファイル用!I79</f>
        <v>-0.71840999999999999</v>
      </c>
      <c r="F78" s="42">
        <f>データファイル用!J79</f>
        <v>1.2532000000000001</v>
      </c>
      <c r="G78" s="4">
        <f t="shared" si="30"/>
        <v>0</v>
      </c>
      <c r="H78" s="4">
        <f t="shared" si="30"/>
        <v>2.7501518690139458E-11</v>
      </c>
      <c r="I78" s="4">
        <f t="shared" si="30"/>
        <v>2.8137564589755118E-11</v>
      </c>
      <c r="J78" s="4">
        <f t="shared" si="30"/>
        <v>2.8633684660709386E-11</v>
      </c>
      <c r="K78" s="4">
        <f t="shared" si="30"/>
        <v>2.9083945625622825E-11</v>
      </c>
      <c r="L78" s="4">
        <f t="shared" si="30"/>
        <v>2.9516602731760775E-11</v>
      </c>
      <c r="M78" s="4">
        <f t="shared" si="30"/>
        <v>2.9943701982912103E-11</v>
      </c>
      <c r="N78" s="4">
        <f t="shared" si="30"/>
        <v>3.0371404311153865E-11</v>
      </c>
      <c r="O78" s="4">
        <f t="shared" si="30"/>
        <v>3.0803252767810871E-11</v>
      </c>
      <c r="P78" s="4">
        <f t="shared" si="30"/>
        <v>3.1241467054858864E-11</v>
      </c>
      <c r="Q78" s="4">
        <f t="shared" si="30"/>
        <v>3.1687536341408802E-11</v>
      </c>
      <c r="R78" s="4">
        <f t="shared" si="30"/>
        <v>3.2142519954665041E-11</v>
      </c>
      <c r="S78" s="4">
        <f t="shared" si="30"/>
        <v>3.2607212012730585E-11</v>
      </c>
      <c r="T78" s="4">
        <f t="shared" si="30"/>
        <v>3.3082237088571233E-11</v>
      </c>
      <c r="U78" s="4">
        <f t="shared" si="30"/>
        <v>3.3568108514483187E-11</v>
      </c>
      <c r="V78" s="4">
        <f t="shared" si="30"/>
        <v>3.4065265337600802E-11</v>
      </c>
      <c r="W78" s="4">
        <f t="shared" si="29"/>
        <v>3.4574096526347944E-11</v>
      </c>
      <c r="X78" s="4">
        <f t="shared" si="29"/>
        <v>3.5094957277490852E-11</v>
      </c>
      <c r="Y78" s="4">
        <f t="shared" si="29"/>
        <v>3.5628180273092736E-11</v>
      </c>
      <c r="Z78" s="4">
        <f t="shared" si="29"/>
        <v>3.6174083621117528E-11</v>
      </c>
      <c r="AA78" s="4">
        <f t="shared" si="29"/>
        <v>3.6732976567090152E-11</v>
      </c>
      <c r="AB78" s="4">
        <f t="shared" si="29"/>
        <v>3.7305163677118628E-11</v>
      </c>
      <c r="AC78" s="4">
        <f t="shared" si="29"/>
        <v>3.7890947953911831E-11</v>
      </c>
      <c r="AD78" s="4">
        <f t="shared" si="29"/>
        <v>3.849063319644908E-11</v>
      </c>
      <c r="AE78" s="4">
        <f t="shared" si="29"/>
        <v>3.9104525816249228E-11</v>
      </c>
      <c r="AF78" s="4">
        <f t="shared" si="29"/>
        <v>3.9732936258647742E-11</v>
      </c>
      <c r="AG78" s="4">
        <f t="shared" si="29"/>
        <v>4.0376180134070389E-11</v>
      </c>
      <c r="AH78" s="4">
        <f t="shared" si="29"/>
        <v>4.1034579134590673E-11</v>
      </c>
      <c r="AI78" s="4">
        <f t="shared" si="29"/>
        <v>4.1708461790432539E-11</v>
      </c>
      <c r="AJ78" s="4">
        <f t="shared" si="29"/>
        <v>4.2398164106557869E-11</v>
      </c>
      <c r="AK78" s="4">
        <f t="shared" si="29"/>
        <v>4.3104030109125342E-11</v>
      </c>
      <c r="AL78" s="4">
        <f t="shared" ref="AL78:BA82" si="33">$C78*IF(AND(AL$2=0,$D78=0),1,AL$2^$D78)*EXP($E78*(1-IF(AND(AL$2=0,$F78=0),1,AL$2^$F78)))</f>
        <v>4.3826412324140173E-11</v>
      </c>
      <c r="AM78" s="4">
        <f t="shared" si="33"/>
        <v>4.4565672205172002E-11</v>
      </c>
      <c r="AN78" s="4">
        <f t="shared" si="33"/>
        <v>4.5322180523012753E-11</v>
      </c>
      <c r="AO78" s="4">
        <f t="shared" si="33"/>
        <v>4.6096317727171628E-11</v>
      </c>
      <c r="AP78" s="4">
        <f t="shared" si="33"/>
        <v>4.6888474286877691E-11</v>
      </c>
      <c r="AQ78" s="4">
        <f t="shared" si="33"/>
        <v>4.7699051017579968E-11</v>
      </c>
      <c r="AR78" s="4">
        <f t="shared" si="33"/>
        <v>4.8528459397658984E-11</v>
      </c>
      <c r="AS78" s="4">
        <f t="shared" si="33"/>
        <v>4.9377121879087573E-11</v>
      </c>
      <c r="AT78" s="4">
        <f t="shared" si="33"/>
        <v>5.0245472195028733E-11</v>
      </c>
      <c r="AU78" s="4">
        <f t="shared" si="33"/>
        <v>5.1133955666778243E-11</v>
      </c>
      <c r="AV78" s="4">
        <f t="shared" si="33"/>
        <v>5.2043029512009321E-11</v>
      </c>
      <c r="AW78" s="4">
        <f t="shared" si="33"/>
        <v>5.2973163155925836E-11</v>
      </c>
      <c r="AX78" s="4">
        <f t="shared" si="33"/>
        <v>5.3924838546655401E-11</v>
      </c>
      <c r="AY78" s="4">
        <f t="shared" si="33"/>
        <v>5.4898550475998901E-11</v>
      </c>
      <c r="AZ78" s="4">
        <f t="shared" si="33"/>
        <v>5.5894806906483131E-11</v>
      </c>
      <c r="BA78" s="4">
        <f t="shared" si="33"/>
        <v>5.6914129305530293E-11</v>
      </c>
      <c r="BB78" s="4">
        <f t="shared" si="32"/>
        <v>5.7957052987453497E-11</v>
      </c>
      <c r="BC78" s="4">
        <f t="shared" si="32"/>
        <v>5.9024127463904838E-11</v>
      </c>
      <c r="BD78" s="4">
        <f t="shared" si="32"/>
        <v>5.9078125201096798E-11</v>
      </c>
      <c r="BE78" s="4">
        <f t="shared" si="32"/>
        <v>5.913218479382113E-11</v>
      </c>
      <c r="BF78" s="4">
        <f t="shared" si="32"/>
        <v>5.9186306313647622E-11</v>
      </c>
      <c r="BG78" s="4">
        <f t="shared" si="32"/>
        <v>5.9240489832239583E-11</v>
      </c>
      <c r="BH78" s="4">
        <f t="shared" si="32"/>
        <v>5.9294735421353948E-11</v>
      </c>
      <c r="BI78" s="4">
        <f t="shared" si="32"/>
        <v>5.9349043152841384E-11</v>
      </c>
      <c r="BJ78" s="4">
        <f t="shared" si="32"/>
        <v>5.9403413098646441E-11</v>
      </c>
      <c r="BK78" s="4">
        <f t="shared" si="32"/>
        <v>5.9457845330807606E-11</v>
      </c>
      <c r="BL78" s="4">
        <f t="shared" si="32"/>
        <v>5.9512339921457537E-11</v>
      </c>
      <c r="BM78" s="4">
        <f t="shared" si="32"/>
        <v>5.956689694282302E-11</v>
      </c>
      <c r="BN78" s="4">
        <f t="shared" si="32"/>
        <v>5.9621516467225272E-11</v>
      </c>
      <c r="BO78" s="4">
        <f t="shared" si="32"/>
        <v>5.9676198567079857E-11</v>
      </c>
      <c r="BP78" s="4">
        <f t="shared" si="32"/>
        <v>5.9730943314896988E-11</v>
      </c>
      <c r="BQ78" s="4">
        <f t="shared" si="31"/>
        <v>5.978575078328154E-11</v>
      </c>
      <c r="BR78" s="4">
        <f t="shared" si="31"/>
        <v>5.9840621044933175E-11</v>
      </c>
      <c r="BS78" s="4">
        <f t="shared" si="31"/>
        <v>5.9895554172646527E-11</v>
      </c>
      <c r="BT78" s="4">
        <f t="shared" si="28"/>
        <v>5.995055023931124E-11</v>
      </c>
      <c r="BU78" s="4">
        <f t="shared" si="28"/>
        <v>6.0005609317912134E-11</v>
      </c>
      <c r="BV78" s="4">
        <f t="shared" si="28"/>
        <v>6.0060731481529325E-11</v>
      </c>
      <c r="BW78" s="4">
        <f t="shared" si="28"/>
        <v>6.011591680333831E-11</v>
      </c>
      <c r="BX78" s="4">
        <f t="shared" si="28"/>
        <v>6.0171165356610142E-11</v>
      </c>
      <c r="BY78" s="4">
        <f t="shared" si="28"/>
        <v>6.0226477214711488E-11</v>
      </c>
      <c r="BZ78" s="4">
        <f t="shared" si="28"/>
        <v>6.0281852451104776E-11</v>
      </c>
      <c r="CA78" s="4">
        <f t="shared" si="28"/>
        <v>6.0337291139348347E-11</v>
      </c>
      <c r="CB78" s="4">
        <f t="shared" si="28"/>
        <v>6.0392793353096547E-11</v>
      </c>
      <c r="CC78" s="4">
        <f t="shared" si="28"/>
        <v>6.0448359166099804E-11</v>
      </c>
      <c r="CD78" s="4">
        <f t="shared" si="28"/>
        <v>6.0503988652204835E-11</v>
      </c>
      <c r="CE78" s="4">
        <f t="shared" si="28"/>
        <v>6.0559681885354699E-11</v>
      </c>
      <c r="CF78" s="4">
        <f t="shared" si="28"/>
        <v>6.0615438939588987E-11</v>
      </c>
      <c r="CG78" s="4">
        <f t="shared" si="28"/>
        <v>6.067125988904384E-11</v>
      </c>
      <c r="CH78" s="4">
        <f t="shared" si="23"/>
        <v>6.0727144807952165E-11</v>
      </c>
      <c r="CI78" s="4">
        <f t="shared" si="23"/>
        <v>6.0783093770643714E-11</v>
      </c>
      <c r="CJ78" s="4">
        <f t="shared" si="23"/>
        <v>6.0839106851545186E-11</v>
      </c>
      <c r="CK78" s="4">
        <f t="shared" si="23"/>
        <v>6.089518412518045E-11</v>
      </c>
      <c r="CL78" s="4">
        <f t="shared" si="23"/>
        <v>6.0951325666170503E-11</v>
      </c>
      <c r="CM78" s="4">
        <f t="shared" si="23"/>
        <v>6.1007531549233743E-11</v>
      </c>
      <c r="CN78" s="4">
        <f t="shared" si="23"/>
        <v>6.1063801849186044E-11</v>
      </c>
      <c r="CO78" s="4">
        <f t="shared" si="15"/>
        <v>6.1120136640940787E-11</v>
      </c>
      <c r="CP78" s="4">
        <f t="shared" si="15"/>
        <v>6.1176535999509126E-11</v>
      </c>
      <c r="CQ78" s="4">
        <f t="shared" si="15"/>
        <v>6.123300000000003E-11</v>
      </c>
    </row>
    <row r="79" spans="1:95">
      <c r="A79" s="3">
        <v>77</v>
      </c>
      <c r="B79" s="17" t="str">
        <f>データファイル用!$B80</f>
        <v>ASHRAE Gypsum + Primer</v>
      </c>
      <c r="C79" s="18">
        <f>データファイル用!G80</f>
        <v>4.9935E-11</v>
      </c>
      <c r="D79" s="19">
        <f>データファイル用!H80</f>
        <v>3.3015000000000003E-2</v>
      </c>
      <c r="E79" s="20">
        <f>データファイル用!I80</f>
        <v>-3.3302</v>
      </c>
      <c r="F79" s="42">
        <f>データファイル用!J80</f>
        <v>0.27390999999999999</v>
      </c>
      <c r="G79" s="4">
        <f t="shared" si="30"/>
        <v>0</v>
      </c>
      <c r="H79" s="4">
        <f t="shared" si="30"/>
        <v>4.9130423994093139E-12</v>
      </c>
      <c r="I79" s="4">
        <f t="shared" si="30"/>
        <v>6.3804538674369553E-12</v>
      </c>
      <c r="J79" s="4">
        <f t="shared" si="30"/>
        <v>7.6034780325164241E-12</v>
      </c>
      <c r="K79" s="4">
        <f t="shared" si="30"/>
        <v>8.7097465716766756E-12</v>
      </c>
      <c r="L79" s="4">
        <f t="shared" si="30"/>
        <v>9.7463854944953112E-12</v>
      </c>
      <c r="M79" s="4">
        <f t="shared" si="30"/>
        <v>1.0736789133285251E-11</v>
      </c>
      <c r="N79" s="4">
        <f t="shared" si="30"/>
        <v>1.1694498987899121E-11</v>
      </c>
      <c r="O79" s="4">
        <f t="shared" si="30"/>
        <v>1.2628144397345506E-11</v>
      </c>
      <c r="P79" s="4">
        <f t="shared" si="30"/>
        <v>1.3543601761917399E-11</v>
      </c>
      <c r="Q79" s="4">
        <f t="shared" si="30"/>
        <v>1.4445072690377765E-11</v>
      </c>
      <c r="R79" s="4">
        <f t="shared" si="30"/>
        <v>1.5335675787027437E-11</v>
      </c>
      <c r="S79" s="4">
        <f t="shared" si="30"/>
        <v>1.6217795421404184E-11</v>
      </c>
      <c r="T79" s="4">
        <f t="shared" si="30"/>
        <v>1.7093299021128924E-11</v>
      </c>
      <c r="U79" s="4">
        <f t="shared" si="30"/>
        <v>1.796367864050453E-11</v>
      </c>
      <c r="V79" s="4">
        <f t="shared" si="30"/>
        <v>1.8830146650191005E-11</v>
      </c>
      <c r="W79" s="4">
        <f t="shared" si="29"/>
        <v>1.9693702441183539E-11</v>
      </c>
      <c r="X79" s="4">
        <f t="shared" si="29"/>
        <v>2.055518015872101E-11</v>
      </c>
      <c r="Y79" s="4">
        <f t="shared" si="29"/>
        <v>2.1415283641397129E-11</v>
      </c>
      <c r="Z79" s="4">
        <f t="shared" si="29"/>
        <v>2.2274612502918239E-11</v>
      </c>
      <c r="AA79" s="4">
        <f t="shared" si="29"/>
        <v>2.3133681941241688E-11</v>
      </c>
      <c r="AB79" s="4">
        <f t="shared" si="29"/>
        <v>2.399293801566183E-11</v>
      </c>
      <c r="AC79" s="4">
        <f t="shared" si="29"/>
        <v>2.4852769590647411E-11</v>
      </c>
      <c r="AD79" s="4">
        <f t="shared" si="29"/>
        <v>2.5713517788819826E-11</v>
      </c>
      <c r="AE79" s="4">
        <f t="shared" si="29"/>
        <v>2.6575483555742235E-11</v>
      </c>
      <c r="AF79" s="4">
        <f t="shared" si="29"/>
        <v>2.7438933774725867E-11</v>
      </c>
      <c r="AG79" s="4">
        <f t="shared" si="29"/>
        <v>2.8304106254985572E-11</v>
      </c>
      <c r="AH79" s="4">
        <f t="shared" si="29"/>
        <v>2.9171213834924823E-11</v>
      </c>
      <c r="AI79" s="4">
        <f t="shared" si="29"/>
        <v>3.004044778356882E-11</v>
      </c>
      <c r="AJ79" s="4">
        <f t="shared" si="29"/>
        <v>3.0911980640246188E-11</v>
      </c>
      <c r="AK79" s="4">
        <f t="shared" si="29"/>
        <v>3.1785968600878983E-11</v>
      </c>
      <c r="AL79" s="4">
        <f t="shared" si="33"/>
        <v>3.2662553535495029E-11</v>
      </c>
      <c r="AM79" s="4">
        <f t="shared" si="33"/>
        <v>3.3541864703621683E-11</v>
      </c>
      <c r="AN79" s="4">
        <f t="shared" si="33"/>
        <v>3.4424020220508602E-11</v>
      </c>
      <c r="AO79" s="4">
        <f t="shared" si="33"/>
        <v>3.5309128316560546E-11</v>
      </c>
      <c r="AP79" s="4">
        <f t="shared" si="33"/>
        <v>3.6197288424145984E-11</v>
      </c>
      <c r="AQ79" s="4">
        <f t="shared" si="33"/>
        <v>3.7088592119511474E-11</v>
      </c>
      <c r="AR79" s="4">
        <f t="shared" si="33"/>
        <v>3.798312394244882E-11</v>
      </c>
      <c r="AS79" s="4">
        <f t="shared" si="33"/>
        <v>3.8880962112321736E-11</v>
      </c>
      <c r="AT79" s="4">
        <f t="shared" si="33"/>
        <v>3.9782179155824363E-11</v>
      </c>
      <c r="AU79" s="4">
        <f t="shared" si="33"/>
        <v>4.0686842459238524E-11</v>
      </c>
      <c r="AV79" s="4">
        <f t="shared" si="33"/>
        <v>4.1595014755846051E-11</v>
      </c>
      <c r="AW79" s="4">
        <f t="shared" si="33"/>
        <v>4.2506754557432553E-11</v>
      </c>
      <c r="AX79" s="4">
        <f t="shared" si="33"/>
        <v>4.3422116537410582E-11</v>
      </c>
      <c r="AY79" s="4">
        <f t="shared" si="33"/>
        <v>4.434115187192977E-11</v>
      </c>
      <c r="AZ79" s="4">
        <f t="shared" si="33"/>
        <v>4.5263908544382736E-11</v>
      </c>
      <c r="BA79" s="4">
        <f t="shared" si="33"/>
        <v>4.6190431617918349E-11</v>
      </c>
      <c r="BB79" s="4">
        <f t="shared" si="32"/>
        <v>4.7120763479908312E-11</v>
      </c>
      <c r="BC79" s="4">
        <f t="shared" si="32"/>
        <v>4.805494406175573E-11</v>
      </c>
      <c r="BD79" s="4">
        <f t="shared" si="32"/>
        <v>4.8101754804651966E-11</v>
      </c>
      <c r="BE79" s="4">
        <f t="shared" si="32"/>
        <v>4.8148575268530642E-11</v>
      </c>
      <c r="BF79" s="4">
        <f t="shared" si="32"/>
        <v>4.8195405457946318E-11</v>
      </c>
      <c r="BG79" s="4">
        <f t="shared" si="32"/>
        <v>4.8242245377440662E-11</v>
      </c>
      <c r="BH79" s="4">
        <f t="shared" si="32"/>
        <v>4.82890950315425E-11</v>
      </c>
      <c r="BI79" s="4">
        <f t="shared" si="32"/>
        <v>4.8335954424767941E-11</v>
      </c>
      <c r="BJ79" s="4">
        <f t="shared" si="32"/>
        <v>4.8382823561620371E-11</v>
      </c>
      <c r="BK79" s="4">
        <f t="shared" si="32"/>
        <v>4.842970244659048E-11</v>
      </c>
      <c r="BL79" s="4">
        <f t="shared" si="32"/>
        <v>4.8476591084156335E-11</v>
      </c>
      <c r="BM79" s="4">
        <f t="shared" si="32"/>
        <v>4.8523489478783527E-11</v>
      </c>
      <c r="BN79" s="4">
        <f t="shared" si="32"/>
        <v>4.8570397634925055E-11</v>
      </c>
      <c r="BO79" s="4">
        <f t="shared" si="32"/>
        <v>4.8617315557021483E-11</v>
      </c>
      <c r="BP79" s="4">
        <f t="shared" si="32"/>
        <v>4.8664243249500966E-11</v>
      </c>
      <c r="BQ79" s="4">
        <f t="shared" si="31"/>
        <v>4.8711180716779319E-11</v>
      </c>
      <c r="BR79" s="4">
        <f t="shared" si="31"/>
        <v>4.8758127963260017E-11</v>
      </c>
      <c r="BS79" s="4">
        <f t="shared" si="31"/>
        <v>4.8805084993334285E-11</v>
      </c>
      <c r="BT79" s="4">
        <f t="shared" si="28"/>
        <v>4.8852051811381178E-11</v>
      </c>
      <c r="BU79" s="4">
        <f t="shared" si="28"/>
        <v>4.8899028421767538E-11</v>
      </c>
      <c r="BV79" s="4">
        <f t="shared" si="28"/>
        <v>4.8946014828848095E-11</v>
      </c>
      <c r="BW79" s="4">
        <f t="shared" si="28"/>
        <v>4.8993011036965535E-11</v>
      </c>
      <c r="BX79" s="4">
        <f t="shared" si="28"/>
        <v>4.9040017050450556E-11</v>
      </c>
      <c r="BY79" s="4">
        <f t="shared" si="28"/>
        <v>4.9087032873621855E-11</v>
      </c>
      <c r="BZ79" s="4">
        <f t="shared" si="28"/>
        <v>4.9134058510786179E-11</v>
      </c>
      <c r="CA79" s="4">
        <f t="shared" si="28"/>
        <v>4.9181093966238491E-11</v>
      </c>
      <c r="CB79" s="4">
        <f t="shared" si="28"/>
        <v>4.9228139244261839E-11</v>
      </c>
      <c r="CC79" s="4">
        <f t="shared" si="28"/>
        <v>4.9275194349127554E-11</v>
      </c>
      <c r="CD79" s="4">
        <f t="shared" si="28"/>
        <v>4.9322259285095219E-11</v>
      </c>
      <c r="CE79" s="4">
        <f t="shared" si="28"/>
        <v>4.9369334056412719E-11</v>
      </c>
      <c r="CF79" s="4">
        <f t="shared" si="28"/>
        <v>4.9416418667316329E-11</v>
      </c>
      <c r="CG79" s="4">
        <f t="shared" si="28"/>
        <v>4.9463513122030733E-11</v>
      </c>
      <c r="CH79" s="4">
        <f t="shared" si="23"/>
        <v>4.9510617424769031E-11</v>
      </c>
      <c r="CI79" s="4">
        <f t="shared" si="23"/>
        <v>4.9557731579732857E-11</v>
      </c>
      <c r="CJ79" s="4">
        <f t="shared" si="23"/>
        <v>4.9604855591112416E-11</v>
      </c>
      <c r="CK79" s="4">
        <f t="shared" si="23"/>
        <v>4.9651989463086451E-11</v>
      </c>
      <c r="CL79" s="4">
        <f t="shared" si="23"/>
        <v>4.9699133199822373E-11</v>
      </c>
      <c r="CM79" s="4">
        <f t="shared" si="23"/>
        <v>4.9746286805476296E-11</v>
      </c>
      <c r="CN79" s="4">
        <f t="shared" ref="CN79:CQ82" si="34">$C79*IF(AND(CN$2=0,$D79=0),1,CN$2^$D79)*EXP($E79*(1-IF(AND(CN$2=0,$F79=0),1,CN$2^$F79)))</f>
        <v>4.9793450284193013E-11</v>
      </c>
      <c r="CO79" s="4">
        <f t="shared" si="34"/>
        <v>4.9840623640106134E-11</v>
      </c>
      <c r="CP79" s="4">
        <f t="shared" si="34"/>
        <v>4.9887806877338036E-11</v>
      </c>
      <c r="CQ79" s="4">
        <f t="shared" si="34"/>
        <v>4.9935000000000032E-11</v>
      </c>
    </row>
    <row r="80" spans="1:95">
      <c r="A80" s="3">
        <v>78</v>
      </c>
      <c r="B80" s="17" t="str">
        <f>データファイル用!$B81</f>
        <v>ASHRAE Gypsum + Primer + Latex</v>
      </c>
      <c r="C80" s="18">
        <f>データファイル用!G81</f>
        <v>3.0538000000000001E-11</v>
      </c>
      <c r="D80" s="19">
        <f>データファイル用!H81</f>
        <v>0.27182000000000001</v>
      </c>
      <c r="E80" s="20">
        <f>データファイル用!I81</f>
        <v>-2.5461999999999998</v>
      </c>
      <c r="F80" s="42">
        <f>データファイル用!J81</f>
        <v>1.4272</v>
      </c>
      <c r="G80" s="4">
        <f t="shared" si="30"/>
        <v>0</v>
      </c>
      <c r="H80" s="4">
        <f t="shared" si="30"/>
        <v>8.3441896884885889E-13</v>
      </c>
      <c r="I80" s="4">
        <f t="shared" si="30"/>
        <v>1.0238453794533989E-12</v>
      </c>
      <c r="J80" s="4">
        <f t="shared" si="30"/>
        <v>1.1664415565953918E-12</v>
      </c>
      <c r="K80" s="4">
        <f t="shared" si="30"/>
        <v>1.291071266284173E-12</v>
      </c>
      <c r="L80" s="4">
        <f t="shared" si="30"/>
        <v>1.4078944787278917E-12</v>
      </c>
      <c r="M80" s="4">
        <f t="shared" si="30"/>
        <v>1.5218872378997424E-12</v>
      </c>
      <c r="N80" s="4">
        <f t="shared" si="30"/>
        <v>1.6359861733130671E-12</v>
      </c>
      <c r="O80" s="4">
        <f t="shared" si="30"/>
        <v>1.7521675338628202E-12</v>
      </c>
      <c r="P80" s="4">
        <f t="shared" si="30"/>
        <v>1.8719053021634222E-12</v>
      </c>
      <c r="Q80" s="4">
        <f t="shared" si="30"/>
        <v>1.9963950237429167E-12</v>
      </c>
      <c r="R80" s="4">
        <f t="shared" si="30"/>
        <v>2.1266750768804788E-12</v>
      </c>
      <c r="S80" s="4">
        <f t="shared" si="30"/>
        <v>2.2636980580024884E-12</v>
      </c>
      <c r="T80" s="4">
        <f t="shared" si="30"/>
        <v>2.4083759377311662E-12</v>
      </c>
      <c r="U80" s="4">
        <f t="shared" si="30"/>
        <v>2.561610598581695E-12</v>
      </c>
      <c r="V80" s="4">
        <f t="shared" si="30"/>
        <v>2.7243158740859831E-12</v>
      </c>
      <c r="W80" s="4">
        <f t="shared" si="29"/>
        <v>2.8974345119111386E-12</v>
      </c>
      <c r="X80" s="4">
        <f t="shared" si="29"/>
        <v>3.0819520762041716E-12</v>
      </c>
      <c r="Y80" s="4">
        <f t="shared" si="29"/>
        <v>3.2789090327169631E-12</v>
      </c>
      <c r="Z80" s="4">
        <f t="shared" si="29"/>
        <v>3.4894118195065841E-12</v>
      </c>
      <c r="AA80" s="4">
        <f t="shared" si="29"/>
        <v>3.714643445813817E-12</v>
      </c>
      <c r="AB80" s="4">
        <f t="shared" si="29"/>
        <v>3.9558740041982935E-12</v>
      </c>
      <c r="AC80" s="4">
        <f t="shared" si="29"/>
        <v>4.2144713840581288E-12</v>
      </c>
      <c r="AD80" s="4">
        <f t="shared" si="29"/>
        <v>4.4919124146960124E-12</v>
      </c>
      <c r="AE80" s="4">
        <f t="shared" si="29"/>
        <v>4.7897946294714021E-12</v>
      </c>
      <c r="AF80" s="4">
        <f t="shared" si="29"/>
        <v>5.1098488211960498E-12</v>
      </c>
      <c r="AG80" s="4">
        <f t="shared" si="29"/>
        <v>5.4539525478653579E-12</v>
      </c>
      <c r="AH80" s="4">
        <f t="shared" si="29"/>
        <v>5.8241447440300119E-12</v>
      </c>
      <c r="AI80" s="4">
        <f t="shared" si="29"/>
        <v>6.2226415947022131E-12</v>
      </c>
      <c r="AJ80" s="4">
        <f t="shared" si="29"/>
        <v>6.6518538344725072E-12</v>
      </c>
      <c r="AK80" s="4">
        <f t="shared" si="29"/>
        <v>7.1144056437570899E-12</v>
      </c>
      <c r="AL80" s="4">
        <f t="shared" si="33"/>
        <v>7.6131553263713798E-12</v>
      </c>
      <c r="AM80" s="4">
        <f t="shared" si="33"/>
        <v>8.1512179677088828E-12</v>
      </c>
      <c r="AN80" s="4">
        <f t="shared" si="33"/>
        <v>8.7319902906135216E-12</v>
      </c>
      <c r="AO80" s="4">
        <f t="shared" si="33"/>
        <v>9.3591779465939733E-12</v>
      </c>
      <c r="AP80" s="4">
        <f t="shared" si="33"/>
        <v>1.0036825503448561E-11</v>
      </c>
      <c r="AQ80" s="4">
        <f t="shared" si="33"/>
        <v>1.0769349416825482E-11</v>
      </c>
      <c r="AR80" s="4">
        <f t="shared" si="33"/>
        <v>1.156157430297224E-11</v>
      </c>
      <c r="AS80" s="4">
        <f t="shared" si="33"/>
        <v>1.2418772863222765E-11</v>
      </c>
      <c r="AT80" s="4">
        <f t="shared" si="33"/>
        <v>1.3346709847978107E-11</v>
      </c>
      <c r="AU80" s="4">
        <f t="shared" si="33"/>
        <v>1.4351690489459397E-11</v>
      </c>
      <c r="AV80" s="4">
        <f t="shared" si="33"/>
        <v>1.5440613878811196E-11</v>
      </c>
      <c r="AW80" s="4">
        <f t="shared" si="33"/>
        <v>1.6621031814732857E-11</v>
      </c>
      <c r="AX80" s="4">
        <f t="shared" si="33"/>
        <v>1.790121370830648E-11</v>
      </c>
      <c r="AY80" s="4">
        <f t="shared" si="33"/>
        <v>1.9290218192738526E-11</v>
      </c>
      <c r="AZ80" s="4">
        <f t="shared" si="33"/>
        <v>2.0797972158086785E-11</v>
      </c>
      <c r="BA80" s="4">
        <f t="shared" si="33"/>
        <v>2.2435358010544925E-11</v>
      </c>
      <c r="BB80" s="4">
        <f t="shared" si="32"/>
        <v>2.4214310044446576E-11</v>
      </c>
      <c r="BC80" s="4">
        <f t="shared" si="32"/>
        <v>2.6147920913885529E-11</v>
      </c>
      <c r="BD80" s="4">
        <f t="shared" si="32"/>
        <v>2.6248913227019437E-11</v>
      </c>
      <c r="BE80" s="4">
        <f t="shared" si="32"/>
        <v>2.6350329701215278E-11</v>
      </c>
      <c r="BF80" s="4">
        <f t="shared" si="32"/>
        <v>2.6452172229384716E-11</v>
      </c>
      <c r="BG80" s="4">
        <f t="shared" si="32"/>
        <v>2.6554442713299078E-11</v>
      </c>
      <c r="BH80" s="4">
        <f t="shared" si="32"/>
        <v>2.6657143063632549E-11</v>
      </c>
      <c r="BI80" s="4">
        <f t="shared" si="32"/>
        <v>2.6760275200005568E-11</v>
      </c>
      <c r="BJ80" s="4">
        <f t="shared" si="32"/>
        <v>2.686384105102849E-11</v>
      </c>
      <c r="BK80" s="4">
        <f t="shared" si="32"/>
        <v>2.6967842554345427E-11</v>
      </c>
      <c r="BL80" s="4">
        <f t="shared" si="32"/>
        <v>2.7072281656678288E-11</v>
      </c>
      <c r="BM80" s="4">
        <f t="shared" si="32"/>
        <v>2.7177160313871136E-11</v>
      </c>
      <c r="BN80" s="4">
        <f t="shared" si="32"/>
        <v>2.7282480490934639E-11</v>
      </c>
      <c r="BO80" s="4">
        <f t="shared" si="32"/>
        <v>2.7388244162090897E-11</v>
      </c>
      <c r="BP80" s="4">
        <f t="shared" si="32"/>
        <v>2.7494453310818319E-11</v>
      </c>
      <c r="BQ80" s="4">
        <f t="shared" si="31"/>
        <v>2.7601109929896897E-11</v>
      </c>
      <c r="BR80" s="4">
        <f t="shared" si="31"/>
        <v>2.7708216021453609E-11</v>
      </c>
      <c r="BS80" s="4">
        <f t="shared" si="31"/>
        <v>2.781577359700804E-11</v>
      </c>
      <c r="BT80" s="4">
        <f t="shared" si="28"/>
        <v>2.7923784677518329E-11</v>
      </c>
      <c r="BU80" s="4">
        <f t="shared" si="28"/>
        <v>2.8032251293427252E-11</v>
      </c>
      <c r="BV80" s="4">
        <f t="shared" si="28"/>
        <v>2.8141175484708561E-11</v>
      </c>
      <c r="BW80" s="4">
        <f t="shared" si="28"/>
        <v>2.8250559300913614E-11</v>
      </c>
      <c r="BX80" s="4">
        <f t="shared" si="28"/>
        <v>2.8360404801218147E-11</v>
      </c>
      <c r="BY80" s="4">
        <f t="shared" si="28"/>
        <v>2.8470714054469389E-11</v>
      </c>
      <c r="BZ80" s="4">
        <f t="shared" si="28"/>
        <v>2.8581489139233299E-11</v>
      </c>
      <c r="CA80" s="4">
        <f t="shared" ref="CA80:CP82" si="35">$C80*IF(AND(CA$2=0,$D80=0),1,CA$2^$D80)*EXP($E80*(1-IF(AND(CA$2=0,$F80=0),1,CA$2^$F80)))</f>
        <v>2.8692732143842153E-11</v>
      </c>
      <c r="CB80" s="4">
        <f t="shared" si="35"/>
        <v>2.8804445166442285E-11</v>
      </c>
      <c r="CC80" s="4">
        <f t="shared" si="35"/>
        <v>2.8916630315042136E-11</v>
      </c>
      <c r="CD80" s="4">
        <f t="shared" si="35"/>
        <v>2.9029289707560491E-11</v>
      </c>
      <c r="CE80" s="4">
        <f t="shared" si="35"/>
        <v>2.9142425471875003E-11</v>
      </c>
      <c r="CF80" s="4">
        <f t="shared" si="35"/>
        <v>2.9256039745870922E-11</v>
      </c>
      <c r="CG80" s="4">
        <f t="shared" si="35"/>
        <v>2.9370134677490129E-11</v>
      </c>
      <c r="CH80" s="4">
        <f t="shared" si="35"/>
        <v>2.9484712424780364E-11</v>
      </c>
      <c r="CI80" s="4">
        <f t="shared" si="35"/>
        <v>2.9599775155944702E-11</v>
      </c>
      <c r="CJ80" s="4">
        <f t="shared" si="35"/>
        <v>2.9715325049391346E-11</v>
      </c>
      <c r="CK80" s="4">
        <f t="shared" si="35"/>
        <v>2.9831364293783593E-11</v>
      </c>
      <c r="CL80" s="4">
        <f t="shared" si="35"/>
        <v>2.9947895088090099E-11</v>
      </c>
      <c r="CM80" s="4">
        <f t="shared" si="35"/>
        <v>3.0064919641635381E-11</v>
      </c>
      <c r="CN80" s="4">
        <f t="shared" si="35"/>
        <v>3.0182440174150592E-11</v>
      </c>
      <c r="CO80" s="4">
        <f t="shared" si="35"/>
        <v>3.0300458915824538E-11</v>
      </c>
      <c r="CP80" s="4">
        <f t="shared" si="35"/>
        <v>3.0418978107354952E-11</v>
      </c>
      <c r="CQ80" s="4">
        <f t="shared" si="34"/>
        <v>3.0538000000000059E-11</v>
      </c>
    </row>
    <row r="81" spans="1:95">
      <c r="A81" s="3">
        <v>79</v>
      </c>
      <c r="B81" s="32" t="str">
        <f>データファイル用!$B82</f>
        <v>ASHRAE EIFS Base Coat and Finish Coat</v>
      </c>
      <c r="C81" s="18">
        <f>データファイル用!G82</f>
        <v>3.1949E-12</v>
      </c>
      <c r="D81" s="19">
        <f>データファイル用!H82</f>
        <v>9.6351000000000006E-2</v>
      </c>
      <c r="E81" s="20">
        <f>データファイル用!I82</f>
        <v>-0.2341</v>
      </c>
      <c r="F81" s="42">
        <f>データファイル用!J82</f>
        <v>9.3222000000000005</v>
      </c>
      <c r="G81" s="50">
        <f t="shared" si="30"/>
        <v>0</v>
      </c>
      <c r="H81" s="50">
        <f t="shared" si="30"/>
        <v>1.7341692145436438E-12</v>
      </c>
      <c r="I81" s="50">
        <f t="shared" si="30"/>
        <v>1.8539414454672357E-12</v>
      </c>
      <c r="J81" s="50">
        <f t="shared" si="30"/>
        <v>1.9278026913992461E-12</v>
      </c>
      <c r="K81" s="50">
        <f t="shared" si="30"/>
        <v>1.9819858722225934E-12</v>
      </c>
      <c r="L81" s="50">
        <f t="shared" si="30"/>
        <v>2.0250601670722513E-12</v>
      </c>
      <c r="M81" s="50">
        <f t="shared" si="30"/>
        <v>2.0609484244509693E-12</v>
      </c>
      <c r="N81" s="50">
        <f t="shared" si="30"/>
        <v>2.0917872648252402E-12</v>
      </c>
      <c r="O81" s="50">
        <f t="shared" si="30"/>
        <v>2.1188738415658436E-12</v>
      </c>
      <c r="P81" s="50">
        <f t="shared" si="30"/>
        <v>2.1430569088121447E-12</v>
      </c>
      <c r="Q81" s="50">
        <f t="shared" si="30"/>
        <v>2.1649232435397096E-12</v>
      </c>
      <c r="R81" s="50">
        <f t="shared" si="30"/>
        <v>2.1848960232071065E-12</v>
      </c>
      <c r="S81" s="50">
        <f t="shared" si="30"/>
        <v>2.2032908661328323E-12</v>
      </c>
      <c r="T81" s="50">
        <f t="shared" si="30"/>
        <v>2.2203497286048367E-12</v>
      </c>
      <c r="U81" s="50">
        <f t="shared" si="30"/>
        <v>2.2362624335684794E-12</v>
      </c>
      <c r="V81" s="50">
        <f t="shared" si="30"/>
        <v>2.2511809180527062E-12</v>
      </c>
      <c r="W81" s="50">
        <f t="shared" si="29"/>
        <v>2.2652290089695627E-12</v>
      </c>
      <c r="X81" s="50">
        <f t="shared" si="29"/>
        <v>2.2785093589660079E-12</v>
      </c>
      <c r="Y81" s="50">
        <f t="shared" si="29"/>
        <v>2.2911085323902185E-12</v>
      </c>
      <c r="Z81" s="50">
        <f t="shared" si="29"/>
        <v>2.3031008665109057E-12</v>
      </c>
      <c r="AA81" s="50">
        <f t="shared" si="29"/>
        <v>2.314551517942813E-12</v>
      </c>
      <c r="AB81" s="50">
        <f t="shared" si="29"/>
        <v>2.3255189735174086E-12</v>
      </c>
      <c r="AC81" s="50">
        <f t="shared" si="29"/>
        <v>2.336057223561558E-12</v>
      </c>
      <c r="AD81" s="50">
        <f t="shared" si="29"/>
        <v>2.3462177441898902E-12</v>
      </c>
      <c r="AE81" s="50">
        <f t="shared" si="29"/>
        <v>2.3560514025529405E-12</v>
      </c>
      <c r="AF81" s="50">
        <f t="shared" si="29"/>
        <v>2.3656103783889649E-12</v>
      </c>
      <c r="AG81" s="50">
        <f t="shared" si="29"/>
        <v>2.3749501827272044E-12</v>
      </c>
      <c r="AH81" s="50">
        <f t="shared" si="29"/>
        <v>2.3841318477953425E-12</v>
      </c>
      <c r="AI81" s="50">
        <f t="shared" si="29"/>
        <v>2.393224359703822E-12</v>
      </c>
      <c r="AJ81" s="50">
        <f t="shared" si="29"/>
        <v>2.4023074066004362E-12</v>
      </c>
      <c r="AK81" s="50">
        <f t="shared" si="29"/>
        <v>2.4114745195030126E-12</v>
      </c>
      <c r="AL81" s="50">
        <f t="shared" si="33"/>
        <v>2.4208366911553234E-12</v>
      </c>
      <c r="AM81" s="50">
        <f t="shared" si="33"/>
        <v>2.4305265706751146E-12</v>
      </c>
      <c r="AN81" s="50">
        <f t="shared" si="33"/>
        <v>2.4407033496270557E-12</v>
      </c>
      <c r="AO81" s="50">
        <f t="shared" si="33"/>
        <v>2.4515584802142655E-12</v>
      </c>
      <c r="AP81" s="50">
        <f t="shared" si="33"/>
        <v>2.4633224010801458E-12</v>
      </c>
      <c r="AQ81" s="50">
        <f t="shared" si="33"/>
        <v>2.4762724943398544E-12</v>
      </c>
      <c r="AR81" s="50">
        <f t="shared" si="33"/>
        <v>2.4907425639540916E-12</v>
      </c>
      <c r="AS81" s="50">
        <f t="shared" si="33"/>
        <v>2.5071342174701838E-12</v>
      </c>
      <c r="AT81" s="50">
        <f t="shared" si="33"/>
        <v>2.5259306603997003E-12</v>
      </c>
      <c r="AU81" s="50">
        <f t="shared" si="33"/>
        <v>2.5477135891064061E-12</v>
      </c>
      <c r="AV81" s="50">
        <f t="shared" si="33"/>
        <v>2.5731841140792684E-12</v>
      </c>
      <c r="AW81" s="50">
        <f t="shared" si="33"/>
        <v>2.603188989793274E-12</v>
      </c>
      <c r="AX81" s="50">
        <f t="shared" si="33"/>
        <v>2.6387539123025353E-12</v>
      </c>
      <c r="AY81" s="50">
        <f t="shared" si="33"/>
        <v>2.6811263338818924E-12</v>
      </c>
      <c r="AZ81" s="50">
        <f t="shared" si="33"/>
        <v>2.731831229421662E-12</v>
      </c>
      <c r="BA81" s="50">
        <f t="shared" si="33"/>
        <v>2.7927446749430287E-12</v>
      </c>
      <c r="BB81" s="50">
        <f t="shared" si="32"/>
        <v>2.866192185428253E-12</v>
      </c>
      <c r="BC81" s="50">
        <f t="shared" si="32"/>
        <v>2.9550818532732751E-12</v>
      </c>
      <c r="BD81" s="50">
        <f t="shared" si="32"/>
        <v>2.9599937371187452E-12</v>
      </c>
      <c r="BE81" s="50">
        <f t="shared" si="32"/>
        <v>2.9649537173747542E-12</v>
      </c>
      <c r="BF81" s="50">
        <f t="shared" si="32"/>
        <v>2.9699623171391768E-12</v>
      </c>
      <c r="BG81" s="50">
        <f t="shared" si="32"/>
        <v>2.9750200659605202E-12</v>
      </c>
      <c r="BH81" s="50">
        <f t="shared" si="32"/>
        <v>2.9801274999334397E-12</v>
      </c>
      <c r="BI81" s="50">
        <f t="shared" si="32"/>
        <v>2.9852851617959212E-12</v>
      </c>
      <c r="BJ81" s="50">
        <f t="shared" si="32"/>
        <v>2.9904936010281392E-12</v>
      </c>
      <c r="BK81" s="50">
        <f t="shared" si="32"/>
        <v>2.9957533739530397E-12</v>
      </c>
      <c r="BL81" s="50">
        <f t="shared" si="32"/>
        <v>3.0010650438386796E-12</v>
      </c>
      <c r="BM81" s="50">
        <f t="shared" si="32"/>
        <v>3.0064291810023465E-12</v>
      </c>
      <c r="BN81" s="50">
        <f t="shared" si="32"/>
        <v>3.0118463629165031E-12</v>
      </c>
      <c r="BO81" s="50">
        <f t="shared" si="32"/>
        <v>3.0173171743165968E-12</v>
      </c>
      <c r="BP81" s="50">
        <f t="shared" si="32"/>
        <v>3.0228422073107537E-12</v>
      </c>
      <c r="BQ81" s="50">
        <f t="shared" si="31"/>
        <v>3.0284220614914125E-12</v>
      </c>
      <c r="BR81" s="50">
        <f t="shared" si="31"/>
        <v>3.0340573440489248E-12</v>
      </c>
      <c r="BS81" s="50">
        <f t="shared" si="31"/>
        <v>3.0397486698871678E-12</v>
      </c>
      <c r="BT81" s="50">
        <f t="shared" si="31"/>
        <v>3.0454966617412048E-12</v>
      </c>
      <c r="BU81" s="50">
        <f t="shared" si="31"/>
        <v>3.0513019502970338E-12</v>
      </c>
      <c r="BV81" s="50">
        <f t="shared" si="31"/>
        <v>3.0571651743134716E-12</v>
      </c>
      <c r="BW81" s="50">
        <f t="shared" si="31"/>
        <v>3.06308698074621E-12</v>
      </c>
      <c r="BX81" s="50">
        <f t="shared" si="31"/>
        <v>3.0690680248740889E-12</v>
      </c>
      <c r="BY81" s="50">
        <f t="shared" si="31"/>
        <v>3.075108970427632E-12</v>
      </c>
      <c r="BZ81" s="50">
        <f t="shared" si="31"/>
        <v>3.0812104897198921E-12</v>
      </c>
      <c r="CA81" s="50">
        <f t="shared" si="31"/>
        <v>3.0873732637796454E-12</v>
      </c>
      <c r="CB81" s="50">
        <f t="shared" si="31"/>
        <v>3.0935979824869936E-12</v>
      </c>
      <c r="CC81" s="50">
        <f t="shared" si="31"/>
        <v>3.099885344711408E-12</v>
      </c>
      <c r="CD81" s="50">
        <f t="shared" si="31"/>
        <v>3.106236058452279E-12</v>
      </c>
      <c r="CE81" s="50">
        <f t="shared" si="31"/>
        <v>3.1126508409820133E-12</v>
      </c>
      <c r="CF81" s="50">
        <f t="shared" si="31"/>
        <v>3.1191304189917329E-12</v>
      </c>
      <c r="CG81" s="50">
        <f t="shared" si="35"/>
        <v>3.1256755287396281E-12</v>
      </c>
      <c r="CH81" s="50">
        <f t="shared" si="35"/>
        <v>3.1322869162020198E-12</v>
      </c>
      <c r="CI81" s="50">
        <f t="shared" si="35"/>
        <v>3.1389653372271876E-12</v>
      </c>
      <c r="CJ81" s="50">
        <f t="shared" si="35"/>
        <v>3.1457115576920159E-12</v>
      </c>
      <c r="CK81" s="50">
        <f t="shared" si="35"/>
        <v>3.1525263536615182E-12</v>
      </c>
      <c r="CL81" s="50">
        <f t="shared" si="35"/>
        <v>3.1594105115513055E-12</v>
      </c>
      <c r="CM81" s="50">
        <f t="shared" si="35"/>
        <v>3.1663648282930418E-12</v>
      </c>
      <c r="CN81" s="50">
        <f t="shared" si="35"/>
        <v>3.1733901115029733E-12</v>
      </c>
      <c r="CO81" s="50">
        <f t="shared" si="35"/>
        <v>3.1804871796535678E-12</v>
      </c>
      <c r="CP81" s="50">
        <f t="shared" si="35"/>
        <v>3.1876568622483529E-12</v>
      </c>
      <c r="CQ81" s="50">
        <f t="shared" si="34"/>
        <v>3.1949000000000029E-12</v>
      </c>
    </row>
    <row r="82" spans="1:95">
      <c r="A82" s="43">
        <v>80</v>
      </c>
      <c r="B82" s="44" t="str">
        <f>データファイル用!$B83</f>
        <v>ASHRAE Low-density Glassfibre Batt Insulation</v>
      </c>
      <c r="C82" s="45">
        <f>データファイル用!G83</f>
        <v>1.7000000000000001E-10</v>
      </c>
      <c r="D82" s="46">
        <f>データファイル用!H83</f>
        <v>0</v>
      </c>
      <c r="E82" s="47">
        <f>データファイル用!I83</f>
        <v>0</v>
      </c>
      <c r="F82" s="48">
        <f>データファイル用!J83</f>
        <v>0</v>
      </c>
      <c r="G82" s="49">
        <f t="shared" si="30"/>
        <v>1.7000000000000001E-10</v>
      </c>
      <c r="H82" s="49">
        <f t="shared" si="30"/>
        <v>1.7000000000000001E-10</v>
      </c>
      <c r="I82" s="49">
        <f t="shared" si="30"/>
        <v>1.7000000000000001E-10</v>
      </c>
      <c r="J82" s="49">
        <f t="shared" si="30"/>
        <v>1.7000000000000001E-10</v>
      </c>
      <c r="K82" s="49">
        <f t="shared" si="30"/>
        <v>1.7000000000000001E-10</v>
      </c>
      <c r="L82" s="49">
        <f t="shared" si="30"/>
        <v>1.7000000000000001E-10</v>
      </c>
      <c r="M82" s="49">
        <f t="shared" si="30"/>
        <v>1.7000000000000001E-10</v>
      </c>
      <c r="N82" s="49">
        <f t="shared" si="30"/>
        <v>1.7000000000000001E-10</v>
      </c>
      <c r="O82" s="49">
        <f t="shared" si="30"/>
        <v>1.7000000000000001E-10</v>
      </c>
      <c r="P82" s="49">
        <f t="shared" si="30"/>
        <v>1.7000000000000001E-10</v>
      </c>
      <c r="Q82" s="49">
        <f t="shared" si="30"/>
        <v>1.7000000000000001E-10</v>
      </c>
      <c r="R82" s="49">
        <f t="shared" si="30"/>
        <v>1.7000000000000001E-10</v>
      </c>
      <c r="S82" s="49">
        <f t="shared" si="30"/>
        <v>1.7000000000000001E-10</v>
      </c>
      <c r="T82" s="49">
        <f t="shared" si="30"/>
        <v>1.7000000000000001E-10</v>
      </c>
      <c r="U82" s="49">
        <f t="shared" si="30"/>
        <v>1.7000000000000001E-10</v>
      </c>
      <c r="V82" s="49">
        <f t="shared" si="30"/>
        <v>1.7000000000000001E-10</v>
      </c>
      <c r="W82" s="49">
        <f t="shared" si="29"/>
        <v>1.7000000000000001E-10</v>
      </c>
      <c r="X82" s="49">
        <f t="shared" si="29"/>
        <v>1.7000000000000001E-10</v>
      </c>
      <c r="Y82" s="49">
        <f t="shared" si="29"/>
        <v>1.7000000000000001E-10</v>
      </c>
      <c r="Z82" s="49">
        <f t="shared" si="29"/>
        <v>1.7000000000000001E-10</v>
      </c>
      <c r="AA82" s="49">
        <f t="shared" si="29"/>
        <v>1.7000000000000001E-10</v>
      </c>
      <c r="AB82" s="49">
        <f t="shared" si="29"/>
        <v>1.7000000000000001E-10</v>
      </c>
      <c r="AC82" s="49">
        <f t="shared" si="29"/>
        <v>1.7000000000000001E-10</v>
      </c>
      <c r="AD82" s="49">
        <f t="shared" si="29"/>
        <v>1.7000000000000001E-10</v>
      </c>
      <c r="AE82" s="49">
        <f t="shared" si="29"/>
        <v>1.7000000000000001E-10</v>
      </c>
      <c r="AF82" s="49">
        <f t="shared" si="29"/>
        <v>1.7000000000000001E-10</v>
      </c>
      <c r="AG82" s="49">
        <f t="shared" si="29"/>
        <v>1.7000000000000001E-10</v>
      </c>
      <c r="AH82" s="49">
        <f t="shared" si="29"/>
        <v>1.7000000000000001E-10</v>
      </c>
      <c r="AI82" s="49">
        <f t="shared" si="29"/>
        <v>1.7000000000000001E-10</v>
      </c>
      <c r="AJ82" s="49">
        <f t="shared" si="29"/>
        <v>1.7000000000000001E-10</v>
      </c>
      <c r="AK82" s="49">
        <f t="shared" si="29"/>
        <v>1.7000000000000001E-10</v>
      </c>
      <c r="AL82" s="49">
        <f t="shared" si="33"/>
        <v>1.7000000000000001E-10</v>
      </c>
      <c r="AM82" s="49">
        <f t="shared" si="33"/>
        <v>1.7000000000000001E-10</v>
      </c>
      <c r="AN82" s="49">
        <f t="shared" si="33"/>
        <v>1.7000000000000001E-10</v>
      </c>
      <c r="AO82" s="49">
        <f t="shared" si="33"/>
        <v>1.7000000000000001E-10</v>
      </c>
      <c r="AP82" s="49">
        <f t="shared" si="33"/>
        <v>1.7000000000000001E-10</v>
      </c>
      <c r="AQ82" s="49">
        <f t="shared" si="33"/>
        <v>1.7000000000000001E-10</v>
      </c>
      <c r="AR82" s="49">
        <f t="shared" si="33"/>
        <v>1.7000000000000001E-10</v>
      </c>
      <c r="AS82" s="49">
        <f t="shared" si="33"/>
        <v>1.7000000000000001E-10</v>
      </c>
      <c r="AT82" s="49">
        <f t="shared" si="33"/>
        <v>1.7000000000000001E-10</v>
      </c>
      <c r="AU82" s="49">
        <f t="shared" si="33"/>
        <v>1.7000000000000001E-10</v>
      </c>
      <c r="AV82" s="49">
        <f t="shared" si="33"/>
        <v>1.7000000000000001E-10</v>
      </c>
      <c r="AW82" s="49">
        <f t="shared" si="33"/>
        <v>1.7000000000000001E-10</v>
      </c>
      <c r="AX82" s="49">
        <f t="shared" si="33"/>
        <v>1.7000000000000001E-10</v>
      </c>
      <c r="AY82" s="49">
        <f t="shared" si="33"/>
        <v>1.7000000000000001E-10</v>
      </c>
      <c r="AZ82" s="49">
        <f t="shared" si="33"/>
        <v>1.7000000000000001E-10</v>
      </c>
      <c r="BA82" s="49">
        <f t="shared" si="33"/>
        <v>1.7000000000000001E-10</v>
      </c>
      <c r="BB82" s="49">
        <f t="shared" si="32"/>
        <v>1.7000000000000001E-10</v>
      </c>
      <c r="BC82" s="49">
        <f t="shared" si="32"/>
        <v>1.7000000000000001E-10</v>
      </c>
      <c r="BD82" s="49">
        <f t="shared" si="32"/>
        <v>1.7000000000000001E-10</v>
      </c>
      <c r="BE82" s="49">
        <f t="shared" si="32"/>
        <v>1.7000000000000001E-10</v>
      </c>
      <c r="BF82" s="49">
        <f t="shared" si="32"/>
        <v>1.7000000000000001E-10</v>
      </c>
      <c r="BG82" s="49">
        <f t="shared" si="32"/>
        <v>1.7000000000000001E-10</v>
      </c>
      <c r="BH82" s="49">
        <f t="shared" si="32"/>
        <v>1.7000000000000001E-10</v>
      </c>
      <c r="BI82" s="49">
        <f t="shared" si="32"/>
        <v>1.7000000000000001E-10</v>
      </c>
      <c r="BJ82" s="49">
        <f t="shared" si="32"/>
        <v>1.7000000000000001E-10</v>
      </c>
      <c r="BK82" s="49">
        <f t="shared" si="32"/>
        <v>1.7000000000000001E-10</v>
      </c>
      <c r="BL82" s="49">
        <f t="shared" si="32"/>
        <v>1.7000000000000001E-10</v>
      </c>
      <c r="BM82" s="49">
        <f t="shared" si="32"/>
        <v>1.7000000000000001E-10</v>
      </c>
      <c r="BN82" s="49">
        <f t="shared" si="32"/>
        <v>1.7000000000000001E-10</v>
      </c>
      <c r="BO82" s="49">
        <f t="shared" si="32"/>
        <v>1.7000000000000001E-10</v>
      </c>
      <c r="BP82" s="49">
        <f t="shared" si="32"/>
        <v>1.7000000000000001E-10</v>
      </c>
      <c r="BQ82" s="49">
        <f t="shared" si="31"/>
        <v>1.7000000000000001E-10</v>
      </c>
      <c r="BR82" s="49">
        <f t="shared" si="31"/>
        <v>1.7000000000000001E-10</v>
      </c>
      <c r="BS82" s="49">
        <f t="shared" si="31"/>
        <v>1.7000000000000001E-10</v>
      </c>
      <c r="BT82" s="49">
        <f t="shared" si="31"/>
        <v>1.7000000000000001E-10</v>
      </c>
      <c r="BU82" s="49">
        <f t="shared" si="31"/>
        <v>1.7000000000000001E-10</v>
      </c>
      <c r="BV82" s="49">
        <f t="shared" si="31"/>
        <v>1.7000000000000001E-10</v>
      </c>
      <c r="BW82" s="49">
        <f t="shared" si="31"/>
        <v>1.7000000000000001E-10</v>
      </c>
      <c r="BX82" s="49">
        <f t="shared" si="31"/>
        <v>1.7000000000000001E-10</v>
      </c>
      <c r="BY82" s="49">
        <f t="shared" si="31"/>
        <v>1.7000000000000001E-10</v>
      </c>
      <c r="BZ82" s="49">
        <f t="shared" si="31"/>
        <v>1.7000000000000001E-10</v>
      </c>
      <c r="CA82" s="49">
        <f t="shared" si="31"/>
        <v>1.7000000000000001E-10</v>
      </c>
      <c r="CB82" s="49">
        <f t="shared" si="31"/>
        <v>1.7000000000000001E-10</v>
      </c>
      <c r="CC82" s="49">
        <f t="shared" si="31"/>
        <v>1.7000000000000001E-10</v>
      </c>
      <c r="CD82" s="49">
        <f t="shared" si="31"/>
        <v>1.7000000000000001E-10</v>
      </c>
      <c r="CE82" s="49">
        <f t="shared" si="31"/>
        <v>1.7000000000000001E-10</v>
      </c>
      <c r="CF82" s="49">
        <f t="shared" si="31"/>
        <v>1.7000000000000001E-10</v>
      </c>
      <c r="CG82" s="49">
        <f t="shared" si="35"/>
        <v>1.7000000000000001E-10</v>
      </c>
      <c r="CH82" s="49">
        <f t="shared" si="35"/>
        <v>1.7000000000000001E-10</v>
      </c>
      <c r="CI82" s="49">
        <f t="shared" si="35"/>
        <v>1.7000000000000001E-10</v>
      </c>
      <c r="CJ82" s="49">
        <f t="shared" si="35"/>
        <v>1.7000000000000001E-10</v>
      </c>
      <c r="CK82" s="49">
        <f t="shared" si="35"/>
        <v>1.7000000000000001E-10</v>
      </c>
      <c r="CL82" s="49">
        <f t="shared" si="35"/>
        <v>1.7000000000000001E-10</v>
      </c>
      <c r="CM82" s="49">
        <f t="shared" si="35"/>
        <v>1.7000000000000001E-10</v>
      </c>
      <c r="CN82" s="49">
        <f t="shared" si="35"/>
        <v>1.7000000000000001E-10</v>
      </c>
      <c r="CO82" s="49">
        <f t="shared" si="35"/>
        <v>1.7000000000000001E-10</v>
      </c>
      <c r="CP82" s="49">
        <f t="shared" si="35"/>
        <v>1.7000000000000001E-10</v>
      </c>
      <c r="CQ82" s="49">
        <f t="shared" si="34"/>
        <v>1.7000000000000001E-10</v>
      </c>
    </row>
    <row r="83" spans="1:95">
      <c r="A83" s="22" t="s">
        <v>121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</row>
    <row r="84" spans="1:95">
      <c r="A84" t="s">
        <v>122</v>
      </c>
      <c r="B84" t="s">
        <v>123</v>
      </c>
    </row>
    <row r="85" spans="1:95">
      <c r="A85">
        <v>1</v>
      </c>
      <c r="B85" t="str" cm="1">
        <f t="array" ref="B85">INDEX($B$3:$B$82,A85)</f>
        <v>MEWS Aerated Concrete</v>
      </c>
      <c r="C85" cm="1">
        <f t="array" ref="C85">INDEX(C$3:C$82,$A85)</f>
        <v>6.1555000000000001E-11</v>
      </c>
      <c r="D85" cm="1">
        <f t="array" ref="D85">INDEX(D$3:D$82,$A85)</f>
        <v>4.5350000000000001E-2</v>
      </c>
      <c r="E85" cm="1">
        <f t="array" ref="E85">INDEX(E$3:E$82,$A85)</f>
        <v>-1.7048000000000001</v>
      </c>
      <c r="F85" cm="1">
        <f t="array" ref="F85">INDEX(F$3:F$82,$A85)</f>
        <v>1.2049000000000001</v>
      </c>
      <c r="G85">
        <f>$C85*IF(AND(G$2=0,$D85=0),1,G$2^$D85)*EXP($E85*(1-IF(AND(G$2=0,$F85=0),1,G$2^$F85)))</f>
        <v>0</v>
      </c>
      <c r="H85">
        <f t="shared" ref="H85:BS88" si="36">$C85*IF(AND(H$2=0,$D85=0),1,H$2^$D85)*EXP($E85*(1-IF(AND(H$2=0,$F85=0),1,H$2^$F85)))</f>
        <v>9.5164042572472122E-12</v>
      </c>
      <c r="I85">
        <f t="shared" si="36"/>
        <v>1.0018327225458146E-11</v>
      </c>
      <c r="J85">
        <f t="shared" si="36"/>
        <v>1.0433444240582026E-11</v>
      </c>
      <c r="K85">
        <f t="shared" si="36"/>
        <v>1.0825165580194442E-11</v>
      </c>
      <c r="L85">
        <f t="shared" si="36"/>
        <v>1.1212930845229764E-11</v>
      </c>
      <c r="M85">
        <f t="shared" si="36"/>
        <v>1.1605346040896646E-11</v>
      </c>
      <c r="N85">
        <f t="shared" si="36"/>
        <v>1.200709996426841E-11</v>
      </c>
      <c r="O85">
        <f t="shared" si="36"/>
        <v>1.2421155222653876E-11</v>
      </c>
      <c r="P85">
        <f t="shared" si="36"/>
        <v>1.2849617130041594E-11</v>
      </c>
      <c r="Q85">
        <f t="shared" si="36"/>
        <v>1.329413229919333E-11</v>
      </c>
      <c r="R85">
        <f t="shared" si="36"/>
        <v>1.3756091557642101E-11</v>
      </c>
      <c r="S85">
        <f t="shared" si="36"/>
        <v>1.4236741823641588E-11</v>
      </c>
      <c r="T85">
        <f t="shared" si="36"/>
        <v>1.4737251908197701E-11</v>
      </c>
      <c r="U85">
        <f t="shared" si="36"/>
        <v>1.5258753420263187E-11</v>
      </c>
      <c r="V85">
        <f t="shared" si="36"/>
        <v>1.5802367497397912E-11</v>
      </c>
      <c r="W85">
        <f t="shared" si="36"/>
        <v>1.6369223120051725E-11</v>
      </c>
      <c r="X85">
        <f t="shared" si="36"/>
        <v>1.6960470257084903E-11</v>
      </c>
      <c r="Y85">
        <f t="shared" si="36"/>
        <v>1.7577289752025284E-11</v>
      </c>
      <c r="Z85">
        <f t="shared" si="36"/>
        <v>1.8220901113950452E-11</v>
      </c>
      <c r="AA85">
        <f t="shared" si="36"/>
        <v>1.8892568945303547E-11</v>
      </c>
      <c r="AB85">
        <f t="shared" si="36"/>
        <v>1.9593608480774483E-11</v>
      </c>
      <c r="AC85">
        <f t="shared" si="36"/>
        <v>2.0325390552434935E-11</v>
      </c>
      <c r="AD85">
        <f t="shared" si="36"/>
        <v>2.1089346195972715E-11</v>
      </c>
      <c r="AE85">
        <f t="shared" si="36"/>
        <v>2.1886971048114512E-11</v>
      </c>
      <c r="AF85">
        <f t="shared" si="36"/>
        <v>2.2719829642725325E-11</v>
      </c>
      <c r="AG85">
        <f t="shared" si="36"/>
        <v>2.3589559684581305E-11</v>
      </c>
      <c r="AH85">
        <f t="shared" si="36"/>
        <v>2.4497876360492414E-11</v>
      </c>
      <c r="AI85">
        <f t="shared" si="36"/>
        <v>2.5446576734205907E-11</v>
      </c>
      <c r="AJ85">
        <f t="shared" si="36"/>
        <v>2.6437544262371307E-11</v>
      </c>
      <c r="AK85">
        <f t="shared" si="36"/>
        <v>2.7472753462503301E-11</v>
      </c>
      <c r="AL85">
        <f t="shared" si="36"/>
        <v>2.8554274759489427E-11</v>
      </c>
      <c r="AM85">
        <f t="shared" si="36"/>
        <v>2.9684279534180363E-11</v>
      </c>
      <c r="AN85">
        <f t="shared" si="36"/>
        <v>3.0865045395585048E-11</v>
      </c>
      <c r="AO85">
        <f t="shared" si="36"/>
        <v>3.2098961696900092E-11</v>
      </c>
      <c r="AP85">
        <f t="shared" si="36"/>
        <v>3.3388535314848201E-11</v>
      </c>
      <c r="AQ85">
        <f t="shared" si="36"/>
        <v>3.473639671145097E-11</v>
      </c>
      <c r="AR85">
        <f t="shared" si="36"/>
        <v>3.6145306297326198E-11</v>
      </c>
      <c r="AS85">
        <f t="shared" si="36"/>
        <v>3.7618161115809518E-11</v>
      </c>
      <c r="AT85">
        <f t="shared" si="36"/>
        <v>3.9158001867611462E-11</v>
      </c>
      <c r="AU85">
        <f t="shared" si="36"/>
        <v>4.0768020296295998E-11</v>
      </c>
      <c r="AV85">
        <f t="shared" si="36"/>
        <v>4.245156695558356E-11</v>
      </c>
      <c r="AW85">
        <f t="shared" si="36"/>
        <v>4.4212159380322518E-11</v>
      </c>
      <c r="AX85">
        <f t="shared" si="36"/>
        <v>4.6053490683925581E-11</v>
      </c>
      <c r="AY85">
        <f t="shared" si="36"/>
        <v>4.7979438606124514E-11</v>
      </c>
      <c r="AZ85">
        <f t="shared" si="36"/>
        <v>4.9994075036052409E-11</v>
      </c>
      <c r="BA85">
        <f t="shared" si="36"/>
        <v>5.2101676036914064E-11</v>
      </c>
      <c r="BB85">
        <f t="shared" si="36"/>
        <v>5.4306732399852037E-11</v>
      </c>
      <c r="BC85">
        <f t="shared" si="36"/>
        <v>5.661396075605752E-11</v>
      </c>
      <c r="BD85">
        <f t="shared" si="36"/>
        <v>5.6732092010712545E-11</v>
      </c>
      <c r="BE85">
        <f t="shared" si="36"/>
        <v>5.6850491664149054E-11</v>
      </c>
      <c r="BF85">
        <f t="shared" si="36"/>
        <v>5.6969160353206359E-11</v>
      </c>
      <c r="BG85">
        <f t="shared" si="36"/>
        <v>5.7088098716292645E-11</v>
      </c>
      <c r="BH85">
        <f t="shared" si="36"/>
        <v>5.7207307393388958E-11</v>
      </c>
      <c r="BI85">
        <f t="shared" si="36"/>
        <v>5.7326787026053175E-11</v>
      </c>
      <c r="BJ85">
        <f t="shared" si="36"/>
        <v>5.7446538257424039E-11</v>
      </c>
      <c r="BK85">
        <f t="shared" si="36"/>
        <v>5.7566561732225106E-11</v>
      </c>
      <c r="BL85">
        <f t="shared" si="36"/>
        <v>5.7686858096768828E-11</v>
      </c>
      <c r="BM85">
        <f t="shared" si="36"/>
        <v>5.7807427998960493E-11</v>
      </c>
      <c r="BN85">
        <f t="shared" si="36"/>
        <v>5.7928272088302362E-11</v>
      </c>
      <c r="BO85">
        <f t="shared" si="36"/>
        <v>5.8049391015897662E-11</v>
      </c>
      <c r="BP85">
        <f t="shared" si="36"/>
        <v>5.8170785434454618E-11</v>
      </c>
      <c r="BQ85">
        <f t="shared" si="36"/>
        <v>5.8292455998290588E-11</v>
      </c>
      <c r="BR85">
        <f t="shared" si="36"/>
        <v>5.8414403363336122E-11</v>
      </c>
      <c r="BS85">
        <f t="shared" si="36"/>
        <v>5.8536628187138968E-11</v>
      </c>
      <c r="BT85">
        <f t="shared" ref="BT85:CQ89" si="37">$C85*IF(AND(BT$2=0,$D85=0),1,BT$2^$D85)*EXP($E85*(1-IF(AND(BT$2=0,$F85=0),1,BT$2^$F85)))</f>
        <v>5.8659131128868358E-11</v>
      </c>
      <c r="BU85">
        <f t="shared" si="37"/>
        <v>5.8781912849318869E-11</v>
      </c>
      <c r="BV85">
        <f t="shared" si="37"/>
        <v>5.8904974010914791E-11</v>
      </c>
      <c r="BW85">
        <f t="shared" si="37"/>
        <v>5.9028315277714108E-11</v>
      </c>
      <c r="BX85">
        <f t="shared" si="37"/>
        <v>5.9151937315412689E-11</v>
      </c>
      <c r="BY85">
        <f t="shared" si="37"/>
        <v>5.9275840791348393E-11</v>
      </c>
      <c r="BZ85">
        <f t="shared" si="37"/>
        <v>5.9400026374505362E-11</v>
      </c>
      <c r="CA85">
        <f t="shared" si="37"/>
        <v>5.9524494735518029E-11</v>
      </c>
      <c r="CB85">
        <f t="shared" si="37"/>
        <v>5.9649246546675434E-11</v>
      </c>
      <c r="CC85">
        <f t="shared" si="37"/>
        <v>5.9774282481925371E-11</v>
      </c>
      <c r="CD85">
        <f t="shared" si="37"/>
        <v>5.9899603216878567E-11</v>
      </c>
      <c r="CE85">
        <f t="shared" si="37"/>
        <v>6.0025209428812968E-11</v>
      </c>
      <c r="CF85">
        <f t="shared" si="37"/>
        <v>6.0151101796677917E-11</v>
      </c>
      <c r="CG85">
        <f t="shared" si="37"/>
        <v>6.0277281001098443E-11</v>
      </c>
      <c r="CH85">
        <f t="shared" si="37"/>
        <v>6.0403747724379411E-11</v>
      </c>
      <c r="CI85">
        <f t="shared" si="37"/>
        <v>6.0530502650509945E-11</v>
      </c>
      <c r="CJ85">
        <f t="shared" si="37"/>
        <v>6.0657546465167556E-11</v>
      </c>
      <c r="CK85">
        <f t="shared" si="37"/>
        <v>6.0784879855722494E-11</v>
      </c>
      <c r="CL85">
        <f t="shared" si="37"/>
        <v>6.0912503511242083E-11</v>
      </c>
      <c r="CM85">
        <f t="shared" si="37"/>
        <v>6.1040418122494914E-11</v>
      </c>
      <c r="CN85">
        <f t="shared" si="37"/>
        <v>6.1168624381955276E-11</v>
      </c>
      <c r="CO85">
        <f t="shared" si="37"/>
        <v>6.1297122983807407E-11</v>
      </c>
      <c r="CP85">
        <f t="shared" si="37"/>
        <v>6.1425914623949905E-11</v>
      </c>
      <c r="CQ85">
        <f t="shared" si="37"/>
        <v>6.155500000000004E-11</v>
      </c>
    </row>
    <row r="86" spans="1:95">
      <c r="A86">
        <v>61</v>
      </c>
      <c r="B86" t="str" cm="1">
        <f t="array" ref="B86">INDEX($B$3:$B$82,A86)</f>
        <v>ASHRAE Lime Stone</v>
      </c>
      <c r="C86" cm="1">
        <f t="array" ref="C86">INDEX(C$3:C$82,$A86)</f>
        <v>1.5819E-12</v>
      </c>
      <c r="D86" cm="1">
        <f t="array" ref="D86">INDEX(D$3:D$82,$A86)</f>
        <v>3.8359000000000002E-3</v>
      </c>
      <c r="E86" cm="1">
        <f t="array" ref="E86">INDEX(E$3:E$82,$A86)</f>
        <v>-4.7901999999999996</v>
      </c>
      <c r="F86" cm="1">
        <f t="array" ref="F86">INDEX(F$3:F$82,$A86)</f>
        <v>1.7801</v>
      </c>
      <c r="G86">
        <f t="shared" ref="G86:G89" si="38">$C86*IF(AND(G$2=0,$D86=0),1,G$2^$D86)*EXP($E86*(1-IF(AND(G$2=0,$F86=0),1,G$2^$F86)))</f>
        <v>0</v>
      </c>
      <c r="H86">
        <f t="shared" si="36"/>
        <v>1.3009826554383975E-14</v>
      </c>
      <c r="I86">
        <f t="shared" si="36"/>
        <v>1.3189090754049347E-14</v>
      </c>
      <c r="J86">
        <f t="shared" si="36"/>
        <v>1.3428831876340957E-14</v>
      </c>
      <c r="K86">
        <f t="shared" si="36"/>
        <v>1.3734603395510794E-14</v>
      </c>
      <c r="L86">
        <f t="shared" si="36"/>
        <v>1.4109222734607268E-14</v>
      </c>
      <c r="M86">
        <f t="shared" si="36"/>
        <v>1.4555968008025227E-14</v>
      </c>
      <c r="N86">
        <f t="shared" si="36"/>
        <v>1.5079095044923741E-14</v>
      </c>
      <c r="O86">
        <f t="shared" si="36"/>
        <v>1.5683988000123921E-14</v>
      </c>
      <c r="P86">
        <f t="shared" si="36"/>
        <v>1.6377256135387666E-14</v>
      </c>
      <c r="Q86">
        <f t="shared" si="36"/>
        <v>1.716684125074259E-14</v>
      </c>
      <c r="R86">
        <f t="shared" si="36"/>
        <v>1.8062153052689182E-14</v>
      </c>
      <c r="S86">
        <f t="shared" si="36"/>
        <v>1.9074239236451342E-14</v>
      </c>
      <c r="T86">
        <f t="shared" si="36"/>
        <v>2.0215995121874081E-14</v>
      </c>
      <c r="U86">
        <f t="shared" si="36"/>
        <v>2.1502418114577985E-14</v>
      </c>
      <c r="V86">
        <f t="shared" si="36"/>
        <v>2.2950913491520012E-14</v>
      </c>
      <c r="W86">
        <f t="shared" si="36"/>
        <v>2.4581659624973653E-14</v>
      </c>
      <c r="X86">
        <f t="shared" si="36"/>
        <v>2.6418042686774745E-14</v>
      </c>
      <c r="Y86">
        <f t="shared" si="36"/>
        <v>2.8487173149851012E-14</v>
      </c>
      <c r="Z86">
        <f t="shared" si="36"/>
        <v>3.0820499105131057E-14</v>
      </c>
      <c r="AA86">
        <f t="shared" si="36"/>
        <v>3.3454534644397454E-14</v>
      </c>
      <c r="AB86">
        <f t="shared" si="36"/>
        <v>3.6431725454025216E-14</v>
      </c>
      <c r="AC86">
        <f t="shared" si="36"/>
        <v>3.9801478480288461E-14</v>
      </c>
      <c r="AD86">
        <f t="shared" si="36"/>
        <v>4.3621388259323152E-14</v>
      </c>
      <c r="AE86">
        <f t="shared" si="36"/>
        <v>4.795869949423064E-14</v>
      </c>
      <c r="AF86">
        <f t="shared" si="36"/>
        <v>5.2892054005198819E-14</v>
      </c>
      <c r="AG86">
        <f t="shared" si="36"/>
        <v>5.851358064420509E-14</v>
      </c>
      <c r="AH86">
        <f t="shared" si="36"/>
        <v>6.4931399611784794E-14</v>
      </c>
      <c r="AI86">
        <f t="shared" si="36"/>
        <v>7.2272628410205346E-14</v>
      </c>
      <c r="AJ86">
        <f t="shared" si="36"/>
        <v>8.068699612782839E-14</v>
      </c>
      <c r="AK86">
        <f t="shared" si="36"/>
        <v>9.0351196765022059E-14</v>
      </c>
      <c r="AL86">
        <f t="shared" si="36"/>
        <v>1.0147414199999792E-13</v>
      </c>
      <c r="AM86">
        <f t="shared" si="36"/>
        <v>1.1430331055600598E-13</v>
      </c>
      <c r="AN86">
        <f t="shared" si="36"/>
        <v>1.2913243693310827E-13</v>
      </c>
      <c r="AO86">
        <f t="shared" si="36"/>
        <v>1.4631083892968305E-13</v>
      </c>
      <c r="AP86">
        <f t="shared" si="36"/>
        <v>1.6625475390342519E-13</v>
      </c>
      <c r="AQ86">
        <f t="shared" si="36"/>
        <v>1.8946114165041889E-13</v>
      </c>
      <c r="AR86">
        <f t="shared" si="36"/>
        <v>2.1652452159659403E-13</v>
      </c>
      <c r="AS86">
        <f t="shared" si="36"/>
        <v>2.4815754938199947E-13</v>
      </c>
      <c r="AT86">
        <f t="shared" si="36"/>
        <v>2.8521621009261034E-13</v>
      </c>
      <c r="AU86">
        <f t="shared" si="36"/>
        <v>3.2873072153829803E-13</v>
      </c>
      <c r="AV86">
        <f t="shared" si="36"/>
        <v>3.7994351278809084E-13</v>
      </c>
      <c r="AW86">
        <f t="shared" si="36"/>
        <v>4.4035598558644787E-13</v>
      </c>
      <c r="AX86">
        <f t="shared" si="36"/>
        <v>5.1178619837628021E-13</v>
      </c>
      <c r="AY86">
        <f t="shared" si="36"/>
        <v>5.9644015889165018E-13</v>
      </c>
      <c r="AZ86">
        <f t="shared" si="36"/>
        <v>6.9700010301364527E-13</v>
      </c>
      <c r="BA86">
        <f t="shared" si="36"/>
        <v>8.1673401509980533E-13</v>
      </c>
      <c r="BB86">
        <f t="shared" si="36"/>
        <v>9.5963176016212771E-13</v>
      </c>
      <c r="BC86">
        <f t="shared" si="36"/>
        <v>1.1305746179456815E-12</v>
      </c>
      <c r="BD86">
        <f t="shared" si="36"/>
        <v>1.1399599520732392E-12</v>
      </c>
      <c r="BE86">
        <f t="shared" si="36"/>
        <v>1.149430905788306E-12</v>
      </c>
      <c r="BF86">
        <f t="shared" si="36"/>
        <v>1.1589883162193596E-12</v>
      </c>
      <c r="BG86">
        <f t="shared" si="36"/>
        <v>1.1686330291574348E-12</v>
      </c>
      <c r="BH86">
        <f t="shared" si="36"/>
        <v>1.1783658991501988E-12</v>
      </c>
      <c r="BI86">
        <f t="shared" si="36"/>
        <v>1.188187789597091E-12</v>
      </c>
      <c r="BJ86">
        <f t="shared" si="36"/>
        <v>1.1980995728455391E-12</v>
      </c>
      <c r="BK86">
        <f t="shared" si="36"/>
        <v>1.2081021302882714E-12</v>
      </c>
      <c r="BL86">
        <f t="shared" si="36"/>
        <v>1.2181963524617282E-12</v>
      </c>
      <c r="BM86">
        <f t="shared" si="36"/>
        <v>1.2283831391455897E-12</v>
      </c>
      <c r="BN86">
        <f t="shared" si="36"/>
        <v>1.2386633994634387E-12</v>
      </c>
      <c r="BO86">
        <f t="shared" si="36"/>
        <v>1.2490380519845606E-12</v>
      </c>
      <c r="BP86">
        <f t="shared" si="36"/>
        <v>1.259508024826904E-12</v>
      </c>
      <c r="BQ86">
        <f t="shared" si="36"/>
        <v>1.2700742557612125E-12</v>
      </c>
      <c r="BR86">
        <f t="shared" si="36"/>
        <v>1.280737692316336E-12</v>
      </c>
      <c r="BS86">
        <f t="shared" si="36"/>
        <v>1.2914992918857448E-12</v>
      </c>
      <c r="BT86">
        <f t="shared" si="37"/>
        <v>1.3023600218352538E-12</v>
      </c>
      <c r="BU86">
        <f t="shared" si="37"/>
        <v>1.313320859611975E-12</v>
      </c>
      <c r="BV86">
        <f t="shared" si="37"/>
        <v>1.3243827928545082E-12</v>
      </c>
      <c r="BW86">
        <f t="shared" si="37"/>
        <v>1.335546819504391E-12</v>
      </c>
      <c r="BX86">
        <f t="shared" si="37"/>
        <v>1.3468139479188159E-12</v>
      </c>
      <c r="BY86">
        <f t="shared" si="37"/>
        <v>1.3581851969846394E-12</v>
      </c>
      <c r="BZ86">
        <f t="shared" si="37"/>
        <v>1.3696615962336816E-12</v>
      </c>
      <c r="CA86">
        <f t="shared" si="37"/>
        <v>1.3812441859593556E-12</v>
      </c>
      <c r="CB86">
        <f t="shared" si="37"/>
        <v>1.3929340173346151E-12</v>
      </c>
      <c r="CC86">
        <f t="shared" si="37"/>
        <v>1.4047321525312608E-12</v>
      </c>
      <c r="CD86">
        <f t="shared" si="37"/>
        <v>1.416639664840603E-12</v>
      </c>
      <c r="CE86">
        <f t="shared" si="37"/>
        <v>1.4286576387955094E-12</v>
      </c>
      <c r="CF86">
        <f t="shared" si="37"/>
        <v>1.4407871702938465E-12</v>
      </c>
      <c r="CG86">
        <f t="shared" si="37"/>
        <v>1.4530293667233329E-12</v>
      </c>
      <c r="CH86">
        <f t="shared" si="37"/>
        <v>1.4653853470878269E-12</v>
      </c>
      <c r="CI86">
        <f t="shared" si="37"/>
        <v>1.4778562421350532E-12</v>
      </c>
      <c r="CJ86">
        <f t="shared" si="37"/>
        <v>1.4904431944858001E-12</v>
      </c>
      <c r="CK86">
        <f t="shared" si="37"/>
        <v>1.5031473587645982E-12</v>
      </c>
      <c r="CL86">
        <f t="shared" si="37"/>
        <v>1.5159699017318888E-12</v>
      </c>
      <c r="CM86">
        <f t="shared" si="37"/>
        <v>1.5289120024177224E-12</v>
      </c>
      <c r="CN86">
        <f t="shared" si="37"/>
        <v>1.5419748522569814E-12</v>
      </c>
      <c r="CO86">
        <f t="shared" si="37"/>
        <v>1.5551596552261594E-12</v>
      </c>
      <c r="CP86">
        <f t="shared" si="37"/>
        <v>1.5684676279817144E-12</v>
      </c>
      <c r="CQ86">
        <f t="shared" si="37"/>
        <v>1.5819000000000066E-12</v>
      </c>
    </row>
    <row r="87" spans="1:95">
      <c r="A87">
        <v>43</v>
      </c>
      <c r="B87" t="str" cm="1">
        <f t="array" ref="B87">INDEX($B$3:$B$82,A87)</f>
        <v>ASHRAE OSB -1</v>
      </c>
      <c r="C87" cm="1">
        <f t="array" ref="C87">INDEX(C$3:C$82,$A87)</f>
        <v>3.3724E-12</v>
      </c>
      <c r="D87" cm="1">
        <f t="array" ref="D87">INDEX(D$3:D$82,$A87)</f>
        <v>1.8546</v>
      </c>
      <c r="E87" cm="1">
        <f t="array" ref="E87">INDEX(E$3:E$82,$A87)</f>
        <v>-6.2945000000000001E-2</v>
      </c>
      <c r="F87" cm="1">
        <f t="array" ref="F87">INDEX(F$3:F$82,$A87)</f>
        <v>1.2563</v>
      </c>
      <c r="G87">
        <f t="shared" si="38"/>
        <v>0</v>
      </c>
      <c r="H87">
        <f t="shared" si="36"/>
        <v>2.2381708943335522E-15</v>
      </c>
      <c r="I87">
        <f t="shared" si="36"/>
        <v>8.0995720071415606E-15</v>
      </c>
      <c r="J87">
        <f t="shared" si="36"/>
        <v>1.71932997564595E-14</v>
      </c>
      <c r="K87">
        <f t="shared" si="36"/>
        <v>2.9337143129010762E-14</v>
      </c>
      <c r="L87">
        <f t="shared" si="36"/>
        <v>4.4413758759442347E-14</v>
      </c>
      <c r="M87">
        <f t="shared" si="36"/>
        <v>6.2338603248567201E-14</v>
      </c>
      <c r="N87">
        <f t="shared" si="36"/>
        <v>8.3046947442312149E-14</v>
      </c>
      <c r="O87">
        <f t="shared" si="36"/>
        <v>1.0648731007964484E-13</v>
      </c>
      <c r="P87">
        <f t="shared" si="36"/>
        <v>1.3261767931897831E-13</v>
      </c>
      <c r="Q87">
        <f t="shared" si="36"/>
        <v>1.6140314233118496E-13</v>
      </c>
      <c r="R87">
        <f t="shared" si="36"/>
        <v>1.9281430259197077E-13</v>
      </c>
      <c r="S87">
        <f t="shared" si="36"/>
        <v>2.2682617192950359E-13</v>
      </c>
      <c r="T87">
        <f t="shared" si="36"/>
        <v>2.6341736551541321E-13</v>
      </c>
      <c r="U87">
        <f t="shared" si="36"/>
        <v>3.0256949910818707E-13</v>
      </c>
      <c r="V87">
        <f t="shared" si="36"/>
        <v>3.442667263856043E-13</v>
      </c>
      <c r="W87">
        <f t="shared" si="36"/>
        <v>3.8849537631950218E-13</v>
      </c>
      <c r="X87">
        <f t="shared" si="36"/>
        <v>4.3524366386137406E-13</v>
      </c>
      <c r="Y87">
        <f t="shared" si="36"/>
        <v>4.8450145554985294E-13</v>
      </c>
      <c r="Z87">
        <f t="shared" si="36"/>
        <v>5.3626007705854005E-13</v>
      </c>
      <c r="AA87">
        <f t="shared" si="36"/>
        <v>5.9051215331161345E-13</v>
      </c>
      <c r="AB87">
        <f t="shared" si="36"/>
        <v>6.4725147426550637E-13</v>
      </c>
      <c r="AC87">
        <f t="shared" si="36"/>
        <v>7.0647288118496249E-13</v>
      </c>
      <c r="AD87">
        <f t="shared" si="36"/>
        <v>7.6817216947739285E-13</v>
      </c>
      <c r="AE87">
        <f t="shared" si="36"/>
        <v>8.3234600504779749E-13</v>
      </c>
      <c r="AF87">
        <f t="shared" si="36"/>
        <v>8.9899185180011177E-13</v>
      </c>
      <c r="AG87">
        <f t="shared" si="36"/>
        <v>9.6810790840820146E-13</v>
      </c>
      <c r="AH87">
        <f t="shared" si="36"/>
        <v>1.0396930528573603E-12</v>
      </c>
      <c r="AI87">
        <f t="shared" si="36"/>
        <v>1.1137467935474007E-12</v>
      </c>
      <c r="AJ87">
        <f t="shared" si="36"/>
        <v>1.1902692259738786E-12</v>
      </c>
      <c r="AK87">
        <f t="shared" si="36"/>
        <v>1.2692609941809671E-12</v>
      </c>
      <c r="AL87">
        <f t="shared" si="36"/>
        <v>1.350723256319653E-12</v>
      </c>
      <c r="AM87">
        <f t="shared" si="36"/>
        <v>1.4346576537569145E-12</v>
      </c>
      <c r="AN87">
        <f t="shared" si="36"/>
        <v>1.5210662832717564E-12</v>
      </c>
      <c r="AO87">
        <f t="shared" si="36"/>
        <v>1.6099516719471391E-12</v>
      </c>
      <c r="AP87">
        <f t="shared" si="36"/>
        <v>1.7013167544266532E-12</v>
      </c>
      <c r="AQ87">
        <f t="shared" si="36"/>
        <v>1.7951648522539547E-12</v>
      </c>
      <c r="AR87">
        <f t="shared" si="36"/>
        <v>1.8914996550536753E-12</v>
      </c>
      <c r="AS87">
        <f t="shared" si="36"/>
        <v>1.9903252033463649E-12</v>
      </c>
      <c r="AT87">
        <f t="shared" si="36"/>
        <v>2.09164587281837E-12</v>
      </c>
      <c r="AU87">
        <f t="shared" si="36"/>
        <v>2.1954663598913539E-12</v>
      </c>
      <c r="AV87">
        <f t="shared" si="36"/>
        <v>2.3017916684563064E-12</v>
      </c>
      <c r="AW87">
        <f t="shared" si="36"/>
        <v>2.4106270976539709E-12</v>
      </c>
      <c r="AX87">
        <f t="shared" si="36"/>
        <v>2.5219782305981689E-12</v>
      </c>
      <c r="AY87">
        <f t="shared" si="36"/>
        <v>2.635850923950988E-12</v>
      </c>
      <c r="AZ87">
        <f t="shared" si="36"/>
        <v>2.752251298269495E-12</v>
      </c>
      <c r="BA87">
        <f t="shared" si="36"/>
        <v>2.8711857290528719E-12</v>
      </c>
      <c r="BB87">
        <f t="shared" si="36"/>
        <v>2.9926608384268833E-12</v>
      </c>
      <c r="BC87">
        <f t="shared" si="36"/>
        <v>3.116683487409513E-12</v>
      </c>
      <c r="BD87">
        <f t="shared" si="36"/>
        <v>3.1229516190296158E-12</v>
      </c>
      <c r="BE87">
        <f t="shared" si="36"/>
        <v>3.1292261380853213E-12</v>
      </c>
      <c r="BF87">
        <f t="shared" si="36"/>
        <v>3.1355070454795878E-12</v>
      </c>
      <c r="BG87">
        <f t="shared" si="36"/>
        <v>3.1417943421167743E-12</v>
      </c>
      <c r="BH87">
        <f t="shared" si="36"/>
        <v>3.1480880289026392E-12</v>
      </c>
      <c r="BI87">
        <f t="shared" si="36"/>
        <v>3.1543881067443403E-12</v>
      </c>
      <c r="BJ87">
        <f t="shared" si="36"/>
        <v>3.1606945765504282E-12</v>
      </c>
      <c r="BK87">
        <f t="shared" si="36"/>
        <v>3.1670074392308484E-12</v>
      </c>
      <c r="BL87">
        <f t="shared" si="36"/>
        <v>3.1733266956969389E-12</v>
      </c>
      <c r="BM87">
        <f t="shared" si="36"/>
        <v>3.179652346861425E-12</v>
      </c>
      <c r="BN87">
        <f t="shared" si="36"/>
        <v>3.1859843936384227E-12</v>
      </c>
      <c r="BO87">
        <f t="shared" si="36"/>
        <v>3.1923228369434309E-12</v>
      </c>
      <c r="BP87">
        <f t="shared" si="36"/>
        <v>3.1986676776933348E-12</v>
      </c>
      <c r="BQ87">
        <f t="shared" si="36"/>
        <v>3.205018916806399E-12</v>
      </c>
      <c r="BR87">
        <f t="shared" si="36"/>
        <v>3.2113765552022689E-12</v>
      </c>
      <c r="BS87">
        <f t="shared" si="36"/>
        <v>3.2177405938019683E-12</v>
      </c>
      <c r="BT87">
        <f t="shared" si="37"/>
        <v>3.2241110335278963E-12</v>
      </c>
      <c r="BU87">
        <f t="shared" si="37"/>
        <v>3.2304878753038268E-12</v>
      </c>
      <c r="BV87">
        <f t="shared" si="37"/>
        <v>3.2368711200549054E-12</v>
      </c>
      <c r="BW87">
        <f t="shared" si="37"/>
        <v>3.2432607687076477E-12</v>
      </c>
      <c r="BX87">
        <f t="shared" si="37"/>
        <v>3.2496568221899385E-12</v>
      </c>
      <c r="BY87">
        <f t="shared" si="37"/>
        <v>3.2560592814310277E-12</v>
      </c>
      <c r="BZ87">
        <f t="shared" si="37"/>
        <v>3.2624681473615306E-12</v>
      </c>
      <c r="CA87">
        <f t="shared" si="37"/>
        <v>3.2688834209134265E-12</v>
      </c>
      <c r="CB87">
        <f t="shared" si="37"/>
        <v>3.2753051030200527E-12</v>
      </c>
      <c r="CC87">
        <f t="shared" si="37"/>
        <v>3.2817331946161074E-12</v>
      </c>
      <c r="CD87">
        <f t="shared" si="37"/>
        <v>3.2881676966376457E-12</v>
      </c>
      <c r="CE87">
        <f t="shared" si="37"/>
        <v>3.2946086100220773E-12</v>
      </c>
      <c r="CF87">
        <f t="shared" si="37"/>
        <v>3.3010559357081654E-12</v>
      </c>
      <c r="CG87">
        <f t="shared" si="37"/>
        <v>3.3075096746360249E-12</v>
      </c>
      <c r="CH87">
        <f t="shared" si="37"/>
        <v>3.3139698277471211E-12</v>
      </c>
      <c r="CI87">
        <f t="shared" si="37"/>
        <v>3.3204363959842654E-12</v>
      </c>
      <c r="CJ87">
        <f t="shared" si="37"/>
        <v>3.3269093802916166E-12</v>
      </c>
      <c r="CK87">
        <f t="shared" si="37"/>
        <v>3.3333887816146773E-12</v>
      </c>
      <c r="CL87">
        <f t="shared" si="37"/>
        <v>3.3398746009002926E-12</v>
      </c>
      <c r="CM87">
        <f t="shared" si="37"/>
        <v>3.3463668390966482E-12</v>
      </c>
      <c r="CN87">
        <f t="shared" si="37"/>
        <v>3.3528654971532687E-12</v>
      </c>
      <c r="CO87">
        <f t="shared" si="37"/>
        <v>3.3593705760210143E-12</v>
      </c>
      <c r="CP87">
        <f t="shared" si="37"/>
        <v>3.3658820766520826E-12</v>
      </c>
      <c r="CQ87">
        <f t="shared" si="37"/>
        <v>3.3724000000000029E-12</v>
      </c>
    </row>
    <row r="88" spans="1:95">
      <c r="A88">
        <v>61</v>
      </c>
      <c r="B88" t="str" cm="1">
        <f t="array" ref="B88">INDEX($B$3:$B$82,A88)</f>
        <v>ASHRAE Lime Stone</v>
      </c>
      <c r="C88" cm="1">
        <f t="array" ref="C88">INDEX(C$3:C$82,$A88)</f>
        <v>1.5819E-12</v>
      </c>
      <c r="D88" cm="1">
        <f t="array" ref="D88">INDEX(D$3:D$82,$A88)</f>
        <v>3.8359000000000002E-3</v>
      </c>
      <c r="E88" cm="1">
        <f t="array" ref="E88">INDEX(E$3:E$82,$A88)</f>
        <v>-4.7901999999999996</v>
      </c>
      <c r="F88" cm="1">
        <f t="array" ref="F88">INDEX(F$3:F$82,$A88)</f>
        <v>1.7801</v>
      </c>
      <c r="G88">
        <f t="shared" si="38"/>
        <v>0</v>
      </c>
      <c r="H88">
        <f t="shared" si="36"/>
        <v>1.3009826554383975E-14</v>
      </c>
      <c r="I88">
        <f t="shared" si="36"/>
        <v>1.3189090754049347E-14</v>
      </c>
      <c r="J88">
        <f t="shared" si="36"/>
        <v>1.3428831876340957E-14</v>
      </c>
      <c r="K88">
        <f t="shared" si="36"/>
        <v>1.3734603395510794E-14</v>
      </c>
      <c r="L88">
        <f t="shared" si="36"/>
        <v>1.4109222734607268E-14</v>
      </c>
      <c r="M88">
        <f t="shared" si="36"/>
        <v>1.4555968008025227E-14</v>
      </c>
      <c r="N88">
        <f t="shared" si="36"/>
        <v>1.5079095044923741E-14</v>
      </c>
      <c r="O88">
        <f t="shared" si="36"/>
        <v>1.5683988000123921E-14</v>
      </c>
      <c r="P88">
        <f t="shared" si="36"/>
        <v>1.6377256135387666E-14</v>
      </c>
      <c r="Q88">
        <f t="shared" si="36"/>
        <v>1.716684125074259E-14</v>
      </c>
      <c r="R88">
        <f t="shared" si="36"/>
        <v>1.8062153052689182E-14</v>
      </c>
      <c r="S88">
        <f t="shared" si="36"/>
        <v>1.9074239236451342E-14</v>
      </c>
      <c r="T88">
        <f t="shared" si="36"/>
        <v>2.0215995121874081E-14</v>
      </c>
      <c r="U88">
        <f t="shared" si="36"/>
        <v>2.1502418114577985E-14</v>
      </c>
      <c r="V88">
        <f t="shared" si="36"/>
        <v>2.2950913491520012E-14</v>
      </c>
      <c r="W88">
        <f t="shared" si="36"/>
        <v>2.4581659624973653E-14</v>
      </c>
      <c r="X88">
        <f t="shared" si="36"/>
        <v>2.6418042686774745E-14</v>
      </c>
      <c r="Y88">
        <f t="shared" si="36"/>
        <v>2.8487173149851012E-14</v>
      </c>
      <c r="Z88">
        <f t="shared" si="36"/>
        <v>3.0820499105131057E-14</v>
      </c>
      <c r="AA88">
        <f t="shared" si="36"/>
        <v>3.3454534644397454E-14</v>
      </c>
      <c r="AB88">
        <f t="shared" si="36"/>
        <v>3.6431725454025216E-14</v>
      </c>
      <c r="AC88">
        <f t="shared" si="36"/>
        <v>3.9801478480288461E-14</v>
      </c>
      <c r="AD88">
        <f t="shared" si="36"/>
        <v>4.3621388259323152E-14</v>
      </c>
      <c r="AE88">
        <f t="shared" si="36"/>
        <v>4.795869949423064E-14</v>
      </c>
      <c r="AF88">
        <f t="shared" si="36"/>
        <v>5.2892054005198819E-14</v>
      </c>
      <c r="AG88">
        <f t="shared" si="36"/>
        <v>5.851358064420509E-14</v>
      </c>
      <c r="AH88">
        <f t="shared" si="36"/>
        <v>6.4931399611784794E-14</v>
      </c>
      <c r="AI88">
        <f t="shared" si="36"/>
        <v>7.2272628410205346E-14</v>
      </c>
      <c r="AJ88">
        <f t="shared" si="36"/>
        <v>8.068699612782839E-14</v>
      </c>
      <c r="AK88">
        <f t="shared" si="36"/>
        <v>9.0351196765022059E-14</v>
      </c>
      <c r="AL88">
        <f t="shared" si="36"/>
        <v>1.0147414199999792E-13</v>
      </c>
      <c r="AM88">
        <f t="shared" si="36"/>
        <v>1.1430331055600598E-13</v>
      </c>
      <c r="AN88">
        <f t="shared" si="36"/>
        <v>1.2913243693310827E-13</v>
      </c>
      <c r="AO88">
        <f t="shared" si="36"/>
        <v>1.4631083892968305E-13</v>
      </c>
      <c r="AP88">
        <f t="shared" si="36"/>
        <v>1.6625475390342519E-13</v>
      </c>
      <c r="AQ88">
        <f t="shared" si="36"/>
        <v>1.8946114165041889E-13</v>
      </c>
      <c r="AR88">
        <f t="shared" si="36"/>
        <v>2.1652452159659403E-13</v>
      </c>
      <c r="AS88">
        <f t="shared" si="36"/>
        <v>2.4815754938199947E-13</v>
      </c>
      <c r="AT88">
        <f t="shared" si="36"/>
        <v>2.8521621009261034E-13</v>
      </c>
      <c r="AU88">
        <f t="shared" si="36"/>
        <v>3.2873072153829803E-13</v>
      </c>
      <c r="AV88">
        <f t="shared" si="36"/>
        <v>3.7994351278809084E-13</v>
      </c>
      <c r="AW88">
        <f t="shared" si="36"/>
        <v>4.4035598558644787E-13</v>
      </c>
      <c r="AX88">
        <f t="shared" si="36"/>
        <v>5.1178619837628021E-13</v>
      </c>
      <c r="AY88">
        <f t="shared" si="36"/>
        <v>5.9644015889165018E-13</v>
      </c>
      <c r="AZ88">
        <f t="shared" si="36"/>
        <v>6.9700010301364527E-13</v>
      </c>
      <c r="BA88">
        <f t="shared" si="36"/>
        <v>8.1673401509980533E-13</v>
      </c>
      <c r="BB88">
        <f t="shared" si="36"/>
        <v>9.5963176016212771E-13</v>
      </c>
      <c r="BC88">
        <f t="shared" si="36"/>
        <v>1.1305746179456815E-12</v>
      </c>
      <c r="BD88">
        <f t="shared" si="36"/>
        <v>1.1399599520732392E-12</v>
      </c>
      <c r="BE88">
        <f t="shared" si="36"/>
        <v>1.149430905788306E-12</v>
      </c>
      <c r="BF88">
        <f t="shared" si="36"/>
        <v>1.1589883162193596E-12</v>
      </c>
      <c r="BG88">
        <f t="shared" si="36"/>
        <v>1.1686330291574348E-12</v>
      </c>
      <c r="BH88">
        <f t="shared" si="36"/>
        <v>1.1783658991501988E-12</v>
      </c>
      <c r="BI88">
        <f t="shared" si="36"/>
        <v>1.188187789597091E-12</v>
      </c>
      <c r="BJ88">
        <f t="shared" si="36"/>
        <v>1.1980995728455391E-12</v>
      </c>
      <c r="BK88">
        <f t="shared" si="36"/>
        <v>1.2081021302882714E-12</v>
      </c>
      <c r="BL88">
        <f t="shared" si="36"/>
        <v>1.2181963524617282E-12</v>
      </c>
      <c r="BM88">
        <f t="shared" si="36"/>
        <v>1.2283831391455897E-12</v>
      </c>
      <c r="BN88">
        <f t="shared" si="36"/>
        <v>1.2386633994634387E-12</v>
      </c>
      <c r="BO88">
        <f t="shared" si="36"/>
        <v>1.2490380519845606E-12</v>
      </c>
      <c r="BP88">
        <f t="shared" si="36"/>
        <v>1.259508024826904E-12</v>
      </c>
      <c r="BQ88">
        <f t="shared" si="36"/>
        <v>1.2700742557612125E-12</v>
      </c>
      <c r="BR88">
        <f t="shared" si="36"/>
        <v>1.280737692316336E-12</v>
      </c>
      <c r="BS88">
        <f t="shared" ref="H88:BS89" si="39">$C88*IF(AND(BS$2=0,$D88=0),1,BS$2^$D88)*EXP($E88*(1-IF(AND(BS$2=0,$F88=0),1,BS$2^$F88)))</f>
        <v>1.2914992918857448E-12</v>
      </c>
      <c r="BT88">
        <f t="shared" si="37"/>
        <v>1.3023600218352538E-12</v>
      </c>
      <c r="BU88">
        <f t="shared" si="37"/>
        <v>1.313320859611975E-12</v>
      </c>
      <c r="BV88">
        <f t="shared" si="37"/>
        <v>1.3243827928545082E-12</v>
      </c>
      <c r="BW88">
        <f t="shared" si="37"/>
        <v>1.335546819504391E-12</v>
      </c>
      <c r="BX88">
        <f t="shared" si="37"/>
        <v>1.3468139479188159E-12</v>
      </c>
      <c r="BY88">
        <f t="shared" si="37"/>
        <v>1.3581851969846394E-12</v>
      </c>
      <c r="BZ88">
        <f t="shared" si="37"/>
        <v>1.3696615962336816E-12</v>
      </c>
      <c r="CA88">
        <f t="shared" si="37"/>
        <v>1.3812441859593556E-12</v>
      </c>
      <c r="CB88">
        <f t="shared" si="37"/>
        <v>1.3929340173346151E-12</v>
      </c>
      <c r="CC88">
        <f t="shared" si="37"/>
        <v>1.4047321525312608E-12</v>
      </c>
      <c r="CD88">
        <f t="shared" si="37"/>
        <v>1.416639664840603E-12</v>
      </c>
      <c r="CE88">
        <f t="shared" si="37"/>
        <v>1.4286576387955094E-12</v>
      </c>
      <c r="CF88">
        <f t="shared" si="37"/>
        <v>1.4407871702938465E-12</v>
      </c>
      <c r="CG88">
        <f t="shared" si="37"/>
        <v>1.4530293667233329E-12</v>
      </c>
      <c r="CH88">
        <f t="shared" si="37"/>
        <v>1.4653853470878269E-12</v>
      </c>
      <c r="CI88">
        <f t="shared" si="37"/>
        <v>1.4778562421350532E-12</v>
      </c>
      <c r="CJ88">
        <f t="shared" si="37"/>
        <v>1.4904431944858001E-12</v>
      </c>
      <c r="CK88">
        <f t="shared" si="37"/>
        <v>1.5031473587645982E-12</v>
      </c>
      <c r="CL88">
        <f t="shared" si="37"/>
        <v>1.5159699017318888E-12</v>
      </c>
      <c r="CM88">
        <f t="shared" si="37"/>
        <v>1.5289120024177224E-12</v>
      </c>
      <c r="CN88">
        <f t="shared" si="37"/>
        <v>1.5419748522569814E-12</v>
      </c>
      <c r="CO88">
        <f t="shared" si="37"/>
        <v>1.5551596552261594E-12</v>
      </c>
      <c r="CP88">
        <f t="shared" si="37"/>
        <v>1.5684676279817144E-12</v>
      </c>
      <c r="CQ88">
        <f t="shared" si="37"/>
        <v>1.5819000000000066E-12</v>
      </c>
    </row>
    <row r="89" spans="1:95">
      <c r="A89">
        <v>75</v>
      </c>
      <c r="B89" t="str" cm="1">
        <f t="array" ref="B89">INDEX($B$3:$B$82,A89)</f>
        <v>ASHRAE Vinyl Wallpaper</v>
      </c>
      <c r="C89" cm="1">
        <f t="array" ref="C89">INDEX(C$3:C$82,$A89)</f>
        <v>1.1383000000000001E-13</v>
      </c>
      <c r="D89" cm="1">
        <f t="array" ref="D89">INDEX(D$3:D$82,$A89)</f>
        <v>9.7079999999999996E-3</v>
      </c>
      <c r="E89" cm="1">
        <f t="array" ref="E89">INDEX(E$3:E$82,$A89)</f>
        <v>-2.1326999999999998</v>
      </c>
      <c r="F89" cm="1">
        <f t="array" ref="F89">INDEX(F$3:F$82,$A89)</f>
        <v>0.86873999999999996</v>
      </c>
      <c r="G89">
        <f t="shared" si="38"/>
        <v>0</v>
      </c>
      <c r="H89">
        <f t="shared" si="39"/>
        <v>1.3947607714737409E-14</v>
      </c>
      <c r="I89">
        <f t="shared" si="39"/>
        <v>1.4893412586213931E-14</v>
      </c>
      <c r="J89">
        <f t="shared" si="39"/>
        <v>1.5796947608692723E-14</v>
      </c>
      <c r="K89">
        <f t="shared" si="39"/>
        <v>1.6696021411570243E-14</v>
      </c>
      <c r="L89">
        <f t="shared" si="39"/>
        <v>1.760497987560314E-14</v>
      </c>
      <c r="M89">
        <f t="shared" si="39"/>
        <v>1.8531464196373161E-14</v>
      </c>
      <c r="N89">
        <f t="shared" si="39"/>
        <v>1.9480383706589929E-14</v>
      </c>
      <c r="O89">
        <f t="shared" si="39"/>
        <v>2.0455312363753656E-14</v>
      </c>
      <c r="P89">
        <f t="shared" si="39"/>
        <v>2.1459095741844975E-14</v>
      </c>
      <c r="Q89">
        <f t="shared" si="39"/>
        <v>2.2494153726749305E-14</v>
      </c>
      <c r="R89">
        <f t="shared" si="39"/>
        <v>2.3562646986224339E-14</v>
      </c>
      <c r="S89">
        <f t="shared" si="39"/>
        <v>2.4666575582933548E-14</v>
      </c>
      <c r="T89">
        <f t="shared" si="39"/>
        <v>2.5807840954688445E-14</v>
      </c>
      <c r="U89">
        <f t="shared" si="39"/>
        <v>2.6988286834136081E-14</v>
      </c>
      <c r="V89">
        <f t="shared" si="39"/>
        <v>2.8209727433057016E-14</v>
      </c>
      <c r="W89">
        <f t="shared" si="39"/>
        <v>2.9473967600400809E-14</v>
      </c>
      <c r="X89">
        <f t="shared" si="39"/>
        <v>3.0782817745481349E-14</v>
      </c>
      <c r="Y89">
        <f t="shared" si="39"/>
        <v>3.2138105247775439E-14</v>
      </c>
      <c r="Z89">
        <f t="shared" si="39"/>
        <v>3.3541683451561717E-14</v>
      </c>
      <c r="AA89">
        <f t="shared" si="39"/>
        <v>3.499543896701528E-14</v>
      </c>
      <c r="AB89">
        <f t="shared" si="39"/>
        <v>3.6501297764364416E-14</v>
      </c>
      <c r="AC89">
        <f t="shared" si="39"/>
        <v>3.8061230396899509E-14</v>
      </c>
      <c r="AD89">
        <f t="shared" si="39"/>
        <v>3.9677256589407267E-14</v>
      </c>
      <c r="AE89">
        <f t="shared" si="39"/>
        <v>4.1351449361877072E-14</v>
      </c>
      <c r="AF89">
        <f t="shared" si="39"/>
        <v>4.3085938812554855E-14</v>
      </c>
      <c r="AG89">
        <f t="shared" si="39"/>
        <v>4.4882915652460701E-14</v>
      </c>
      <c r="AH89">
        <f t="shared" si="39"/>
        <v>4.6744634560810782E-14</v>
      </c>
      <c r="AI89">
        <f t="shared" si="39"/>
        <v>4.8673417414460268E-14</v>
      </c>
      <c r="AJ89">
        <f t="shared" si="39"/>
        <v>5.0671656432576432E-14</v>
      </c>
      <c r="AK89">
        <f t="shared" si="39"/>
        <v>5.2741817268962762E-14</v>
      </c>
      <c r="AL89">
        <f t="shared" si="39"/>
        <v>5.4886442077895411E-14</v>
      </c>
      <c r="AM89">
        <f t="shared" si="39"/>
        <v>5.7108152574392989E-14</v>
      </c>
      <c r="AN89">
        <f t="shared" si="39"/>
        <v>5.9409653106084262E-14</v>
      </c>
      <c r="AO89">
        <f t="shared" si="39"/>
        <v>6.1793733750962422E-14</v>
      </c>
      <c r="AP89">
        <f t="shared" si="39"/>
        <v>6.4263273453096113E-14</v>
      </c>
      <c r="AQ89">
        <f t="shared" si="39"/>
        <v>6.6821243206648611E-14</v>
      </c>
      <c r="AR89">
        <f t="shared" si="39"/>
        <v>6.9470709297216471E-14</v>
      </c>
      <c r="AS89">
        <f t="shared" si="39"/>
        <v>7.2214836608453329E-14</v>
      </c>
      <c r="AT89">
        <f t="shared" si="39"/>
        <v>7.5056892001125031E-14</v>
      </c>
      <c r="AU89">
        <f t="shared" si="39"/>
        <v>7.8000247771102316E-14</v>
      </c>
      <c r="AV89">
        <f t="shared" si="39"/>
        <v>8.1048385192296255E-14</v>
      </c>
      <c r="AW89">
        <f t="shared" si="39"/>
        <v>8.4204898150153462E-14</v>
      </c>
      <c r="AX89">
        <f t="shared" si="39"/>
        <v>8.7473496871029156E-14</v>
      </c>
      <c r="AY89">
        <f t="shared" si="39"/>
        <v>9.0858011752529104E-14</v>
      </c>
      <c r="AZ89">
        <f t="shared" si="39"/>
        <v>9.436239729974361E-14</v>
      </c>
      <c r="BA89">
        <f t="shared" si="39"/>
        <v>9.799073617217663E-14</v>
      </c>
      <c r="BB89">
        <f t="shared" si="39"/>
        <v>1.0174724334609306E-13</v>
      </c>
      <c r="BC89">
        <f t="shared" si="39"/>
        <v>1.0563627039696048E-13</v>
      </c>
      <c r="BD89">
        <f t="shared" si="39"/>
        <v>1.0583428036957405E-13</v>
      </c>
      <c r="BE89">
        <f t="shared" si="39"/>
        <v>1.0603263341407314E-13</v>
      </c>
      <c r="BF89">
        <f t="shared" si="39"/>
        <v>1.0623133010234917E-13</v>
      </c>
      <c r="BG89">
        <f t="shared" si="39"/>
        <v>1.0643037100720593E-13</v>
      </c>
      <c r="BH89">
        <f t="shared" si="39"/>
        <v>1.06629756702361E-13</v>
      </c>
      <c r="BI89">
        <f t="shared" si="39"/>
        <v>1.0682948776244731E-13</v>
      </c>
      <c r="BJ89">
        <f t="shared" si="39"/>
        <v>1.070295647630144E-13</v>
      </c>
      <c r="BK89">
        <f t="shared" si="39"/>
        <v>1.0722998828053014E-13</v>
      </c>
      <c r="BL89">
        <f t="shared" si="39"/>
        <v>1.0743075889238184E-13</v>
      </c>
      <c r="BM89">
        <f t="shared" si="39"/>
        <v>1.0763187717687801E-13</v>
      </c>
      <c r="BN89">
        <f t="shared" si="39"/>
        <v>1.0783334371324966E-13</v>
      </c>
      <c r="BO89">
        <f t="shared" si="39"/>
        <v>1.0803515908165181E-13</v>
      </c>
      <c r="BP89">
        <f t="shared" si="39"/>
        <v>1.0823732386316487E-13</v>
      </c>
      <c r="BQ89">
        <f t="shared" si="39"/>
        <v>1.0843983863979622E-13</v>
      </c>
      <c r="BR89">
        <f t="shared" si="39"/>
        <v>1.0864270399448161E-13</v>
      </c>
      <c r="BS89">
        <f t="shared" si="39"/>
        <v>1.0884592051108664E-13</v>
      </c>
      <c r="BT89">
        <f t="shared" si="37"/>
        <v>1.0904948877440817E-13</v>
      </c>
      <c r="BU89">
        <f t="shared" si="37"/>
        <v>1.0925340937017595E-13</v>
      </c>
      <c r="BV89">
        <f t="shared" si="37"/>
        <v>1.0945768288505392E-13</v>
      </c>
      <c r="BW89">
        <f t="shared" si="37"/>
        <v>1.0966230990664172E-13</v>
      </c>
      <c r="BX89">
        <f t="shared" si="37"/>
        <v>1.0986729102347624E-13</v>
      </c>
      <c r="BY89">
        <f t="shared" si="37"/>
        <v>1.1007262682503314E-13</v>
      </c>
      <c r="BZ89">
        <f t="shared" si="37"/>
        <v>1.1027831790172815E-13</v>
      </c>
      <c r="CA89">
        <f t="shared" si="37"/>
        <v>1.1048436484491867E-13</v>
      </c>
      <c r="CB89">
        <f t="shared" si="37"/>
        <v>1.1069076824690524E-13</v>
      </c>
      <c r="CC89">
        <f t="shared" si="37"/>
        <v>1.108975287009331E-13</v>
      </c>
      <c r="CD89">
        <f t="shared" si="37"/>
        <v>1.1110464680119356E-13</v>
      </c>
      <c r="CE89">
        <f t="shared" si="37"/>
        <v>1.1131212314282547E-13</v>
      </c>
      <c r="CF89">
        <f t="shared" si="37"/>
        <v>1.1151995832191699E-13</v>
      </c>
      <c r="CG89">
        <f t="shared" si="37"/>
        <v>1.1172815293550668E-13</v>
      </c>
      <c r="CH89">
        <f t="shared" si="37"/>
        <v>1.1193670758158536E-13</v>
      </c>
      <c r="CI89">
        <f t="shared" si="37"/>
        <v>1.1214562285909731E-13</v>
      </c>
      <c r="CJ89">
        <f t="shared" si="37"/>
        <v>1.1235489936794208E-13</v>
      </c>
      <c r="CK89">
        <f t="shared" si="37"/>
        <v>1.1256453770897579E-13</v>
      </c>
      <c r="CL89">
        <f t="shared" si="37"/>
        <v>1.1277453848401254E-13</v>
      </c>
      <c r="CM89">
        <f t="shared" si="37"/>
        <v>1.129849022958263E-13</v>
      </c>
      <c r="CN89">
        <f t="shared" si="37"/>
        <v>1.1319562974815202E-13</v>
      </c>
      <c r="CO89">
        <f t="shared" si="37"/>
        <v>1.1340672144568739E-13</v>
      </c>
      <c r="CP89">
        <f t="shared" si="37"/>
        <v>1.1361817799409423E-13</v>
      </c>
      <c r="CQ89">
        <f t="shared" si="37"/>
        <v>1.1383000000000011E-13</v>
      </c>
    </row>
  </sheetData>
  <phoneticPr fontId="1"/>
  <dataValidations count="1">
    <dataValidation type="list" allowBlank="1" showInputMessage="1" showErrorMessage="1" sqref="A85:A89" xr:uid="{F5E9C608-A742-E84D-8C46-243518772091}">
      <formula1>$A$3:$A$82</formula1>
    </dataValidation>
  </dataValidations>
  <pageMargins left="0.75" right="0.75" top="1" bottom="1" header="0.51200000000000001" footer="0.51200000000000001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EA43-04CE-EE47-8432-93636709B166}">
  <dimension ref="A1:CW89"/>
  <sheetViews>
    <sheetView topLeftCell="A10" workbookViewId="0">
      <selection activeCell="M64" sqref="M64"/>
    </sheetView>
  </sheetViews>
  <sheetFormatPr baseColWidth="10" defaultRowHeight="14"/>
  <cols>
    <col min="1" max="1" width="8.83203125" customWidth="1"/>
    <col min="2" max="2" width="42.83203125" bestFit="1" customWidth="1"/>
    <col min="3" max="3" width="9.33203125" bestFit="1" customWidth="1"/>
    <col min="4" max="11" width="8.83203125" customWidth="1"/>
    <col min="12" max="12" width="9.5" bestFit="1" customWidth="1"/>
    <col min="13" max="176" width="8.83203125" customWidth="1"/>
  </cols>
  <sheetData>
    <row r="1" spans="1:101">
      <c r="A1" s="22" t="s">
        <v>1</v>
      </c>
      <c r="B1" s="22"/>
      <c r="C1" s="22"/>
      <c r="D1" s="30" t="s">
        <v>138</v>
      </c>
      <c r="E1" s="22"/>
      <c r="F1" s="22"/>
      <c r="G1" s="22"/>
      <c r="H1" s="31" t="s">
        <v>139</v>
      </c>
      <c r="I1" s="22"/>
      <c r="J1" s="52" t="s">
        <v>142</v>
      </c>
      <c r="K1" s="22"/>
      <c r="L1" s="22"/>
      <c r="M1" s="22"/>
      <c r="N1" s="22" t="inlineStr">
        <is>
          <t>境目 X0</t>
        </is>
      </c>
      <c r="O1" s="22">
        <v>0.98</v>
      </c>
      <c r="P1" s="22" t="inlineStr">
        <is>
          <t>Parameter=2 の直線に切り替える相対湿度。プログラム（material_props.py の PowerExpIsotherm）と同じ値。変えるときは両方直す。</t>
        </is>
      </c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</row>
    <row r="2" spans="1:101">
      <c r="A2" s="33"/>
      <c r="B2" s="33" t="s">
        <v>120</v>
      </c>
      <c r="C2" s="33" t="s">
        <v>135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136</v>
      </c>
      <c r="I2" s="34" t="s">
        <v>137</v>
      </c>
      <c r="J2" s="33" t="s">
        <v>143</v>
      </c>
      <c r="K2" s="33" t="s">
        <v>144</v>
      </c>
      <c r="L2" s="34" t="s">
        <v>145</v>
      </c>
      <c r="M2" s="33">
        <v>0</v>
      </c>
      <c r="N2" s="33">
        <v>0.02</v>
      </c>
      <c r="O2" s="33">
        <v>0.04</v>
      </c>
      <c r="P2" s="33">
        <v>0.06</v>
      </c>
      <c r="Q2" s="33">
        <v>0.08</v>
      </c>
      <c r="R2" s="33">
        <v>0.1</v>
      </c>
      <c r="S2" s="33">
        <v>0.12000000000000001</v>
      </c>
      <c r="T2" s="33">
        <v>0.14000000000000001</v>
      </c>
      <c r="U2" s="33">
        <v>0.16</v>
      </c>
      <c r="V2" s="33">
        <v>0.18</v>
      </c>
      <c r="W2" s="33">
        <v>0.19999999999999998</v>
      </c>
      <c r="X2" s="33">
        <v>0.21999999999999997</v>
      </c>
      <c r="Y2" s="33">
        <v>0.23999999999999996</v>
      </c>
      <c r="Z2" s="33">
        <v>0.25999999999999995</v>
      </c>
      <c r="AA2" s="33">
        <v>0.27999999999999997</v>
      </c>
      <c r="AB2" s="33">
        <v>0.3</v>
      </c>
      <c r="AC2" s="33">
        <v>0.32</v>
      </c>
      <c r="AD2" s="33">
        <v>0.34</v>
      </c>
      <c r="AE2" s="33">
        <v>0.36000000000000004</v>
      </c>
      <c r="AF2" s="33">
        <v>0.38000000000000006</v>
      </c>
      <c r="AG2" s="33">
        <v>0.40000000000000008</v>
      </c>
      <c r="AH2" s="33">
        <v>0.4200000000000001</v>
      </c>
      <c r="AI2" s="33">
        <v>0.44000000000000011</v>
      </c>
      <c r="AJ2" s="33">
        <v>0.46000000000000013</v>
      </c>
      <c r="AK2" s="33">
        <v>0.48000000000000015</v>
      </c>
      <c r="AL2" s="33">
        <v>0.50000000000000011</v>
      </c>
      <c r="AM2" s="33">
        <v>0.52000000000000013</v>
      </c>
      <c r="AN2" s="33">
        <v>0.54000000000000015</v>
      </c>
      <c r="AO2" s="33">
        <v>0.56000000000000016</v>
      </c>
      <c r="AP2" s="33">
        <v>0.58000000000000018</v>
      </c>
      <c r="AQ2" s="33">
        <v>0.6000000000000002</v>
      </c>
      <c r="AR2" s="33">
        <v>0.62000000000000022</v>
      </c>
      <c r="AS2" s="33">
        <v>0.64000000000000024</v>
      </c>
      <c r="AT2" s="33">
        <v>0.66000000000000025</v>
      </c>
      <c r="AU2" s="33">
        <v>0.68000000000000027</v>
      </c>
      <c r="AV2" s="33">
        <v>0.70000000000000029</v>
      </c>
      <c r="AW2" s="33">
        <v>0.72000000000000031</v>
      </c>
      <c r="AX2" s="33">
        <v>0.74000000000000032</v>
      </c>
      <c r="AY2" s="33">
        <v>0.76000000000000034</v>
      </c>
      <c r="AZ2" s="33">
        <v>0.78000000000000036</v>
      </c>
      <c r="BA2" s="33">
        <v>0.80000000000000038</v>
      </c>
      <c r="BB2" s="33">
        <v>0.8200000000000004</v>
      </c>
      <c r="BC2" s="33">
        <v>0.84000000000000041</v>
      </c>
      <c r="BD2" s="33">
        <v>0.86000000000000043</v>
      </c>
      <c r="BE2" s="33">
        <v>0.88000000000000045</v>
      </c>
      <c r="BF2" s="33">
        <v>0.90000000000000047</v>
      </c>
      <c r="BG2" s="33">
        <v>0.92000000000000048</v>
      </c>
      <c r="BH2" s="33">
        <v>0.9400000000000005</v>
      </c>
      <c r="BI2" s="33">
        <v>0.96000000000000052</v>
      </c>
      <c r="BJ2" s="33">
        <v>0.96100000000000052</v>
      </c>
      <c r="BK2" s="33">
        <v>0.96200000000000052</v>
      </c>
      <c r="BL2" s="33">
        <v>0.96300000000000052</v>
      </c>
      <c r="BM2" s="33">
        <v>0.96400000000000052</v>
      </c>
      <c r="BN2" s="33">
        <v>0.96500000000000052</v>
      </c>
      <c r="BO2" s="33">
        <v>0.96600000000000052</v>
      </c>
      <c r="BP2" s="33">
        <v>0.96700000000000053</v>
      </c>
      <c r="BQ2" s="33">
        <v>0.96800000000000053</v>
      </c>
      <c r="BR2" s="33">
        <v>0.96900000000000053</v>
      </c>
      <c r="BS2" s="33">
        <v>0.97000000000000053</v>
      </c>
      <c r="BT2" s="33">
        <v>0.97100000000000053</v>
      </c>
      <c r="BU2" s="33">
        <v>0.97200000000000053</v>
      </c>
      <c r="BV2" s="33">
        <v>0.97300000000000053</v>
      </c>
      <c r="BW2" s="33">
        <v>0.97400000000000053</v>
      </c>
      <c r="BX2" s="33">
        <v>0.97500000000000053</v>
      </c>
      <c r="BY2" s="33">
        <v>0.97600000000000053</v>
      </c>
      <c r="BZ2" s="33">
        <v>0.97700000000000053</v>
      </c>
      <c r="CA2" s="33">
        <v>0.97800000000000054</v>
      </c>
      <c r="CB2" s="33">
        <v>0.97900000000000054</v>
      </c>
      <c r="CC2" s="33">
        <v>0.98000000000000054</v>
      </c>
      <c r="CD2" s="33">
        <v>0.98100000000000054</v>
      </c>
      <c r="CE2" s="33">
        <v>0.98200000000000054</v>
      </c>
      <c r="CF2" s="33">
        <v>0.98300000000000054</v>
      </c>
      <c r="CG2" s="33">
        <v>0.98400000000000054</v>
      </c>
      <c r="CH2" s="33">
        <v>0.98500000000000054</v>
      </c>
      <c r="CI2" s="33">
        <v>0.98600000000000054</v>
      </c>
      <c r="CJ2" s="33">
        <v>0.98700000000000054</v>
      </c>
      <c r="CK2" s="33">
        <v>0.98800000000000054</v>
      </c>
      <c r="CL2" s="33">
        <v>0.98900000000000055</v>
      </c>
      <c r="CM2" s="33">
        <v>0.99000000000000055</v>
      </c>
      <c r="CN2" s="33">
        <v>0.99100000000000055</v>
      </c>
      <c r="CO2" s="33">
        <v>0.99200000000000055</v>
      </c>
      <c r="CP2" s="33">
        <v>0.99300000000000055</v>
      </c>
      <c r="CQ2" s="33">
        <v>0.99400000000000055</v>
      </c>
      <c r="CR2" s="33">
        <v>0.99500000000000055</v>
      </c>
      <c r="CS2" s="33">
        <v>0.99600000000000055</v>
      </c>
      <c r="CT2" s="33">
        <v>0.99700000000000055</v>
      </c>
      <c r="CU2" s="33">
        <v>0.99800000000000055</v>
      </c>
      <c r="CV2" s="33">
        <v>0.99900000000000055</v>
      </c>
      <c r="CW2" s="33">
        <v>1.0000000000000004</v>
      </c>
    </row>
    <row r="3" spans="1:101">
      <c r="A3" s="22">
        <v>1</v>
      </c>
      <c r="B3" s="32" t="str">
        <f>データファイル用!$B4</f>
        <v>MEWS Aerated Concrete</v>
      </c>
      <c r="C3" s="32">
        <f>データファイル用!K4</f>
        <v>1</v>
      </c>
      <c r="D3" s="32">
        <f>データファイル用!L4</f>
        <v>0.78742999999999996</v>
      </c>
      <c r="E3" s="32">
        <f>データファイル用!M4</f>
        <v>17.297000000000001</v>
      </c>
      <c r="F3" s="32">
        <f>データファイル用!N4</f>
        <v>-0.35106999999999999</v>
      </c>
      <c r="G3" s="32">
        <f>データファイル用!O4</f>
        <v>78.552999999999997</v>
      </c>
      <c r="H3" s="32">
        <f>データファイル用!P4</f>
        <v>0</v>
      </c>
      <c r="I3" s="35">
        <f>データファイル用!Q4</f>
        <v>0</v>
      </c>
      <c r="J3" s="32">
        <f>$D3*$O$1^$E3*EXP($F3*(1-$O$1^$G3))</f>
        <v>0.41992104872316705</v>
      </c>
      <c r="K3" s="32">
        <f>($H3-$I3)*($O$1-$O$1)/(1-$O$1)+$I3</f>
        <v>0</v>
      </c>
      <c r="L3" s="53" t="str">
        <f>IF($C3=2,$J3-$K3,"N/A")</f>
        <v>N/A</v>
      </c>
      <c r="M3" s="22">
        <f>IF($C3=2,IF(M$2&lt;=$O$1,$D3*IF(AND(M$2=0,$E3=0),1,M$2^$E3)*EXP($F3*(1-IF(AND(M$2=0,$G3=0),1,M$2^$G3))),($H3-$I3)*(M$2-$O$1)/(1-$O$1)+$I3),$D3*IF(AND(M$2=0,$E3=0),1,M$2^$E3)*EXP($F3*(1-IF(AND(M$2=0,$G3=0),1,M$2^$G3))))</f>
        <v>0</v>
      </c>
      <c r="N3" s="22">
        <f t="shared" ref="N3:BY6" si="0">IF($C3=2,IF(N$2&lt;=$O$1,$D3*IF(AND(N$2=0,$E3=0),1,N$2^$E3)*EXP($F3*(1-IF(AND(N$2=0,$G3=0),1,N$2^$G3))),($H3-$I3)*(N$2-$O$1)/(1-$O$1)+$I3),$D3*IF(AND(N$2=0,$E3=0),1,N$2^$E3)*EXP($F3*(1-IF(AND(N$2=0,$G3=0),1,N$2^$G3))))</f>
        <v>2.2733171486701986E-30</v>
      </c>
      <c r="O3" s="22">
        <f t="shared" si="0"/>
        <v>3.6607988220297946E-25</v>
      </c>
      <c r="P3" s="22">
        <f t="shared" si="0"/>
        <v>4.0684255300193987E-22</v>
      </c>
      <c r="Q3" s="22">
        <f t="shared" si="0"/>
        <v>5.8951070787522377E-20</v>
      </c>
      <c r="R3" s="22">
        <f t="shared" si="0"/>
        <v>2.7973331566169499E-18</v>
      </c>
      <c r="S3" s="22">
        <f t="shared" si="0"/>
        <v>6.5515220331325402E-17</v>
      </c>
      <c r="T3" s="22">
        <f t="shared" si="0"/>
        <v>9.4258565524551678E-16</v>
      </c>
      <c r="U3" s="22">
        <f t="shared" si="0"/>
        <v>9.4930885742270765E-15</v>
      </c>
      <c r="V3" s="22">
        <f t="shared" si="0"/>
        <v>7.2810282115700406E-14</v>
      </c>
      <c r="W3" s="22">
        <f t="shared" si="0"/>
        <v>4.5046393683161997E-13</v>
      </c>
      <c r="X3" s="22">
        <f t="shared" si="0"/>
        <v>2.3422287269858986E-12</v>
      </c>
      <c r="Y3" s="22">
        <f t="shared" si="0"/>
        <v>1.0550135582896235E-11</v>
      </c>
      <c r="Z3" s="22">
        <f t="shared" si="0"/>
        <v>4.2124833069718237E-11</v>
      </c>
      <c r="AA3" s="22">
        <f t="shared" si="0"/>
        <v>1.5178772827202735E-10</v>
      </c>
      <c r="AB3" s="22">
        <f t="shared" si="0"/>
        <v>5.0062269740970356E-10</v>
      </c>
      <c r="AC3" s="22">
        <f t="shared" si="0"/>
        <v>1.5287038805950847E-9</v>
      </c>
      <c r="AD3" s="22">
        <f t="shared" si="0"/>
        <v>4.3624957925692915E-9</v>
      </c>
      <c r="AE3" s="22">
        <f t="shared" si="0"/>
        <v>1.1724883840194882E-8</v>
      </c>
      <c r="AF3" s="22">
        <f t="shared" si="0"/>
        <v>2.9871777358129338E-8</v>
      </c>
      <c r="AG3" s="22">
        <f t="shared" si="0"/>
        <v>7.2539718018875159E-8</v>
      </c>
      <c r="AH3" s="22">
        <f t="shared" si="0"/>
        <v>1.6868915744000587E-7</v>
      </c>
      <c r="AI3" s="22">
        <f t="shared" si="0"/>
        <v>3.771769446990722E-7</v>
      </c>
      <c r="AJ3" s="22">
        <f t="shared" si="0"/>
        <v>8.1370391891685574E-7</v>
      </c>
      <c r="AK3" s="22">
        <f t="shared" si="0"/>
        <v>1.6989237043636202E-6</v>
      </c>
      <c r="AL3" s="22">
        <f t="shared" si="0"/>
        <v>3.4421386359073986E-6</v>
      </c>
      <c r="AM3" s="22">
        <f t="shared" si="0"/>
        <v>6.7835031011855685E-6</v>
      </c>
      <c r="AN3" s="22">
        <f t="shared" si="0"/>
        <v>1.3030439275958914E-5</v>
      </c>
      <c r="AO3" s="22">
        <f t="shared" si="0"/>
        <v>2.4442886782508946E-5</v>
      </c>
      <c r="AP3" s="22">
        <f t="shared" si="0"/>
        <v>4.4849561132464086E-5</v>
      </c>
      <c r="AQ3" s="22">
        <f t="shared" si="0"/>
        <v>8.0616951402089369E-5</v>
      </c>
      <c r="AR3" s="22">
        <f t="shared" si="0"/>
        <v>1.4214881587185129E-4</v>
      </c>
      <c r="AS3" s="22">
        <f t="shared" si="0"/>
        <v>2.4617231117921473E-4</v>
      </c>
      <c r="AT3" s="22">
        <f t="shared" si="0"/>
        <v>4.1917526358293471E-4</v>
      </c>
      <c r="AU3" s="22">
        <f t="shared" si="0"/>
        <v>7.0250732362133936E-4</v>
      </c>
      <c r="AV3" s="22">
        <f t="shared" si="0"/>
        <v>1.1598584508601475E-3</v>
      </c>
      <c r="AW3" s="22">
        <f t="shared" si="0"/>
        <v>1.8880973548201575E-3</v>
      </c>
      <c r="AX3" s="22">
        <f t="shared" si="0"/>
        <v>3.032810319954584E-3</v>
      </c>
      <c r="AY3" s="22">
        <f t="shared" si="0"/>
        <v>4.8103524598496232E-3</v>
      </c>
      <c r="AZ3" s="22">
        <f t="shared" si="0"/>
        <v>7.5388401750208891E-3</v>
      </c>
      <c r="BA3" s="22">
        <f t="shared" si="0"/>
        <v>1.1681314096634783E-2</v>
      </c>
      <c r="BB3" s="22">
        <f t="shared" si="0"/>
        <v>1.7905333875837703E-2</v>
      </c>
      <c r="BC3" s="22">
        <f t="shared" si="0"/>
        <v>2.7164591334369222E-2</v>
      </c>
      <c r="BD3" s="22">
        <f t="shared" si="0"/>
        <v>4.0809849692236402E-2</v>
      </c>
      <c r="BE3" s="22">
        <f t="shared" si="0"/>
        <v>6.0738996516536276E-2</v>
      </c>
      <c r="BF3" s="22">
        <f t="shared" si="0"/>
        <v>8.9601581475321157E-2</v>
      </c>
      <c r="BG3" s="22">
        <f t="shared" si="0"/>
        <v>0.13109928294433271</v>
      </c>
      <c r="BH3" s="22">
        <f t="shared" si="0"/>
        <v>0.19059775752911193</v>
      </c>
      <c r="BI3" s="22">
        <f t="shared" si="0"/>
        <v>0.27750013140113255</v>
      </c>
      <c r="BJ3" s="22">
        <f t="shared" si="0"/>
        <v>0.28288519615562141</v>
      </c>
      <c r="BK3" s="22">
        <f t="shared" si="0"/>
        <v>0.28839872182124682</v>
      </c>
      <c r="BL3" s="22">
        <f t="shared" si="0"/>
        <v>0.29404662974459078</v>
      </c>
      <c r="BM3" s="22">
        <f t="shared" si="0"/>
        <v>0.29983534423789615</v>
      </c>
      <c r="BN3" s="22">
        <f t="shared" si="0"/>
        <v>0.30577184528610218</v>
      </c>
      <c r="BO3" s="22">
        <f t="shared" si="0"/>
        <v>0.31186372725932082</v>
      </c>
      <c r="BP3" s="22">
        <f t="shared" si="0"/>
        <v>0.31811926438041171</v>
      </c>
      <c r="BQ3" s="22">
        <f t="shared" si="0"/>
        <v>0.32454748380268233</v>
      </c>
      <c r="BR3" s="22">
        <f t="shared" si="0"/>
        <v>0.33115824727498794</v>
      </c>
      <c r="BS3" s="22">
        <f t="shared" si="0"/>
        <v>0.33796234251366203</v>
      </c>
      <c r="BT3" s="22">
        <f t="shared" si="0"/>
        <v>0.34497158556643526</v>
      </c>
      <c r="BU3" s="22">
        <f t="shared" si="0"/>
        <v>0.35219893564718308</v>
      </c>
      <c r="BV3" s="22">
        <f t="shared" si="0"/>
        <v>0.35965862414727617</v>
      </c>
      <c r="BW3" s="22">
        <f t="shared" si="0"/>
        <v>0.36736629979588531</v>
      </c>
      <c r="BX3" s="22">
        <f t="shared" si="0"/>
        <v>0.37533919225557327</v>
      </c>
      <c r="BY3" s="22">
        <f t="shared" si="0"/>
        <v>0.38359629681029811</v>
      </c>
      <c r="BZ3" s="22">
        <f t="shared" ref="BZ3:CW13" si="1">IF($C3=2,IF(BZ$2&lt;=$O$1,$D3*IF(AND(BZ$2=0,$E3=0),1,BZ$2^$E3)*EXP($F3*(1-IF(AND(BZ$2=0,$G3=0),1,BZ$2^$G3))),($H3-$I3)*(BZ$2-$O$1)/(1-$O$1)+$I3),$D3*IF(AND(BZ$2=0,$E3=0),1,BZ$2^$E3)*EXP($F3*(1-IF(AND(BZ$2=0,$G3=0),1,BZ$2^$G3))))</f>
        <v>0.39215858324204134</v>
      </c>
      <c r="CA3" s="22">
        <f t="shared" si="1"/>
        <v>0.40104923251367686</v>
      </c>
      <c r="CB3" s="22">
        <f t="shared" si="1"/>
        <v>0.41029390549660022</v>
      </c>
      <c r="CC3" s="22">
        <f t="shared" si="1"/>
        <v>0.41992104872317249</v>
      </c>
      <c r="CD3" s="22">
        <f t="shared" si="1"/>
        <v>0.42996224303224745</v>
      </c>
      <c r="CE3" s="22">
        <f t="shared" si="1"/>
        <v>0.44045260204317443</v>
      </c>
      <c r="CF3" s="22">
        <f t="shared" si="1"/>
        <v>0.45143122867971786</v>
      </c>
      <c r="CG3" s="22">
        <f t="shared" si="1"/>
        <v>0.46294173952012746</v>
      </c>
      <c r="CH3" s="22">
        <f t="shared" si="1"/>
        <v>0.47503286863542571</v>
      </c>
      <c r="CI3" s="22">
        <f t="shared" si="1"/>
        <v>0.48775916487299675</v>
      </c>
      <c r="CJ3" s="22">
        <f t="shared" si="1"/>
        <v>0.50118179934517015</v>
      </c>
      <c r="CK3" s="22">
        <f t="shared" si="1"/>
        <v>0.51536950331711151</v>
      </c>
      <c r="CL3" s="22">
        <f t="shared" si="1"/>
        <v>0.53039966091290114</v>
      </c>
      <c r="CM3" s="22">
        <f t="shared" si="1"/>
        <v>0.54635958627450165</v>
      </c>
      <c r="CN3" s="22">
        <f t="shared" si="1"/>
        <v>0.56334802127312</v>
      </c>
      <c r="CO3" s="22">
        <f t="shared" si="1"/>
        <v>0.58147689791764579</v>
      </c>
      <c r="CP3" s="22">
        <f t="shared" si="1"/>
        <v>0.60087341965850671</v>
      </c>
      <c r="CQ3" s="22">
        <f t="shared" si="1"/>
        <v>0.62168252840307925</v>
      </c>
      <c r="CR3" s="22">
        <f t="shared" si="1"/>
        <v>0.64406983996549538</v>
      </c>
      <c r="CS3" s="22">
        <f t="shared" si="1"/>
        <v>0.66822515081945466</v>
      </c>
      <c r="CT3" s="22">
        <f t="shared" si="1"/>
        <v>0.69436664465964193</v>
      </c>
      <c r="CU3" s="22">
        <f t="shared" si="1"/>
        <v>0.72274596006475278</v>
      </c>
      <c r="CV3" s="22">
        <f t="shared" si="1"/>
        <v>0.75365432270375932</v>
      </c>
      <c r="CW3" s="22">
        <f t="shared" si="1"/>
        <v>0.78743000000001573</v>
      </c>
    </row>
    <row r="4" spans="1:101">
      <c r="A4" s="22">
        <v>2</v>
      </c>
      <c r="B4" s="32" t="str">
        <f>データファイル用!$B5</f>
        <v>MEWS Oriented Strand Board</v>
      </c>
      <c r="C4" s="32">
        <f>データファイル用!K5</f>
        <v>1</v>
      </c>
      <c r="D4" s="32">
        <f>データファイル用!L5</f>
        <v>0.83635999999999999</v>
      </c>
      <c r="E4" s="32">
        <f>データファイル用!M5</f>
        <v>4.5880999999999998</v>
      </c>
      <c r="F4" s="32">
        <f>データファイル用!N5</f>
        <v>-1.0827</v>
      </c>
      <c r="G4" s="32">
        <f>データファイル用!O5</f>
        <v>40.594999999999999</v>
      </c>
      <c r="H4" s="32">
        <f>データファイル用!P5</f>
        <v>0</v>
      </c>
      <c r="I4" s="35">
        <f>データファイル用!Q5</f>
        <v>0</v>
      </c>
      <c r="J4" s="32">
        <f t="shared" ref="J4:J67" si="2">$D4*$O$1^$E4*EXP($F4*(1-$O$1^$G4))</f>
        <v>0.41590671357689518</v>
      </c>
      <c r="K4" s="32">
        <f t="shared" ref="K4:K67" si="3">($H4-$I4)*($O$1-$O$1)/(1-$O$1)+$I4</f>
        <v>0</v>
      </c>
      <c r="L4" s="53" t="str">
        <f t="shared" ref="L4:L67" si="4">IF($C4=2,$J4-$K4,"N/A")</f>
        <v>N/A</v>
      </c>
      <c r="M4" s="22">
        <f t="shared" ref="M4:AB35" si="5">IF($C4=2,IF(M$2&lt;=$O$1,$D4*IF(AND(M$2=0,$E4=0),1,M$2^$E4)*EXP($F4*(1-IF(AND(M$2=0,$G4=0),1,M$2^$G4))),($H4-$I4)*(M$2-$O$1)/(1-$O$1)+$I4),$D4*IF(AND(M$2=0,$E4=0),1,M$2^$E4)*EXP($F4*(1-IF(AND(M$2=0,$G4=0),1,M$2^$G4))))</f>
        <v>0</v>
      </c>
      <c r="N4" s="22">
        <f t="shared" si="0"/>
        <v>4.5408623963744598E-9</v>
      </c>
      <c r="O4" s="22">
        <f t="shared" si="0"/>
        <v>1.092179610526375E-7</v>
      </c>
      <c r="P4" s="22">
        <f t="shared" si="0"/>
        <v>7.018080901525641E-7</v>
      </c>
      <c r="Q4" s="22">
        <f t="shared" si="0"/>
        <v>2.6269377874166608E-6</v>
      </c>
      <c r="R4" s="22">
        <f t="shared" si="0"/>
        <v>7.3127818559558636E-6</v>
      </c>
      <c r="S4" s="22">
        <f t="shared" si="0"/>
        <v>1.6880064174133121E-5</v>
      </c>
      <c r="T4" s="22">
        <f t="shared" si="0"/>
        <v>3.4239913502597495E-5</v>
      </c>
      <c r="U4" s="22">
        <f t="shared" si="0"/>
        <v>6.3183766410285938E-5</v>
      </c>
      <c r="V4" s="22">
        <f t="shared" si="0"/>
        <v>1.08467192442749E-4</v>
      </c>
      <c r="W4" s="22">
        <f t="shared" si="0"/>
        <v>1.7588886299834007E-4</v>
      </c>
      <c r="X4" s="22">
        <f t="shared" si="0"/>
        <v>2.7236551553429765E-4</v>
      </c>
      <c r="Y4" s="22">
        <f t="shared" si="0"/>
        <v>4.0600353646665804E-4</v>
      </c>
      <c r="Z4" s="22">
        <f t="shared" si="0"/>
        <v>5.8616763613076402E-4</v>
      </c>
      <c r="AA4" s="22">
        <f t="shared" si="0"/>
        <v>8.2354698577921583E-4</v>
      </c>
      <c r="AB4" s="22">
        <f t="shared" si="0"/>
        <v>1.1302191125915568E-3</v>
      </c>
      <c r="AC4" s="22">
        <f t="shared" si="0"/>
        <v>1.5197117940564204E-3</v>
      </c>
      <c r="AD4" s="22">
        <f t="shared" si="0"/>
        <v>2.0070631517472171E-3</v>
      </c>
      <c r="AE4" s="22">
        <f t="shared" si="0"/>
        <v>2.608880112544198E-3</v>
      </c>
      <c r="AF4" s="22">
        <f t="shared" si="0"/>
        <v>3.343395380178324E-3</v>
      </c>
      <c r="AG4" s="22">
        <f t="shared" si="0"/>
        <v>4.2305230398268371E-3</v>
      </c>
      <c r="AH4" s="22">
        <f t="shared" si="0"/>
        <v>5.2919129021467542E-3</v>
      </c>
      <c r="AI4" s="22">
        <f t="shared" si="0"/>
        <v>6.5510036797101828E-3</v>
      </c>
      <c r="AJ4" s="22">
        <f t="shared" si="0"/>
        <v>8.033075077662313E-3</v>
      </c>
      <c r="AK4" s="22">
        <f t="shared" si="0"/>
        <v>9.7652988710819968E-3</v>
      </c>
      <c r="AL4" s="22">
        <f t="shared" si="0"/>
        <v>1.1776789033627064E-2</v>
      </c>
      <c r="AM4" s="22">
        <f t="shared" si="0"/>
        <v>1.409865097532287E-2</v>
      </c>
      <c r="AN4" s="22">
        <f t="shared" si="0"/>
        <v>1.6764029941617214E-2</v>
      </c>
      <c r="AO4" s="22">
        <f t="shared" si="0"/>
        <v>1.9808158621037252E-2</v>
      </c>
      <c r="AP4" s="22">
        <f t="shared" si="0"/>
        <v>2.3268404005336821E-2</v>
      </c>
      <c r="AQ4" s="22">
        <f t="shared" si="0"/>
        <v>2.7184313545893738E-2</v>
      </c>
      <c r="AR4" s="22">
        <f t="shared" si="0"/>
        <v>3.1597660661056653E-2</v>
      </c>
      <c r="AS4" s="22">
        <f t="shared" si="0"/>
        <v>3.6552489699242491E-2</v>
      </c>
      <c r="AT4" s="22">
        <f t="shared" si="0"/>
        <v>4.2095160648667286E-2</v>
      </c>
      <c r="AU4" s="22">
        <f t="shared" si="0"/>
        <v>4.8274394526586363E-2</v>
      </c>
      <c r="AV4" s="22">
        <f t="shared" si="0"/>
        <v>5.5141322496135868E-2</v>
      </c>
      <c r="AW4" s="22">
        <f t="shared" si="0"/>
        <v>6.2749548467976868E-2</v>
      </c>
      <c r="AX4" s="22">
        <f t="shared" si="0"/>
        <v>7.1155255502286463E-2</v>
      </c>
      <c r="AY4" s="22">
        <f t="shared" si="0"/>
        <v>8.0417447325811214E-2</v>
      </c>
      <c r="AZ4" s="22">
        <f t="shared" si="0"/>
        <v>9.0598591871165285E-2</v>
      </c>
      <c r="BA4" s="22">
        <f t="shared" si="0"/>
        <v>0.10176642502049092</v>
      </c>
      <c r="BB4" s="22">
        <f t="shared" si="0"/>
        <v>0.11399901130187658</v>
      </c>
      <c r="BC4" s="22">
        <f t="shared" si="0"/>
        <v>0.12739871958116428</v>
      </c>
      <c r="BD4" s="22">
        <f t="shared" si="0"/>
        <v>0.14213006634718484</v>
      </c>
      <c r="BE4" s="22">
        <f t="shared" si="0"/>
        <v>0.1585204027468298</v>
      </c>
      <c r="BF4" s="22">
        <f t="shared" si="0"/>
        <v>0.17732520889699924</v>
      </c>
      <c r="BG4" s="22">
        <f t="shared" si="0"/>
        <v>0.20043296247566464</v>
      </c>
      <c r="BH4" s="22">
        <f t="shared" si="0"/>
        <v>0.23282722979701406</v>
      </c>
      <c r="BI4" s="22">
        <f t="shared" si="0"/>
        <v>0.28873545136128298</v>
      </c>
      <c r="BJ4" s="22">
        <f t="shared" si="0"/>
        <v>0.29271517728986862</v>
      </c>
      <c r="BK4" s="22">
        <f t="shared" si="0"/>
        <v>0.29685954719943819</v>
      </c>
      <c r="BL4" s="22">
        <f t="shared" si="0"/>
        <v>0.30117860778494471</v>
      </c>
      <c r="BM4" s="22">
        <f t="shared" si="0"/>
        <v>0.30568313702912664</v>
      </c>
      <c r="BN4" s="22">
        <f t="shared" si="0"/>
        <v>0.31038470736826695</v>
      </c>
      <c r="BO4" s="22">
        <f t="shared" si="0"/>
        <v>0.31529575523519043</v>
      </c>
      <c r="BP4" s="22">
        <f t="shared" si="0"/>
        <v>0.32042965771380283</v>
      </c>
      <c r="BQ4" s="22">
        <f t="shared" si="0"/>
        <v>0.32580081713408982</v>
      </c>
      <c r="BR4" s="22">
        <f t="shared" si="0"/>
        <v>0.33142475454457326</v>
      </c>
      <c r="BS4" s="22">
        <f t="shared" si="0"/>
        <v>0.33731821312288518</v>
      </c>
      <c r="BT4" s="22">
        <f t="shared" si="0"/>
        <v>0.34349927272681258</v>
      </c>
      <c r="BU4" s="22">
        <f t="shared" si="0"/>
        <v>0.34998747695077237</v>
      </c>
      <c r="BV4" s="22">
        <f t="shared" si="0"/>
        <v>0.35680397423958343</v>
      </c>
      <c r="BW4" s="22">
        <f t="shared" si="0"/>
        <v>0.363971674826573</v>
      </c>
      <c r="BX4" s="22">
        <f t="shared" si="0"/>
        <v>0.371515425511178</v>
      </c>
      <c r="BY4" s="22">
        <f t="shared" si="0"/>
        <v>0.37946220457780477</v>
      </c>
      <c r="BZ4" s="22">
        <f t="shared" si="1"/>
        <v>0.3878413394893056</v>
      </c>
      <c r="CA4" s="22">
        <f t="shared" si="1"/>
        <v>0.39668475037277606</v>
      </c>
      <c r="CB4" s="22">
        <f t="shared" si="1"/>
        <v>0.40602722276161846</v>
      </c>
      <c r="CC4" s="22">
        <f t="shared" si="1"/>
        <v>0.41590671357690084</v>
      </c>
      <c r="CD4" s="22">
        <f t="shared" si="1"/>
        <v>0.42636469493592583</v>
      </c>
      <c r="CE4" s="22">
        <f t="shared" si="1"/>
        <v>0.43744654108216102</v>
      </c>
      <c r="CF4" s="22">
        <f t="shared" si="1"/>
        <v>0.44920196455681466</v>
      </c>
      <c r="CG4" s="22">
        <f t="shared" si="1"/>
        <v>0.46168550870062441</v>
      </c>
      <c r="CH4" s="22">
        <f t="shared" si="1"/>
        <v>0.47495710471160718</v>
      </c>
      <c r="CI4" s="22">
        <f t="shared" si="1"/>
        <v>0.48908270282277438</v>
      </c>
      <c r="CJ4" s="22">
        <f t="shared" si="1"/>
        <v>0.50413498874200902</v>
      </c>
      <c r="CK4" s="22">
        <f t="shared" si="1"/>
        <v>0.520194198361419</v>
      </c>
      <c r="CL4" s="22">
        <f t="shared" si="1"/>
        <v>0.5373490459525021</v>
      </c>
      <c r="CM4" s="22">
        <f t="shared" si="1"/>
        <v>0.55569778368562606</v>
      </c>
      <c r="CN4" s="22">
        <f t="shared" si="1"/>
        <v>0.57534941343201496</v>
      </c>
      <c r="CO4" s="22">
        <f t="shared" si="1"/>
        <v>0.59642507552668356</v>
      </c>
      <c r="CP4" s="22">
        <f t="shared" si="1"/>
        <v>0.61905964361775101</v>
      </c>
      <c r="CQ4" s="22">
        <f t="shared" si="1"/>
        <v>0.64340356005622767</v>
      </c>
      <c r="CR4" s="22">
        <f t="shared" si="1"/>
        <v>0.669624952681382</v>
      </c>
      <c r="CS4" s="22">
        <f t="shared" si="1"/>
        <v>0.69791208156559503</v>
      </c>
      <c r="CT4" s="22">
        <f t="shared" si="1"/>
        <v>0.72847617359054595</v>
      </c>
      <c r="CU4" s="22">
        <f t="shared" si="1"/>
        <v>0.76155471399538088</v>
      </c>
      <c r="CV4" s="22">
        <f t="shared" si="1"/>
        <v>0.79741527771749465</v>
      </c>
      <c r="CW4" s="22">
        <f t="shared" si="1"/>
        <v>0.83636000000001798</v>
      </c>
    </row>
    <row r="5" spans="1:101">
      <c r="A5" s="22">
        <v>3</v>
      </c>
      <c r="B5" s="32" t="str">
        <f>データファイル用!$B6</f>
        <v>MEWS Plywood</v>
      </c>
      <c r="C5" s="32">
        <f>データファイル用!K6</f>
        <v>1</v>
      </c>
      <c r="D5" s="32">
        <f>データファイル用!L6</f>
        <v>0.87266999999999995</v>
      </c>
      <c r="E5" s="32">
        <f>データファイル用!M6</f>
        <v>2.3742000000000001</v>
      </c>
      <c r="F5" s="32">
        <f>データファイル用!N6</f>
        <v>-1.3561000000000001</v>
      </c>
      <c r="G5" s="32">
        <f>データファイル用!O6</f>
        <v>38.491999999999997</v>
      </c>
      <c r="H5" s="32">
        <f>データファイル用!P6</f>
        <v>0</v>
      </c>
      <c r="I5" s="35">
        <f>データファイル用!Q6</f>
        <v>0</v>
      </c>
      <c r="J5" s="32">
        <f t="shared" si="2"/>
        <v>0.39965584475147381</v>
      </c>
      <c r="K5" s="32">
        <f t="shared" si="3"/>
        <v>0</v>
      </c>
      <c r="L5" s="53" t="str">
        <f t="shared" si="4"/>
        <v>N/A</v>
      </c>
      <c r="M5" s="22">
        <f t="shared" si="5"/>
        <v>0</v>
      </c>
      <c r="N5" s="22">
        <f t="shared" si="0"/>
        <v>2.0806963971593985E-5</v>
      </c>
      <c r="O5" s="22">
        <f t="shared" si="0"/>
        <v>1.0787334129229776E-4</v>
      </c>
      <c r="P5" s="22">
        <f t="shared" si="0"/>
        <v>2.8248149181880428E-4</v>
      </c>
      <c r="Q5" s="22">
        <f t="shared" si="0"/>
        <v>5.5926745379340748E-4</v>
      </c>
      <c r="R5" s="22">
        <f t="shared" si="0"/>
        <v>9.4995558293835605E-4</v>
      </c>
      <c r="S5" s="22">
        <f t="shared" si="0"/>
        <v>1.4645203604585696E-3</v>
      </c>
      <c r="T5" s="22">
        <f t="shared" si="0"/>
        <v>2.1117401725260529E-3</v>
      </c>
      <c r="U5" s="22">
        <f t="shared" si="0"/>
        <v>2.8995123459190971E-3</v>
      </c>
      <c r="V5" s="22">
        <f t="shared" si="0"/>
        <v>3.8350522127647171E-3</v>
      </c>
      <c r="W5" s="22">
        <f t="shared" si="0"/>
        <v>4.9250281276371349E-3</v>
      </c>
      <c r="X5" s="22">
        <f t="shared" si="0"/>
        <v>6.1756578712561187E-3</v>
      </c>
      <c r="Y5" s="22">
        <f t="shared" si="0"/>
        <v>7.5927802292033901E-3</v>
      </c>
      <c r="Z5" s="22">
        <f t="shared" si="0"/>
        <v>9.181909802670923E-3</v>
      </c>
      <c r="AA5" s="22">
        <f t="shared" si="0"/>
        <v>1.0948280040401647E-2</v>
      </c>
      <c r="AB5" s="22">
        <f t="shared" si="0"/>
        <v>1.2896877727878871E-2</v>
      </c>
      <c r="AC5" s="22">
        <f t="shared" si="0"/>
        <v>1.503247111397772E-2</v>
      </c>
      <c r="AD5" s="22">
        <f t="shared" si="0"/>
        <v>1.7359633191288613E-2</v>
      </c>
      <c r="AE5" s="22">
        <f t="shared" si="0"/>
        <v>1.9882761213319729E-2</v>
      </c>
      <c r="AF5" s="22">
        <f t="shared" si="0"/>
        <v>2.2606093240562203E-2</v>
      </c>
      <c r="AG5" s="22">
        <f t="shared" si="0"/>
        <v>2.5533722306247016E-2</v>
      </c>
      <c r="AH5" s="22">
        <f t="shared" si="0"/>
        <v>2.8669608650413934E-2</v>
      </c>
      <c r="AI5" s="22">
        <f t="shared" si="0"/>
        <v>3.2017590368301034E-2</v>
      </c>
      <c r="AJ5" s="22">
        <f t="shared" si="0"/>
        <v>3.5581392743668908E-2</v>
      </c>
      <c r="AK5" s="22">
        <f t="shared" si="0"/>
        <v>3.936463648137508E-2</v>
      </c>
      <c r="AL5" s="22">
        <f t="shared" si="0"/>
        <v>4.337084501087763E-2</v>
      </c>
      <c r="AM5" s="22">
        <f t="shared" si="0"/>
        <v>4.7603450999701966E-2</v>
      </c>
      <c r="AN5" s="22">
        <f t="shared" si="0"/>
        <v>5.2065802190904793E-2</v>
      </c>
      <c r="AO5" s="22">
        <f t="shared" si="0"/>
        <v>5.6761166660316192E-2</v>
      </c>
      <c r="AP5" s="22">
        <f t="shared" si="0"/>
        <v>6.1692737579849069E-2</v>
      </c>
      <c r="AQ5" s="22">
        <f t="shared" si="0"/>
        <v>6.6863637582709537E-2</v>
      </c>
      <c r="AR5" s="22">
        <f t="shared" si="0"/>
        <v>7.2276922890358669E-2</v>
      </c>
      <c r="AS5" s="22">
        <f t="shared" si="0"/>
        <v>7.79355875906073E-2</v>
      </c>
      <c r="AT5" s="22">
        <f t="shared" si="0"/>
        <v>8.3842569182174184E-2</v>
      </c>
      <c r="AU5" s="22">
        <f t="shared" si="0"/>
        <v>9.000075867197635E-2</v>
      </c>
      <c r="AV5" s="22">
        <f t="shared" si="0"/>
        <v>9.6413024754487042E-2</v>
      </c>
      <c r="AW5" s="22">
        <f t="shared" si="0"/>
        <v>0.1030822789651223</v>
      </c>
      <c r="AX5" s="22">
        <f t="shared" si="0"/>
        <v>0.11001165553081949</v>
      </c>
      <c r="AY5" s="22">
        <f t="shared" si="0"/>
        <v>0.11720500239638403</v>
      </c>
      <c r="AZ5" s="22">
        <f t="shared" si="0"/>
        <v>0.12466819317417452</v>
      </c>
      <c r="BA5" s="22">
        <f t="shared" si="0"/>
        <v>0.13241254957917625</v>
      </c>
      <c r="BB5" s="22">
        <f t="shared" si="0"/>
        <v>0.14046356207269522</v>
      </c>
      <c r="BC5" s="22">
        <f t="shared" si="0"/>
        <v>0.14888263287718048</v>
      </c>
      <c r="BD5" s="22">
        <f t="shared" si="0"/>
        <v>0.15782029683292312</v>
      </c>
      <c r="BE5" s="22">
        <f t="shared" si="0"/>
        <v>0.16764493748851411</v>
      </c>
      <c r="BF5" s="22">
        <f t="shared" si="0"/>
        <v>0.17925449679514313</v>
      </c>
      <c r="BG5" s="22">
        <f t="shared" si="0"/>
        <v>0.19485320351109364</v>
      </c>
      <c r="BH5" s="22">
        <f t="shared" si="0"/>
        <v>0.22004818448012897</v>
      </c>
      <c r="BI5" s="22">
        <f t="shared" si="0"/>
        <v>0.27050639620382982</v>
      </c>
      <c r="BJ5" s="22">
        <f t="shared" si="0"/>
        <v>0.27431808361168974</v>
      </c>
      <c r="BK5" s="22">
        <f t="shared" si="0"/>
        <v>0.27831029926805989</v>
      </c>
      <c r="BL5" s="22">
        <f t="shared" si="0"/>
        <v>0.28249434692799008</v>
      </c>
      <c r="BM5" s="22">
        <f t="shared" si="0"/>
        <v>0.28688238269424676</v>
      </c>
      <c r="BN5" s="22">
        <f t="shared" si="0"/>
        <v>0.29148749188991713</v>
      </c>
      <c r="BO5" s="22">
        <f t="shared" si="0"/>
        <v>0.29632377400535059</v>
      </c>
      <c r="BP5" s="22">
        <f t="shared" si="0"/>
        <v>0.30140643668240447</v>
      </c>
      <c r="BQ5" s="22">
        <f t="shared" si="0"/>
        <v>0.30675189982720286</v>
      </c>
      <c r="BR5" s="22">
        <f t="shared" si="0"/>
        <v>0.3123779110897047</v>
      </c>
      <c r="BS5" s="22">
        <f t="shared" si="0"/>
        <v>0.31830367411735788</v>
      </c>
      <c r="BT5" s="22">
        <f t="shared" si="0"/>
        <v>0.32454999118453753</v>
      </c>
      <c r="BU5" s="22">
        <f t="shared" si="0"/>
        <v>0.33113942202352931</v>
      </c>
      <c r="BV5" s="22">
        <f t="shared" si="0"/>
        <v>0.3380964609414619</v>
      </c>
      <c r="BW5" s="22">
        <f t="shared" si="0"/>
        <v>0.34544773460665168</v>
      </c>
      <c r="BX5" s="22">
        <f t="shared" si="0"/>
        <v>0.35322222323419467</v>
      </c>
      <c r="BY5" s="22">
        <f t="shared" si="0"/>
        <v>0.36145150830252226</v>
      </c>
      <c r="BZ5" s="22">
        <f t="shared" si="1"/>
        <v>0.37017005039973189</v>
      </c>
      <c r="CA5" s="22">
        <f t="shared" si="1"/>
        <v>0.37941550134238933</v>
      </c>
      <c r="CB5" s="22">
        <f t="shared" si="1"/>
        <v>0.3892290553439528</v>
      </c>
      <c r="CC5" s="22">
        <f t="shared" si="1"/>
        <v>0.39965584475147981</v>
      </c>
      <c r="CD5" s="22">
        <f t="shared" si="1"/>
        <v>0.4107453867375529</v>
      </c>
      <c r="CE5" s="22">
        <f t="shared" si="1"/>
        <v>0.42255208835307984</v>
      </c>
      <c r="CF5" s="22">
        <f t="shared" si="1"/>
        <v>0.435135818544231</v>
      </c>
      <c r="CG5" s="22">
        <f t="shared" si="1"/>
        <v>0.44856255714756127</v>
      </c>
      <c r="CH5" s="22">
        <f t="shared" si="1"/>
        <v>0.46290513254273558</v>
      </c>
      <c r="CI5" s="22">
        <f t="shared" si="1"/>
        <v>0.47824406161234934</v>
      </c>
      <c r="CJ5" s="22">
        <f t="shared" si="1"/>
        <v>0.4946685079939408</v>
      </c>
      <c r="CK5" s="22">
        <f t="shared" si="1"/>
        <v>0.51227737738436885</v>
      </c>
      <c r="CL5" s="22">
        <f t="shared" si="1"/>
        <v>0.53118057196147062</v>
      </c>
      <c r="CM5" s="22">
        <f t="shared" si="1"/>
        <v>0.55150042993250759</v>
      </c>
      <c r="CN5" s="22">
        <f t="shared" si="1"/>
        <v>0.57337338093840418</v>
      </c>
      <c r="CO5" s="22">
        <f t="shared" si="1"/>
        <v>0.5969518537030426</v>
      </c>
      <c r="CP5" s="22">
        <f t="shared" si="1"/>
        <v>0.62240647912224623</v>
      </c>
      <c r="CQ5" s="22">
        <f t="shared" si="1"/>
        <v>0.64992864018987873</v>
      </c>
      <c r="CR5" s="22">
        <f t="shared" si="1"/>
        <v>0.679733430071225</v>
      </c>
      <c r="CS5" s="22">
        <f t="shared" si="1"/>
        <v>0.71206309164463399</v>
      </c>
      <c r="CT5" s="22">
        <f t="shared" si="1"/>
        <v>0.74719102642466273</v>
      </c>
      <c r="CU5" s="22">
        <f t="shared" si="1"/>
        <v>0.7854264785575682</v>
      </c>
      <c r="CV5" s="22">
        <f t="shared" si="1"/>
        <v>0.82712002129949458</v>
      </c>
      <c r="CW5" s="22">
        <f t="shared" si="1"/>
        <v>0.87267000000002115</v>
      </c>
    </row>
    <row r="6" spans="1:101">
      <c r="A6" s="22">
        <v>4</v>
      </c>
      <c r="B6" s="32" t="str">
        <f>データファイル用!$B7</f>
        <v>MEWS Building Membrane IA</v>
      </c>
      <c r="C6" s="32">
        <f>データファイル用!K7</f>
        <v>1</v>
      </c>
      <c r="D6" s="32">
        <f>データファイル用!L7</f>
        <v>0</v>
      </c>
      <c r="E6" s="32">
        <f>データファイル用!M7</f>
        <v>0</v>
      </c>
      <c r="F6" s="32">
        <f>データファイル用!N7</f>
        <v>0</v>
      </c>
      <c r="G6" s="32">
        <f>データファイル用!O7</f>
        <v>0</v>
      </c>
      <c r="H6" s="32">
        <f>データファイル用!P7</f>
        <v>0</v>
      </c>
      <c r="I6" s="35">
        <f>データファイル用!Q7</f>
        <v>0</v>
      </c>
      <c r="J6" s="32">
        <f t="shared" si="2"/>
        <v>0</v>
      </c>
      <c r="K6" s="32">
        <f t="shared" si="3"/>
        <v>0</v>
      </c>
      <c r="L6" s="53" t="str">
        <f t="shared" si="4"/>
        <v>N/A</v>
      </c>
      <c r="M6" s="22">
        <f t="shared" si="5"/>
        <v>0</v>
      </c>
      <c r="N6" s="22">
        <f t="shared" si="0"/>
        <v>0</v>
      </c>
      <c r="O6" s="22">
        <f t="shared" si="0"/>
        <v>0</v>
      </c>
      <c r="P6" s="22">
        <f t="shared" si="0"/>
        <v>0</v>
      </c>
      <c r="Q6" s="22">
        <f t="shared" si="0"/>
        <v>0</v>
      </c>
      <c r="R6" s="22">
        <f t="shared" si="0"/>
        <v>0</v>
      </c>
      <c r="S6" s="22">
        <f t="shared" si="0"/>
        <v>0</v>
      </c>
      <c r="T6" s="22">
        <f t="shared" si="0"/>
        <v>0</v>
      </c>
      <c r="U6" s="22">
        <f t="shared" si="0"/>
        <v>0</v>
      </c>
      <c r="V6" s="22">
        <f t="shared" si="0"/>
        <v>0</v>
      </c>
      <c r="W6" s="22">
        <f t="shared" si="0"/>
        <v>0</v>
      </c>
      <c r="X6" s="22">
        <f t="shared" si="0"/>
        <v>0</v>
      </c>
      <c r="Y6" s="22">
        <f t="shared" si="0"/>
        <v>0</v>
      </c>
      <c r="Z6" s="22">
        <f t="shared" si="0"/>
        <v>0</v>
      </c>
      <c r="AA6" s="22">
        <f t="shared" si="0"/>
        <v>0</v>
      </c>
      <c r="AB6" s="22">
        <f t="shared" si="0"/>
        <v>0</v>
      </c>
      <c r="AC6" s="22">
        <f t="shared" si="0"/>
        <v>0</v>
      </c>
      <c r="AD6" s="22">
        <f t="shared" si="0"/>
        <v>0</v>
      </c>
      <c r="AE6" s="22">
        <f t="shared" si="0"/>
        <v>0</v>
      </c>
      <c r="AF6" s="22">
        <f t="shared" si="0"/>
        <v>0</v>
      </c>
      <c r="AG6" s="22">
        <f t="shared" si="0"/>
        <v>0</v>
      </c>
      <c r="AH6" s="22">
        <f t="shared" si="0"/>
        <v>0</v>
      </c>
      <c r="AI6" s="22">
        <f t="shared" si="0"/>
        <v>0</v>
      </c>
      <c r="AJ6" s="22">
        <f t="shared" si="0"/>
        <v>0</v>
      </c>
      <c r="AK6" s="22">
        <f t="shared" si="0"/>
        <v>0</v>
      </c>
      <c r="AL6" s="22">
        <f t="shared" si="0"/>
        <v>0</v>
      </c>
      <c r="AM6" s="22">
        <f t="shared" si="0"/>
        <v>0</v>
      </c>
      <c r="AN6" s="22">
        <f t="shared" si="0"/>
        <v>0</v>
      </c>
      <c r="AO6" s="22">
        <f t="shared" si="0"/>
        <v>0</v>
      </c>
      <c r="AP6" s="22">
        <f t="shared" si="0"/>
        <v>0</v>
      </c>
      <c r="AQ6" s="22">
        <f t="shared" si="0"/>
        <v>0</v>
      </c>
      <c r="AR6" s="22">
        <f t="shared" si="0"/>
        <v>0</v>
      </c>
      <c r="AS6" s="22">
        <f t="shared" si="0"/>
        <v>0</v>
      </c>
      <c r="AT6" s="22">
        <f t="shared" si="0"/>
        <v>0</v>
      </c>
      <c r="AU6" s="22">
        <f t="shared" si="0"/>
        <v>0</v>
      </c>
      <c r="AV6" s="22">
        <f t="shared" si="0"/>
        <v>0</v>
      </c>
      <c r="AW6" s="22">
        <f t="shared" si="0"/>
        <v>0</v>
      </c>
      <c r="AX6" s="22">
        <f t="shared" si="0"/>
        <v>0</v>
      </c>
      <c r="AY6" s="22">
        <f t="shared" si="0"/>
        <v>0</v>
      </c>
      <c r="AZ6" s="22">
        <f t="shared" si="0"/>
        <v>0</v>
      </c>
      <c r="BA6" s="22">
        <f t="shared" si="0"/>
        <v>0</v>
      </c>
      <c r="BB6" s="22">
        <f t="shared" si="0"/>
        <v>0</v>
      </c>
      <c r="BC6" s="22">
        <f t="shared" si="0"/>
        <v>0</v>
      </c>
      <c r="BD6" s="22">
        <f t="shared" si="0"/>
        <v>0</v>
      </c>
      <c r="BE6" s="22">
        <f t="shared" si="0"/>
        <v>0</v>
      </c>
      <c r="BF6" s="22">
        <f t="shared" si="0"/>
        <v>0</v>
      </c>
      <c r="BG6" s="22">
        <f t="shared" si="0"/>
        <v>0</v>
      </c>
      <c r="BH6" s="22">
        <f t="shared" si="0"/>
        <v>0</v>
      </c>
      <c r="BI6" s="22">
        <f t="shared" si="0"/>
        <v>0</v>
      </c>
      <c r="BJ6" s="22">
        <f t="shared" si="0"/>
        <v>0</v>
      </c>
      <c r="BK6" s="22">
        <f t="shared" si="0"/>
        <v>0</v>
      </c>
      <c r="BL6" s="22">
        <f t="shared" si="0"/>
        <v>0</v>
      </c>
      <c r="BM6" s="22">
        <f t="shared" si="0"/>
        <v>0</v>
      </c>
      <c r="BN6" s="22">
        <f t="shared" si="0"/>
        <v>0</v>
      </c>
      <c r="BO6" s="22">
        <f t="shared" si="0"/>
        <v>0</v>
      </c>
      <c r="BP6" s="22">
        <f t="shared" si="0"/>
        <v>0</v>
      </c>
      <c r="BQ6" s="22">
        <f t="shared" si="0"/>
        <v>0</v>
      </c>
      <c r="BR6" s="22">
        <f t="shared" si="0"/>
        <v>0</v>
      </c>
      <c r="BS6" s="22">
        <f t="shared" si="0"/>
        <v>0</v>
      </c>
      <c r="BT6" s="22">
        <f t="shared" si="0"/>
        <v>0</v>
      </c>
      <c r="BU6" s="22">
        <f t="shared" si="0"/>
        <v>0</v>
      </c>
      <c r="BV6" s="22">
        <f t="shared" si="0"/>
        <v>0</v>
      </c>
      <c r="BW6" s="22">
        <f t="shared" si="0"/>
        <v>0</v>
      </c>
      <c r="BX6" s="22">
        <f t="shared" si="0"/>
        <v>0</v>
      </c>
      <c r="BY6" s="22">
        <f t="shared" ref="N6:BY69" si="6">IF($C6=2,IF(BY$2&lt;=$O$1,$D6*IF(AND(BY$2=0,$E6=0),1,BY$2^$E6)*EXP($F6*(1-IF(AND(BY$2=0,$G6=0),1,BY$2^$G6))),($H6-$I6)*(BY$2-$O$1)/(1-$O$1)+$I6),$D6*IF(AND(BY$2=0,$E6=0),1,BY$2^$E6)*EXP($F6*(1-IF(AND(BY$2=0,$G6=0),1,BY$2^$G6))))</f>
        <v>0</v>
      </c>
      <c r="BZ6" s="22">
        <f t="shared" si="1"/>
        <v>0</v>
      </c>
      <c r="CA6" s="22">
        <f t="shared" si="1"/>
        <v>0</v>
      </c>
      <c r="CB6" s="22">
        <f t="shared" si="1"/>
        <v>0</v>
      </c>
      <c r="CC6" s="22">
        <f t="shared" si="1"/>
        <v>0</v>
      </c>
      <c r="CD6" s="22">
        <f t="shared" si="1"/>
        <v>0</v>
      </c>
      <c r="CE6" s="22">
        <f t="shared" si="1"/>
        <v>0</v>
      </c>
      <c r="CF6" s="22">
        <f t="shared" si="1"/>
        <v>0</v>
      </c>
      <c r="CG6" s="22">
        <f t="shared" si="1"/>
        <v>0</v>
      </c>
      <c r="CH6" s="22">
        <f t="shared" si="1"/>
        <v>0</v>
      </c>
      <c r="CI6" s="22">
        <f t="shared" si="1"/>
        <v>0</v>
      </c>
      <c r="CJ6" s="22">
        <f t="shared" si="1"/>
        <v>0</v>
      </c>
      <c r="CK6" s="22">
        <f t="shared" si="1"/>
        <v>0</v>
      </c>
      <c r="CL6" s="22">
        <f t="shared" si="1"/>
        <v>0</v>
      </c>
      <c r="CM6" s="22">
        <f t="shared" si="1"/>
        <v>0</v>
      </c>
      <c r="CN6" s="22">
        <f t="shared" si="1"/>
        <v>0</v>
      </c>
      <c r="CO6" s="22">
        <f t="shared" si="1"/>
        <v>0</v>
      </c>
      <c r="CP6" s="22">
        <f t="shared" si="1"/>
        <v>0</v>
      </c>
      <c r="CQ6" s="22">
        <f t="shared" si="1"/>
        <v>0</v>
      </c>
      <c r="CR6" s="22">
        <f t="shared" si="1"/>
        <v>0</v>
      </c>
      <c r="CS6" s="22">
        <f t="shared" si="1"/>
        <v>0</v>
      </c>
      <c r="CT6" s="22">
        <f t="shared" si="1"/>
        <v>0</v>
      </c>
      <c r="CU6" s="22">
        <f t="shared" si="1"/>
        <v>0</v>
      </c>
      <c r="CV6" s="22">
        <f t="shared" si="1"/>
        <v>0</v>
      </c>
      <c r="CW6" s="22">
        <f t="shared" si="1"/>
        <v>0</v>
      </c>
    </row>
    <row r="7" spans="1:101">
      <c r="A7" s="22">
        <v>5</v>
      </c>
      <c r="B7" s="32" t="str">
        <f>データファイル用!$B8</f>
        <v>MEWS Building Membrane II</v>
      </c>
      <c r="C7" s="32">
        <f>データファイル用!K8</f>
        <v>1</v>
      </c>
      <c r="D7" s="32">
        <f>データファイル用!L8</f>
        <v>0</v>
      </c>
      <c r="E7" s="32">
        <f>データファイル用!M8</f>
        <v>0</v>
      </c>
      <c r="F7" s="32">
        <f>データファイル用!N8</f>
        <v>0</v>
      </c>
      <c r="G7" s="32">
        <f>データファイル用!O8</f>
        <v>0</v>
      </c>
      <c r="H7" s="32">
        <f>データファイル用!P8</f>
        <v>0</v>
      </c>
      <c r="I7" s="35">
        <f>データファイル用!Q8</f>
        <v>0</v>
      </c>
      <c r="J7" s="32">
        <f t="shared" si="2"/>
        <v>0</v>
      </c>
      <c r="K7" s="32">
        <f t="shared" si="3"/>
        <v>0</v>
      </c>
      <c r="L7" s="53" t="str">
        <f t="shared" si="4"/>
        <v>N/A</v>
      </c>
      <c r="M7" s="22">
        <f t="shared" si="5"/>
        <v>0</v>
      </c>
      <c r="N7" s="22">
        <f t="shared" si="6"/>
        <v>0</v>
      </c>
      <c r="O7" s="22">
        <f t="shared" si="6"/>
        <v>0</v>
      </c>
      <c r="P7" s="22">
        <f t="shared" si="6"/>
        <v>0</v>
      </c>
      <c r="Q7" s="22">
        <f t="shared" si="6"/>
        <v>0</v>
      </c>
      <c r="R7" s="22">
        <f t="shared" si="6"/>
        <v>0</v>
      </c>
      <c r="S7" s="22">
        <f t="shared" si="6"/>
        <v>0</v>
      </c>
      <c r="T7" s="22">
        <f t="shared" si="6"/>
        <v>0</v>
      </c>
      <c r="U7" s="22">
        <f t="shared" si="6"/>
        <v>0</v>
      </c>
      <c r="V7" s="22">
        <f t="shared" si="6"/>
        <v>0</v>
      </c>
      <c r="W7" s="22">
        <f t="shared" si="6"/>
        <v>0</v>
      </c>
      <c r="X7" s="22">
        <f t="shared" si="6"/>
        <v>0</v>
      </c>
      <c r="Y7" s="22">
        <f t="shared" si="6"/>
        <v>0</v>
      </c>
      <c r="Z7" s="22">
        <f t="shared" si="6"/>
        <v>0</v>
      </c>
      <c r="AA7" s="22">
        <f t="shared" si="6"/>
        <v>0</v>
      </c>
      <c r="AB7" s="22">
        <f t="shared" si="6"/>
        <v>0</v>
      </c>
      <c r="AC7" s="22">
        <f t="shared" si="6"/>
        <v>0</v>
      </c>
      <c r="AD7" s="22">
        <f t="shared" si="6"/>
        <v>0</v>
      </c>
      <c r="AE7" s="22">
        <f t="shared" si="6"/>
        <v>0</v>
      </c>
      <c r="AF7" s="22">
        <f t="shared" si="6"/>
        <v>0</v>
      </c>
      <c r="AG7" s="22">
        <f t="shared" si="6"/>
        <v>0</v>
      </c>
      <c r="AH7" s="22">
        <f t="shared" si="6"/>
        <v>0</v>
      </c>
      <c r="AI7" s="22">
        <f t="shared" si="6"/>
        <v>0</v>
      </c>
      <c r="AJ7" s="22">
        <f t="shared" si="6"/>
        <v>0</v>
      </c>
      <c r="AK7" s="22">
        <f t="shared" si="6"/>
        <v>0</v>
      </c>
      <c r="AL7" s="22">
        <f t="shared" si="6"/>
        <v>0</v>
      </c>
      <c r="AM7" s="22">
        <f t="shared" si="6"/>
        <v>0</v>
      </c>
      <c r="AN7" s="22">
        <f t="shared" si="6"/>
        <v>0</v>
      </c>
      <c r="AO7" s="22">
        <f t="shared" si="6"/>
        <v>0</v>
      </c>
      <c r="AP7" s="22">
        <f t="shared" si="6"/>
        <v>0</v>
      </c>
      <c r="AQ7" s="22">
        <f t="shared" si="6"/>
        <v>0</v>
      </c>
      <c r="AR7" s="22">
        <f t="shared" si="6"/>
        <v>0</v>
      </c>
      <c r="AS7" s="22">
        <f t="shared" si="6"/>
        <v>0</v>
      </c>
      <c r="AT7" s="22">
        <f t="shared" si="6"/>
        <v>0</v>
      </c>
      <c r="AU7" s="22">
        <f t="shared" si="6"/>
        <v>0</v>
      </c>
      <c r="AV7" s="22">
        <f t="shared" si="6"/>
        <v>0</v>
      </c>
      <c r="AW7" s="22">
        <f t="shared" si="6"/>
        <v>0</v>
      </c>
      <c r="AX7" s="22">
        <f t="shared" si="6"/>
        <v>0</v>
      </c>
      <c r="AY7" s="22">
        <f t="shared" si="6"/>
        <v>0</v>
      </c>
      <c r="AZ7" s="22">
        <f t="shared" si="6"/>
        <v>0</v>
      </c>
      <c r="BA7" s="22">
        <f t="shared" si="6"/>
        <v>0</v>
      </c>
      <c r="BB7" s="22">
        <f t="shared" si="6"/>
        <v>0</v>
      </c>
      <c r="BC7" s="22">
        <f t="shared" si="6"/>
        <v>0</v>
      </c>
      <c r="BD7" s="22">
        <f t="shared" si="6"/>
        <v>0</v>
      </c>
      <c r="BE7" s="22">
        <f t="shared" si="6"/>
        <v>0</v>
      </c>
      <c r="BF7" s="22">
        <f t="shared" si="6"/>
        <v>0</v>
      </c>
      <c r="BG7" s="22">
        <f t="shared" si="6"/>
        <v>0</v>
      </c>
      <c r="BH7" s="22">
        <f t="shared" si="6"/>
        <v>0</v>
      </c>
      <c r="BI7" s="22">
        <f t="shared" si="6"/>
        <v>0</v>
      </c>
      <c r="BJ7" s="22">
        <f t="shared" si="6"/>
        <v>0</v>
      </c>
      <c r="BK7" s="22">
        <f t="shared" si="6"/>
        <v>0</v>
      </c>
      <c r="BL7" s="22">
        <f t="shared" si="6"/>
        <v>0</v>
      </c>
      <c r="BM7" s="22">
        <f t="shared" si="6"/>
        <v>0</v>
      </c>
      <c r="BN7" s="22">
        <f t="shared" si="6"/>
        <v>0</v>
      </c>
      <c r="BO7" s="22">
        <f t="shared" si="6"/>
        <v>0</v>
      </c>
      <c r="BP7" s="22">
        <f t="shared" si="6"/>
        <v>0</v>
      </c>
      <c r="BQ7" s="22">
        <f t="shared" si="6"/>
        <v>0</v>
      </c>
      <c r="BR7" s="22">
        <f t="shared" si="6"/>
        <v>0</v>
      </c>
      <c r="BS7" s="22">
        <f t="shared" si="6"/>
        <v>0</v>
      </c>
      <c r="BT7" s="22">
        <f t="shared" si="6"/>
        <v>0</v>
      </c>
      <c r="BU7" s="22">
        <f t="shared" si="6"/>
        <v>0</v>
      </c>
      <c r="BV7" s="22">
        <f t="shared" si="6"/>
        <v>0</v>
      </c>
      <c r="BW7" s="22">
        <f t="shared" si="6"/>
        <v>0</v>
      </c>
      <c r="BX7" s="22">
        <f t="shared" si="6"/>
        <v>0</v>
      </c>
      <c r="BY7" s="22">
        <f t="shared" si="6"/>
        <v>0</v>
      </c>
      <c r="BZ7" s="22">
        <f t="shared" si="1"/>
        <v>0</v>
      </c>
      <c r="CA7" s="22">
        <f t="shared" si="1"/>
        <v>0</v>
      </c>
      <c r="CB7" s="22">
        <f t="shared" si="1"/>
        <v>0</v>
      </c>
      <c r="CC7" s="22">
        <f t="shared" si="1"/>
        <v>0</v>
      </c>
      <c r="CD7" s="22">
        <f t="shared" si="1"/>
        <v>0</v>
      </c>
      <c r="CE7" s="22">
        <f t="shared" si="1"/>
        <v>0</v>
      </c>
      <c r="CF7" s="22">
        <f t="shared" si="1"/>
        <v>0</v>
      </c>
      <c r="CG7" s="22">
        <f t="shared" si="1"/>
        <v>0</v>
      </c>
      <c r="CH7" s="22">
        <f t="shared" si="1"/>
        <v>0</v>
      </c>
      <c r="CI7" s="22">
        <f t="shared" si="1"/>
        <v>0</v>
      </c>
      <c r="CJ7" s="22">
        <f t="shared" si="1"/>
        <v>0</v>
      </c>
      <c r="CK7" s="22">
        <f t="shared" si="1"/>
        <v>0</v>
      </c>
      <c r="CL7" s="22">
        <f t="shared" si="1"/>
        <v>0</v>
      </c>
      <c r="CM7" s="22">
        <f t="shared" si="1"/>
        <v>0</v>
      </c>
      <c r="CN7" s="22">
        <f t="shared" si="1"/>
        <v>0</v>
      </c>
      <c r="CO7" s="22">
        <f t="shared" si="1"/>
        <v>0</v>
      </c>
      <c r="CP7" s="22">
        <f t="shared" si="1"/>
        <v>0</v>
      </c>
      <c r="CQ7" s="22">
        <f t="shared" si="1"/>
        <v>0</v>
      </c>
      <c r="CR7" s="22">
        <f t="shared" si="1"/>
        <v>0</v>
      </c>
      <c r="CS7" s="22">
        <f t="shared" si="1"/>
        <v>0</v>
      </c>
      <c r="CT7" s="22">
        <f t="shared" si="1"/>
        <v>0</v>
      </c>
      <c r="CU7" s="22">
        <f t="shared" si="1"/>
        <v>0</v>
      </c>
      <c r="CV7" s="22">
        <f t="shared" si="1"/>
        <v>0</v>
      </c>
      <c r="CW7" s="22">
        <f t="shared" si="1"/>
        <v>0</v>
      </c>
    </row>
    <row r="8" spans="1:101">
      <c r="A8" s="22">
        <v>6</v>
      </c>
      <c r="B8" s="32" t="str">
        <f>データファイル用!$B9</f>
        <v>MEWS Building Membrane III</v>
      </c>
      <c r="C8" s="32">
        <f>データファイル用!K9</f>
        <v>1</v>
      </c>
      <c r="D8" s="32">
        <f>データファイル用!L9</f>
        <v>0</v>
      </c>
      <c r="E8" s="32">
        <f>データファイル用!M9</f>
        <v>0</v>
      </c>
      <c r="F8" s="32">
        <f>データファイル用!N9</f>
        <v>0</v>
      </c>
      <c r="G8" s="32">
        <f>データファイル用!O9</f>
        <v>0</v>
      </c>
      <c r="H8" s="32">
        <f>データファイル用!P9</f>
        <v>0</v>
      </c>
      <c r="I8" s="35">
        <f>データファイル用!Q9</f>
        <v>0</v>
      </c>
      <c r="J8" s="32">
        <f t="shared" si="2"/>
        <v>0</v>
      </c>
      <c r="K8" s="32">
        <f t="shared" si="3"/>
        <v>0</v>
      </c>
      <c r="L8" s="53" t="str">
        <f t="shared" si="4"/>
        <v>N/A</v>
      </c>
      <c r="M8" s="22">
        <f t="shared" si="5"/>
        <v>0</v>
      </c>
      <c r="N8" s="22">
        <f t="shared" si="6"/>
        <v>0</v>
      </c>
      <c r="O8" s="22">
        <f t="shared" si="6"/>
        <v>0</v>
      </c>
      <c r="P8" s="22">
        <f t="shared" si="6"/>
        <v>0</v>
      </c>
      <c r="Q8" s="22">
        <f t="shared" si="6"/>
        <v>0</v>
      </c>
      <c r="R8" s="22">
        <f t="shared" si="6"/>
        <v>0</v>
      </c>
      <c r="S8" s="22">
        <f t="shared" si="6"/>
        <v>0</v>
      </c>
      <c r="T8" s="22">
        <f t="shared" si="6"/>
        <v>0</v>
      </c>
      <c r="U8" s="22">
        <f t="shared" si="6"/>
        <v>0</v>
      </c>
      <c r="V8" s="22">
        <f t="shared" si="6"/>
        <v>0</v>
      </c>
      <c r="W8" s="22">
        <f t="shared" si="6"/>
        <v>0</v>
      </c>
      <c r="X8" s="22">
        <f t="shared" si="6"/>
        <v>0</v>
      </c>
      <c r="Y8" s="22">
        <f t="shared" si="6"/>
        <v>0</v>
      </c>
      <c r="Z8" s="22">
        <f t="shared" si="6"/>
        <v>0</v>
      </c>
      <c r="AA8" s="22">
        <f t="shared" si="6"/>
        <v>0</v>
      </c>
      <c r="AB8" s="22">
        <f t="shared" si="6"/>
        <v>0</v>
      </c>
      <c r="AC8" s="22">
        <f t="shared" si="6"/>
        <v>0</v>
      </c>
      <c r="AD8" s="22">
        <f t="shared" si="6"/>
        <v>0</v>
      </c>
      <c r="AE8" s="22">
        <f t="shared" si="6"/>
        <v>0</v>
      </c>
      <c r="AF8" s="22">
        <f t="shared" si="6"/>
        <v>0</v>
      </c>
      <c r="AG8" s="22">
        <f t="shared" si="6"/>
        <v>0</v>
      </c>
      <c r="AH8" s="22">
        <f t="shared" si="6"/>
        <v>0</v>
      </c>
      <c r="AI8" s="22">
        <f t="shared" si="6"/>
        <v>0</v>
      </c>
      <c r="AJ8" s="22">
        <f t="shared" si="6"/>
        <v>0</v>
      </c>
      <c r="AK8" s="22">
        <f t="shared" si="6"/>
        <v>0</v>
      </c>
      <c r="AL8" s="22">
        <f t="shared" si="6"/>
        <v>0</v>
      </c>
      <c r="AM8" s="22">
        <f t="shared" si="6"/>
        <v>0</v>
      </c>
      <c r="AN8" s="22">
        <f t="shared" si="6"/>
        <v>0</v>
      </c>
      <c r="AO8" s="22">
        <f t="shared" si="6"/>
        <v>0</v>
      </c>
      <c r="AP8" s="22">
        <f t="shared" si="6"/>
        <v>0</v>
      </c>
      <c r="AQ8" s="22">
        <f t="shared" si="6"/>
        <v>0</v>
      </c>
      <c r="AR8" s="22">
        <f t="shared" si="6"/>
        <v>0</v>
      </c>
      <c r="AS8" s="22">
        <f t="shared" si="6"/>
        <v>0</v>
      </c>
      <c r="AT8" s="22">
        <f t="shared" si="6"/>
        <v>0</v>
      </c>
      <c r="AU8" s="22">
        <f t="shared" si="6"/>
        <v>0</v>
      </c>
      <c r="AV8" s="22">
        <f t="shared" si="6"/>
        <v>0</v>
      </c>
      <c r="AW8" s="22">
        <f t="shared" si="6"/>
        <v>0</v>
      </c>
      <c r="AX8" s="22">
        <f t="shared" si="6"/>
        <v>0</v>
      </c>
      <c r="AY8" s="22">
        <f t="shared" si="6"/>
        <v>0</v>
      </c>
      <c r="AZ8" s="22">
        <f t="shared" si="6"/>
        <v>0</v>
      </c>
      <c r="BA8" s="22">
        <f t="shared" si="6"/>
        <v>0</v>
      </c>
      <c r="BB8" s="22">
        <f t="shared" si="6"/>
        <v>0</v>
      </c>
      <c r="BC8" s="22">
        <f t="shared" si="6"/>
        <v>0</v>
      </c>
      <c r="BD8" s="22">
        <f t="shared" si="6"/>
        <v>0</v>
      </c>
      <c r="BE8" s="22">
        <f t="shared" si="6"/>
        <v>0</v>
      </c>
      <c r="BF8" s="22">
        <f t="shared" si="6"/>
        <v>0</v>
      </c>
      <c r="BG8" s="22">
        <f t="shared" si="6"/>
        <v>0</v>
      </c>
      <c r="BH8" s="22">
        <f t="shared" si="6"/>
        <v>0</v>
      </c>
      <c r="BI8" s="22">
        <f t="shared" si="6"/>
        <v>0</v>
      </c>
      <c r="BJ8" s="22">
        <f t="shared" si="6"/>
        <v>0</v>
      </c>
      <c r="BK8" s="22">
        <f t="shared" si="6"/>
        <v>0</v>
      </c>
      <c r="BL8" s="22">
        <f t="shared" si="6"/>
        <v>0</v>
      </c>
      <c r="BM8" s="22">
        <f t="shared" si="6"/>
        <v>0</v>
      </c>
      <c r="BN8" s="22">
        <f t="shared" si="6"/>
        <v>0</v>
      </c>
      <c r="BO8" s="22">
        <f t="shared" si="6"/>
        <v>0</v>
      </c>
      <c r="BP8" s="22">
        <f t="shared" si="6"/>
        <v>0</v>
      </c>
      <c r="BQ8" s="22">
        <f t="shared" si="6"/>
        <v>0</v>
      </c>
      <c r="BR8" s="22">
        <f t="shared" si="6"/>
        <v>0</v>
      </c>
      <c r="BS8" s="22">
        <f t="shared" si="6"/>
        <v>0</v>
      </c>
      <c r="BT8" s="22">
        <f t="shared" si="6"/>
        <v>0</v>
      </c>
      <c r="BU8" s="22">
        <f t="shared" si="6"/>
        <v>0</v>
      </c>
      <c r="BV8" s="22">
        <f t="shared" si="6"/>
        <v>0</v>
      </c>
      <c r="BW8" s="22">
        <f t="shared" si="6"/>
        <v>0</v>
      </c>
      <c r="BX8" s="22">
        <f t="shared" si="6"/>
        <v>0</v>
      </c>
      <c r="BY8" s="22">
        <f t="shared" si="6"/>
        <v>0</v>
      </c>
      <c r="BZ8" s="22">
        <f t="shared" si="1"/>
        <v>0</v>
      </c>
      <c r="CA8" s="22">
        <f t="shared" si="1"/>
        <v>0</v>
      </c>
      <c r="CB8" s="22">
        <f t="shared" si="1"/>
        <v>0</v>
      </c>
      <c r="CC8" s="22">
        <f t="shared" si="1"/>
        <v>0</v>
      </c>
      <c r="CD8" s="22">
        <f t="shared" si="1"/>
        <v>0</v>
      </c>
      <c r="CE8" s="22">
        <f t="shared" si="1"/>
        <v>0</v>
      </c>
      <c r="CF8" s="22">
        <f t="shared" si="1"/>
        <v>0</v>
      </c>
      <c r="CG8" s="22">
        <f t="shared" si="1"/>
        <v>0</v>
      </c>
      <c r="CH8" s="22">
        <f t="shared" si="1"/>
        <v>0</v>
      </c>
      <c r="CI8" s="22">
        <f t="shared" si="1"/>
        <v>0</v>
      </c>
      <c r="CJ8" s="22">
        <f t="shared" si="1"/>
        <v>0</v>
      </c>
      <c r="CK8" s="22">
        <f t="shared" si="1"/>
        <v>0</v>
      </c>
      <c r="CL8" s="22">
        <f t="shared" si="1"/>
        <v>0</v>
      </c>
      <c r="CM8" s="22">
        <f t="shared" si="1"/>
        <v>0</v>
      </c>
      <c r="CN8" s="22">
        <f t="shared" si="1"/>
        <v>0</v>
      </c>
      <c r="CO8" s="22">
        <f t="shared" si="1"/>
        <v>0</v>
      </c>
      <c r="CP8" s="22">
        <f t="shared" si="1"/>
        <v>0</v>
      </c>
      <c r="CQ8" s="22">
        <f t="shared" si="1"/>
        <v>0</v>
      </c>
      <c r="CR8" s="22">
        <f t="shared" si="1"/>
        <v>0</v>
      </c>
      <c r="CS8" s="22">
        <f t="shared" si="1"/>
        <v>0</v>
      </c>
      <c r="CT8" s="22">
        <f t="shared" si="1"/>
        <v>0</v>
      </c>
      <c r="CU8" s="22">
        <f t="shared" si="1"/>
        <v>0</v>
      </c>
      <c r="CV8" s="22">
        <f t="shared" si="1"/>
        <v>0</v>
      </c>
      <c r="CW8" s="22">
        <f t="shared" si="1"/>
        <v>0</v>
      </c>
    </row>
    <row r="9" spans="1:101">
      <c r="A9" s="22">
        <v>7</v>
      </c>
      <c r="B9" s="32" t="str">
        <f>データファイル用!$B10</f>
        <v>MEWS Building Membrane IVA</v>
      </c>
      <c r="C9" s="32">
        <f>データファイル用!K10</f>
        <v>1</v>
      </c>
      <c r="D9" s="32">
        <f>データファイル用!L10</f>
        <v>0</v>
      </c>
      <c r="E9" s="32">
        <f>データファイル用!M10</f>
        <v>0</v>
      </c>
      <c r="F9" s="32">
        <f>データファイル用!N10</f>
        <v>0</v>
      </c>
      <c r="G9" s="32">
        <f>データファイル用!O10</f>
        <v>0</v>
      </c>
      <c r="H9" s="32">
        <f>データファイル用!P10</f>
        <v>0</v>
      </c>
      <c r="I9" s="35">
        <f>データファイル用!Q10</f>
        <v>0</v>
      </c>
      <c r="J9" s="32">
        <f t="shared" si="2"/>
        <v>0</v>
      </c>
      <c r="K9" s="32">
        <f t="shared" si="3"/>
        <v>0</v>
      </c>
      <c r="L9" s="53" t="str">
        <f t="shared" si="4"/>
        <v>N/A</v>
      </c>
      <c r="M9" s="22">
        <f t="shared" si="5"/>
        <v>0</v>
      </c>
      <c r="N9" s="22">
        <f t="shared" si="6"/>
        <v>0</v>
      </c>
      <c r="O9" s="22">
        <f t="shared" si="6"/>
        <v>0</v>
      </c>
      <c r="P9" s="22">
        <f t="shared" si="6"/>
        <v>0</v>
      </c>
      <c r="Q9" s="22">
        <f t="shared" si="6"/>
        <v>0</v>
      </c>
      <c r="R9" s="22">
        <f t="shared" si="6"/>
        <v>0</v>
      </c>
      <c r="S9" s="22">
        <f t="shared" si="6"/>
        <v>0</v>
      </c>
      <c r="T9" s="22">
        <f t="shared" si="6"/>
        <v>0</v>
      </c>
      <c r="U9" s="22">
        <f t="shared" si="6"/>
        <v>0</v>
      </c>
      <c r="V9" s="22">
        <f t="shared" si="6"/>
        <v>0</v>
      </c>
      <c r="W9" s="22">
        <f t="shared" si="6"/>
        <v>0</v>
      </c>
      <c r="X9" s="22">
        <f t="shared" si="6"/>
        <v>0</v>
      </c>
      <c r="Y9" s="22">
        <f t="shared" si="6"/>
        <v>0</v>
      </c>
      <c r="Z9" s="22">
        <f t="shared" si="6"/>
        <v>0</v>
      </c>
      <c r="AA9" s="22">
        <f t="shared" si="6"/>
        <v>0</v>
      </c>
      <c r="AB9" s="22">
        <f t="shared" si="6"/>
        <v>0</v>
      </c>
      <c r="AC9" s="22">
        <f t="shared" si="6"/>
        <v>0</v>
      </c>
      <c r="AD9" s="22">
        <f t="shared" si="6"/>
        <v>0</v>
      </c>
      <c r="AE9" s="22">
        <f t="shared" si="6"/>
        <v>0</v>
      </c>
      <c r="AF9" s="22">
        <f t="shared" si="6"/>
        <v>0</v>
      </c>
      <c r="AG9" s="22">
        <f t="shared" si="6"/>
        <v>0</v>
      </c>
      <c r="AH9" s="22">
        <f t="shared" si="6"/>
        <v>0</v>
      </c>
      <c r="AI9" s="22">
        <f t="shared" si="6"/>
        <v>0</v>
      </c>
      <c r="AJ9" s="22">
        <f t="shared" si="6"/>
        <v>0</v>
      </c>
      <c r="AK9" s="22">
        <f t="shared" si="6"/>
        <v>0</v>
      </c>
      <c r="AL9" s="22">
        <f t="shared" si="6"/>
        <v>0</v>
      </c>
      <c r="AM9" s="22">
        <f t="shared" si="6"/>
        <v>0</v>
      </c>
      <c r="AN9" s="22">
        <f t="shared" si="6"/>
        <v>0</v>
      </c>
      <c r="AO9" s="22">
        <f t="shared" si="6"/>
        <v>0</v>
      </c>
      <c r="AP9" s="22">
        <f t="shared" si="6"/>
        <v>0</v>
      </c>
      <c r="AQ9" s="22">
        <f t="shared" si="6"/>
        <v>0</v>
      </c>
      <c r="AR9" s="22">
        <f t="shared" si="6"/>
        <v>0</v>
      </c>
      <c r="AS9" s="22">
        <f t="shared" si="6"/>
        <v>0</v>
      </c>
      <c r="AT9" s="22">
        <f t="shared" si="6"/>
        <v>0</v>
      </c>
      <c r="AU9" s="22">
        <f t="shared" si="6"/>
        <v>0</v>
      </c>
      <c r="AV9" s="22">
        <f t="shared" si="6"/>
        <v>0</v>
      </c>
      <c r="AW9" s="22">
        <f t="shared" si="6"/>
        <v>0</v>
      </c>
      <c r="AX9" s="22">
        <f t="shared" si="6"/>
        <v>0</v>
      </c>
      <c r="AY9" s="22">
        <f t="shared" si="6"/>
        <v>0</v>
      </c>
      <c r="AZ9" s="22">
        <f t="shared" si="6"/>
        <v>0</v>
      </c>
      <c r="BA9" s="22">
        <f t="shared" si="6"/>
        <v>0</v>
      </c>
      <c r="BB9" s="22">
        <f t="shared" si="6"/>
        <v>0</v>
      </c>
      <c r="BC9" s="22">
        <f t="shared" si="6"/>
        <v>0</v>
      </c>
      <c r="BD9" s="22">
        <f t="shared" si="6"/>
        <v>0</v>
      </c>
      <c r="BE9" s="22">
        <f t="shared" si="6"/>
        <v>0</v>
      </c>
      <c r="BF9" s="22">
        <f t="shared" si="6"/>
        <v>0</v>
      </c>
      <c r="BG9" s="22">
        <f t="shared" si="6"/>
        <v>0</v>
      </c>
      <c r="BH9" s="22">
        <f t="shared" si="6"/>
        <v>0</v>
      </c>
      <c r="BI9" s="22">
        <f t="shared" si="6"/>
        <v>0</v>
      </c>
      <c r="BJ9" s="22">
        <f t="shared" si="6"/>
        <v>0</v>
      </c>
      <c r="BK9" s="22">
        <f t="shared" si="6"/>
        <v>0</v>
      </c>
      <c r="BL9" s="22">
        <f t="shared" si="6"/>
        <v>0</v>
      </c>
      <c r="BM9" s="22">
        <f t="shared" si="6"/>
        <v>0</v>
      </c>
      <c r="BN9" s="22">
        <f t="shared" si="6"/>
        <v>0</v>
      </c>
      <c r="BO9" s="22">
        <f t="shared" si="6"/>
        <v>0</v>
      </c>
      <c r="BP9" s="22">
        <f t="shared" si="6"/>
        <v>0</v>
      </c>
      <c r="BQ9" s="22">
        <f t="shared" si="6"/>
        <v>0</v>
      </c>
      <c r="BR9" s="22">
        <f t="shared" si="6"/>
        <v>0</v>
      </c>
      <c r="BS9" s="22">
        <f t="shared" si="6"/>
        <v>0</v>
      </c>
      <c r="BT9" s="22">
        <f t="shared" si="6"/>
        <v>0</v>
      </c>
      <c r="BU9" s="22">
        <f t="shared" si="6"/>
        <v>0</v>
      </c>
      <c r="BV9" s="22">
        <f t="shared" si="6"/>
        <v>0</v>
      </c>
      <c r="BW9" s="22">
        <f t="shared" si="6"/>
        <v>0</v>
      </c>
      <c r="BX9" s="22">
        <f t="shared" si="6"/>
        <v>0</v>
      </c>
      <c r="BY9" s="22">
        <f t="shared" si="6"/>
        <v>0</v>
      </c>
      <c r="BZ9" s="22">
        <f t="shared" si="1"/>
        <v>0</v>
      </c>
      <c r="CA9" s="22">
        <f t="shared" si="1"/>
        <v>0</v>
      </c>
      <c r="CB9" s="22">
        <f t="shared" si="1"/>
        <v>0</v>
      </c>
      <c r="CC9" s="22">
        <f t="shared" si="1"/>
        <v>0</v>
      </c>
      <c r="CD9" s="22">
        <f t="shared" si="1"/>
        <v>0</v>
      </c>
      <c r="CE9" s="22">
        <f t="shared" si="1"/>
        <v>0</v>
      </c>
      <c r="CF9" s="22">
        <f t="shared" si="1"/>
        <v>0</v>
      </c>
      <c r="CG9" s="22">
        <f t="shared" si="1"/>
        <v>0</v>
      </c>
      <c r="CH9" s="22">
        <f t="shared" si="1"/>
        <v>0</v>
      </c>
      <c r="CI9" s="22">
        <f t="shared" si="1"/>
        <v>0</v>
      </c>
      <c r="CJ9" s="22">
        <f t="shared" si="1"/>
        <v>0</v>
      </c>
      <c r="CK9" s="22">
        <f t="shared" si="1"/>
        <v>0</v>
      </c>
      <c r="CL9" s="22">
        <f t="shared" si="1"/>
        <v>0</v>
      </c>
      <c r="CM9" s="22">
        <f t="shared" si="1"/>
        <v>0</v>
      </c>
      <c r="CN9" s="22">
        <f t="shared" si="1"/>
        <v>0</v>
      </c>
      <c r="CO9" s="22">
        <f t="shared" si="1"/>
        <v>0</v>
      </c>
      <c r="CP9" s="22">
        <f t="shared" si="1"/>
        <v>0</v>
      </c>
      <c r="CQ9" s="22">
        <f t="shared" si="1"/>
        <v>0</v>
      </c>
      <c r="CR9" s="22">
        <f t="shared" si="1"/>
        <v>0</v>
      </c>
      <c r="CS9" s="22">
        <f t="shared" si="1"/>
        <v>0</v>
      </c>
      <c r="CT9" s="22">
        <f t="shared" si="1"/>
        <v>0</v>
      </c>
      <c r="CU9" s="22">
        <f t="shared" si="1"/>
        <v>0</v>
      </c>
      <c r="CV9" s="22">
        <f t="shared" si="1"/>
        <v>0</v>
      </c>
      <c r="CW9" s="22">
        <f t="shared" si="1"/>
        <v>0</v>
      </c>
    </row>
    <row r="10" spans="1:101">
      <c r="A10" s="22">
        <v>8</v>
      </c>
      <c r="B10" s="32" t="str">
        <f>データファイル用!$B11</f>
        <v>MEWS Building Membrane V A</v>
      </c>
      <c r="C10" s="32">
        <f>データファイル用!K11</f>
        <v>1</v>
      </c>
      <c r="D10" s="32">
        <f>データファイル用!L11</f>
        <v>0</v>
      </c>
      <c r="E10" s="32">
        <f>データファイル用!M11</f>
        <v>0</v>
      </c>
      <c r="F10" s="32">
        <f>データファイル用!N11</f>
        <v>0</v>
      </c>
      <c r="G10" s="32">
        <f>データファイル用!O11</f>
        <v>0</v>
      </c>
      <c r="H10" s="32">
        <f>データファイル用!P11</f>
        <v>0</v>
      </c>
      <c r="I10" s="35">
        <f>データファイル用!Q11</f>
        <v>0</v>
      </c>
      <c r="J10" s="32">
        <f t="shared" si="2"/>
        <v>0</v>
      </c>
      <c r="K10" s="32">
        <f t="shared" si="3"/>
        <v>0</v>
      </c>
      <c r="L10" s="53" t="str">
        <f t="shared" si="4"/>
        <v>N/A</v>
      </c>
      <c r="M10" s="22">
        <f t="shared" si="5"/>
        <v>0</v>
      </c>
      <c r="N10" s="22">
        <f t="shared" si="6"/>
        <v>0</v>
      </c>
      <c r="O10" s="22">
        <f t="shared" si="6"/>
        <v>0</v>
      </c>
      <c r="P10" s="22">
        <f t="shared" si="6"/>
        <v>0</v>
      </c>
      <c r="Q10" s="22">
        <f t="shared" si="6"/>
        <v>0</v>
      </c>
      <c r="R10" s="22">
        <f t="shared" si="6"/>
        <v>0</v>
      </c>
      <c r="S10" s="22">
        <f t="shared" si="6"/>
        <v>0</v>
      </c>
      <c r="T10" s="22">
        <f t="shared" si="6"/>
        <v>0</v>
      </c>
      <c r="U10" s="22">
        <f t="shared" si="6"/>
        <v>0</v>
      </c>
      <c r="V10" s="22">
        <f t="shared" si="6"/>
        <v>0</v>
      </c>
      <c r="W10" s="22">
        <f t="shared" si="6"/>
        <v>0</v>
      </c>
      <c r="X10" s="22">
        <f t="shared" si="6"/>
        <v>0</v>
      </c>
      <c r="Y10" s="22">
        <f t="shared" si="6"/>
        <v>0</v>
      </c>
      <c r="Z10" s="22">
        <f t="shared" si="6"/>
        <v>0</v>
      </c>
      <c r="AA10" s="22">
        <f t="shared" si="6"/>
        <v>0</v>
      </c>
      <c r="AB10" s="22">
        <f t="shared" si="6"/>
        <v>0</v>
      </c>
      <c r="AC10" s="22">
        <f t="shared" si="6"/>
        <v>0</v>
      </c>
      <c r="AD10" s="22">
        <f t="shared" si="6"/>
        <v>0</v>
      </c>
      <c r="AE10" s="22">
        <f t="shared" si="6"/>
        <v>0</v>
      </c>
      <c r="AF10" s="22">
        <f t="shared" si="6"/>
        <v>0</v>
      </c>
      <c r="AG10" s="22">
        <f t="shared" si="6"/>
        <v>0</v>
      </c>
      <c r="AH10" s="22">
        <f t="shared" si="6"/>
        <v>0</v>
      </c>
      <c r="AI10" s="22">
        <f t="shared" si="6"/>
        <v>0</v>
      </c>
      <c r="AJ10" s="22">
        <f t="shared" si="6"/>
        <v>0</v>
      </c>
      <c r="AK10" s="22">
        <f t="shared" si="6"/>
        <v>0</v>
      </c>
      <c r="AL10" s="22">
        <f t="shared" si="6"/>
        <v>0</v>
      </c>
      <c r="AM10" s="22">
        <f t="shared" si="6"/>
        <v>0</v>
      </c>
      <c r="AN10" s="22">
        <f t="shared" si="6"/>
        <v>0</v>
      </c>
      <c r="AO10" s="22">
        <f t="shared" si="6"/>
        <v>0</v>
      </c>
      <c r="AP10" s="22">
        <f t="shared" si="6"/>
        <v>0</v>
      </c>
      <c r="AQ10" s="22">
        <f t="shared" si="6"/>
        <v>0</v>
      </c>
      <c r="AR10" s="22">
        <f t="shared" si="6"/>
        <v>0</v>
      </c>
      <c r="AS10" s="22">
        <f t="shared" si="6"/>
        <v>0</v>
      </c>
      <c r="AT10" s="22">
        <f t="shared" si="6"/>
        <v>0</v>
      </c>
      <c r="AU10" s="22">
        <f t="shared" si="6"/>
        <v>0</v>
      </c>
      <c r="AV10" s="22">
        <f t="shared" si="6"/>
        <v>0</v>
      </c>
      <c r="AW10" s="22">
        <f t="shared" si="6"/>
        <v>0</v>
      </c>
      <c r="AX10" s="22">
        <f t="shared" si="6"/>
        <v>0</v>
      </c>
      <c r="AY10" s="22">
        <f t="shared" si="6"/>
        <v>0</v>
      </c>
      <c r="AZ10" s="22">
        <f t="shared" si="6"/>
        <v>0</v>
      </c>
      <c r="BA10" s="22">
        <f t="shared" si="6"/>
        <v>0</v>
      </c>
      <c r="BB10" s="22">
        <f t="shared" si="6"/>
        <v>0</v>
      </c>
      <c r="BC10" s="22">
        <f t="shared" si="6"/>
        <v>0</v>
      </c>
      <c r="BD10" s="22">
        <f t="shared" si="6"/>
        <v>0</v>
      </c>
      <c r="BE10" s="22">
        <f t="shared" si="6"/>
        <v>0</v>
      </c>
      <c r="BF10" s="22">
        <f t="shared" si="6"/>
        <v>0</v>
      </c>
      <c r="BG10" s="22">
        <f t="shared" si="6"/>
        <v>0</v>
      </c>
      <c r="BH10" s="22">
        <f t="shared" si="6"/>
        <v>0</v>
      </c>
      <c r="BI10" s="22">
        <f t="shared" si="6"/>
        <v>0</v>
      </c>
      <c r="BJ10" s="22">
        <f t="shared" si="6"/>
        <v>0</v>
      </c>
      <c r="BK10" s="22">
        <f t="shared" si="6"/>
        <v>0</v>
      </c>
      <c r="BL10" s="22">
        <f t="shared" si="6"/>
        <v>0</v>
      </c>
      <c r="BM10" s="22">
        <f t="shared" si="6"/>
        <v>0</v>
      </c>
      <c r="BN10" s="22">
        <f t="shared" si="6"/>
        <v>0</v>
      </c>
      <c r="BO10" s="22">
        <f t="shared" si="6"/>
        <v>0</v>
      </c>
      <c r="BP10" s="22">
        <f t="shared" si="6"/>
        <v>0</v>
      </c>
      <c r="BQ10" s="22">
        <f t="shared" si="6"/>
        <v>0</v>
      </c>
      <c r="BR10" s="22">
        <f t="shared" si="6"/>
        <v>0</v>
      </c>
      <c r="BS10" s="22">
        <f t="shared" si="6"/>
        <v>0</v>
      </c>
      <c r="BT10" s="22">
        <f t="shared" si="6"/>
        <v>0</v>
      </c>
      <c r="BU10" s="22">
        <f t="shared" si="6"/>
        <v>0</v>
      </c>
      <c r="BV10" s="22">
        <f t="shared" si="6"/>
        <v>0</v>
      </c>
      <c r="BW10" s="22">
        <f t="shared" si="6"/>
        <v>0</v>
      </c>
      <c r="BX10" s="22">
        <f t="shared" ref="BX10:CM73" si="7">IF($C10=2,IF(BX$2&lt;=$O$1,$D10*IF(AND(BX$2=0,$E10=0),1,BX$2^$E10)*EXP($F10*(1-IF(AND(BX$2=0,$G10=0),1,BX$2^$G10))),($H10-$I10)*(BX$2-$O$1)/(1-$O$1)+$I10),$D10*IF(AND(BX$2=0,$E10=0),1,BX$2^$E10)*EXP($F10*(1-IF(AND(BX$2=0,$G10=0),1,BX$2^$G10))))</f>
        <v>0</v>
      </c>
      <c r="BY10" s="22">
        <f t="shared" si="7"/>
        <v>0</v>
      </c>
      <c r="BZ10" s="22">
        <f t="shared" si="1"/>
        <v>0</v>
      </c>
      <c r="CA10" s="22">
        <f t="shared" si="1"/>
        <v>0</v>
      </c>
      <c r="CB10" s="22">
        <f t="shared" si="1"/>
        <v>0</v>
      </c>
      <c r="CC10" s="22">
        <f t="shared" si="1"/>
        <v>0</v>
      </c>
      <c r="CD10" s="22">
        <f t="shared" si="1"/>
        <v>0</v>
      </c>
      <c r="CE10" s="22">
        <f t="shared" si="1"/>
        <v>0</v>
      </c>
      <c r="CF10" s="22">
        <f t="shared" si="1"/>
        <v>0</v>
      </c>
      <c r="CG10" s="22">
        <f t="shared" si="1"/>
        <v>0</v>
      </c>
      <c r="CH10" s="22">
        <f t="shared" si="1"/>
        <v>0</v>
      </c>
      <c r="CI10" s="22">
        <f t="shared" si="1"/>
        <v>0</v>
      </c>
      <c r="CJ10" s="22">
        <f t="shared" si="1"/>
        <v>0</v>
      </c>
      <c r="CK10" s="22">
        <f t="shared" si="1"/>
        <v>0</v>
      </c>
      <c r="CL10" s="22">
        <f t="shared" si="1"/>
        <v>0</v>
      </c>
      <c r="CM10" s="22">
        <f t="shared" si="1"/>
        <v>0</v>
      </c>
      <c r="CN10" s="22">
        <f t="shared" si="1"/>
        <v>0</v>
      </c>
      <c r="CO10" s="22">
        <f t="shared" si="1"/>
        <v>0</v>
      </c>
      <c r="CP10" s="22">
        <f t="shared" si="1"/>
        <v>0</v>
      </c>
      <c r="CQ10" s="22">
        <f t="shared" si="1"/>
        <v>0</v>
      </c>
      <c r="CR10" s="22">
        <f t="shared" si="1"/>
        <v>0</v>
      </c>
      <c r="CS10" s="22">
        <f t="shared" si="1"/>
        <v>0</v>
      </c>
      <c r="CT10" s="22">
        <f t="shared" si="1"/>
        <v>0</v>
      </c>
      <c r="CU10" s="22">
        <f t="shared" si="1"/>
        <v>0</v>
      </c>
      <c r="CV10" s="22">
        <f t="shared" si="1"/>
        <v>0</v>
      </c>
      <c r="CW10" s="22">
        <f t="shared" si="1"/>
        <v>0</v>
      </c>
    </row>
    <row r="11" spans="1:101">
      <c r="A11" s="22">
        <v>9</v>
      </c>
      <c r="B11" s="32" t="str">
        <f>データファイル用!$B12</f>
        <v>MEWS Building Membrane V C</v>
      </c>
      <c r="C11" s="32">
        <f>データファイル用!K12</f>
        <v>1</v>
      </c>
      <c r="D11" s="32">
        <f>データファイル用!L12</f>
        <v>0</v>
      </c>
      <c r="E11" s="32">
        <f>データファイル用!M12</f>
        <v>0</v>
      </c>
      <c r="F11" s="32">
        <f>データファイル用!N12</f>
        <v>0</v>
      </c>
      <c r="G11" s="32">
        <f>データファイル用!O12</f>
        <v>0</v>
      </c>
      <c r="H11" s="32">
        <f>データファイル用!P12</f>
        <v>0</v>
      </c>
      <c r="I11" s="35">
        <f>データファイル用!Q12</f>
        <v>0</v>
      </c>
      <c r="J11" s="32">
        <f t="shared" si="2"/>
        <v>0</v>
      </c>
      <c r="K11" s="32">
        <f t="shared" si="3"/>
        <v>0</v>
      </c>
      <c r="L11" s="53" t="str">
        <f t="shared" si="4"/>
        <v>N/A</v>
      </c>
      <c r="M11" s="22">
        <f t="shared" si="5"/>
        <v>0</v>
      </c>
      <c r="N11" s="22">
        <f t="shared" si="5"/>
        <v>0</v>
      </c>
      <c r="O11" s="22">
        <f t="shared" si="5"/>
        <v>0</v>
      </c>
      <c r="P11" s="22">
        <f t="shared" si="5"/>
        <v>0</v>
      </c>
      <c r="Q11" s="22">
        <f t="shared" si="5"/>
        <v>0</v>
      </c>
      <c r="R11" s="22">
        <f t="shared" si="5"/>
        <v>0</v>
      </c>
      <c r="S11" s="22">
        <f t="shared" si="5"/>
        <v>0</v>
      </c>
      <c r="T11" s="22">
        <f t="shared" si="5"/>
        <v>0</v>
      </c>
      <c r="U11" s="22">
        <f t="shared" si="5"/>
        <v>0</v>
      </c>
      <c r="V11" s="22">
        <f t="shared" si="5"/>
        <v>0</v>
      </c>
      <c r="W11" s="22">
        <f t="shared" si="5"/>
        <v>0</v>
      </c>
      <c r="X11" s="22">
        <f t="shared" si="5"/>
        <v>0</v>
      </c>
      <c r="Y11" s="22">
        <f t="shared" si="5"/>
        <v>0</v>
      </c>
      <c r="Z11" s="22">
        <f t="shared" si="5"/>
        <v>0</v>
      </c>
      <c r="AA11" s="22">
        <f t="shared" si="5"/>
        <v>0</v>
      </c>
      <c r="AB11" s="22">
        <f t="shared" si="5"/>
        <v>0</v>
      </c>
      <c r="AC11" s="22">
        <f t="shared" ref="AC11:AR74" si="8">IF($C11=2,IF(AC$2&lt;=$O$1,$D11*IF(AND(AC$2=0,$E11=0),1,AC$2^$E11)*EXP($F11*(1-IF(AND(AC$2=0,$G11=0),1,AC$2^$G11))),($H11-$I11)*(AC$2-$O$1)/(1-$O$1)+$I11),$D11*IF(AND(AC$2=0,$E11=0),1,AC$2^$E11)*EXP($F11*(1-IF(AND(AC$2=0,$G11=0),1,AC$2^$G11))))</f>
        <v>0</v>
      </c>
      <c r="AD11" s="22">
        <f t="shared" si="8"/>
        <v>0</v>
      </c>
      <c r="AE11" s="22">
        <f t="shared" si="8"/>
        <v>0</v>
      </c>
      <c r="AF11" s="22">
        <f t="shared" si="8"/>
        <v>0</v>
      </c>
      <c r="AG11" s="22">
        <f t="shared" si="8"/>
        <v>0</v>
      </c>
      <c r="AH11" s="22">
        <f t="shared" si="8"/>
        <v>0</v>
      </c>
      <c r="AI11" s="22">
        <f t="shared" si="8"/>
        <v>0</v>
      </c>
      <c r="AJ11" s="22">
        <f t="shared" si="8"/>
        <v>0</v>
      </c>
      <c r="AK11" s="22">
        <f t="shared" si="8"/>
        <v>0</v>
      </c>
      <c r="AL11" s="22">
        <f t="shared" si="8"/>
        <v>0</v>
      </c>
      <c r="AM11" s="22">
        <f t="shared" si="8"/>
        <v>0</v>
      </c>
      <c r="AN11" s="22">
        <f t="shared" si="8"/>
        <v>0</v>
      </c>
      <c r="AO11" s="22">
        <f t="shared" si="8"/>
        <v>0</v>
      </c>
      <c r="AP11" s="22">
        <f t="shared" si="8"/>
        <v>0</v>
      </c>
      <c r="AQ11" s="22">
        <f t="shared" si="8"/>
        <v>0</v>
      </c>
      <c r="AR11" s="22">
        <f t="shared" si="8"/>
        <v>0</v>
      </c>
      <c r="AS11" s="22">
        <f t="shared" ref="AS11:BH74" si="9">IF($C11=2,IF(AS$2&lt;=$O$1,$D11*IF(AND(AS$2=0,$E11=0),1,AS$2^$E11)*EXP($F11*(1-IF(AND(AS$2=0,$G11=0),1,AS$2^$G11))),($H11-$I11)*(AS$2-$O$1)/(1-$O$1)+$I11),$D11*IF(AND(AS$2=0,$E11=0),1,AS$2^$E11)*EXP($F11*(1-IF(AND(AS$2=0,$G11=0),1,AS$2^$G11))))</f>
        <v>0</v>
      </c>
      <c r="AT11" s="22">
        <f t="shared" si="9"/>
        <v>0</v>
      </c>
      <c r="AU11" s="22">
        <f t="shared" si="9"/>
        <v>0</v>
      </c>
      <c r="AV11" s="22">
        <f t="shared" si="9"/>
        <v>0</v>
      </c>
      <c r="AW11" s="22">
        <f t="shared" si="9"/>
        <v>0</v>
      </c>
      <c r="AX11" s="22">
        <f t="shared" si="9"/>
        <v>0</v>
      </c>
      <c r="AY11" s="22">
        <f t="shared" si="9"/>
        <v>0</v>
      </c>
      <c r="AZ11" s="22">
        <f t="shared" si="9"/>
        <v>0</v>
      </c>
      <c r="BA11" s="22">
        <f t="shared" si="9"/>
        <v>0</v>
      </c>
      <c r="BB11" s="22">
        <f t="shared" si="9"/>
        <v>0</v>
      </c>
      <c r="BC11" s="22">
        <f t="shared" si="9"/>
        <v>0</v>
      </c>
      <c r="BD11" s="22">
        <f t="shared" si="9"/>
        <v>0</v>
      </c>
      <c r="BE11" s="22">
        <f t="shared" si="9"/>
        <v>0</v>
      </c>
      <c r="BF11" s="22">
        <f t="shared" si="9"/>
        <v>0</v>
      </c>
      <c r="BG11" s="22">
        <f t="shared" si="9"/>
        <v>0</v>
      </c>
      <c r="BH11" s="22">
        <f t="shared" si="9"/>
        <v>0</v>
      </c>
      <c r="BI11" s="22">
        <f t="shared" ref="BI11:BX74" si="10">IF($C11=2,IF(BI$2&lt;=$O$1,$D11*IF(AND(BI$2=0,$E11=0),1,BI$2^$E11)*EXP($F11*(1-IF(AND(BI$2=0,$G11=0),1,BI$2^$G11))),($H11-$I11)*(BI$2-$O$1)/(1-$O$1)+$I11),$D11*IF(AND(BI$2=0,$E11=0),1,BI$2^$E11)*EXP($F11*(1-IF(AND(BI$2=0,$G11=0),1,BI$2^$G11))))</f>
        <v>0</v>
      </c>
      <c r="BJ11" s="22">
        <f t="shared" si="10"/>
        <v>0</v>
      </c>
      <c r="BK11" s="22">
        <f t="shared" si="10"/>
        <v>0</v>
      </c>
      <c r="BL11" s="22">
        <f t="shared" si="10"/>
        <v>0</v>
      </c>
      <c r="BM11" s="22">
        <f t="shared" si="10"/>
        <v>0</v>
      </c>
      <c r="BN11" s="22">
        <f t="shared" si="10"/>
        <v>0</v>
      </c>
      <c r="BO11" s="22">
        <f t="shared" si="10"/>
        <v>0</v>
      </c>
      <c r="BP11" s="22">
        <f t="shared" si="10"/>
        <v>0</v>
      </c>
      <c r="BQ11" s="22">
        <f t="shared" si="10"/>
        <v>0</v>
      </c>
      <c r="BR11" s="22">
        <f t="shared" si="10"/>
        <v>0</v>
      </c>
      <c r="BS11" s="22">
        <f t="shared" si="10"/>
        <v>0</v>
      </c>
      <c r="BT11" s="22">
        <f t="shared" si="10"/>
        <v>0</v>
      </c>
      <c r="BU11" s="22">
        <f t="shared" si="10"/>
        <v>0</v>
      </c>
      <c r="BV11" s="22">
        <f t="shared" si="10"/>
        <v>0</v>
      </c>
      <c r="BW11" s="22">
        <f t="shared" si="10"/>
        <v>0</v>
      </c>
      <c r="BX11" s="22">
        <f t="shared" si="10"/>
        <v>0</v>
      </c>
      <c r="BY11" s="22">
        <f t="shared" si="7"/>
        <v>0</v>
      </c>
      <c r="BZ11" s="22">
        <f t="shared" si="1"/>
        <v>0</v>
      </c>
      <c r="CA11" s="22">
        <f t="shared" si="1"/>
        <v>0</v>
      </c>
      <c r="CB11" s="22">
        <f t="shared" si="1"/>
        <v>0</v>
      </c>
      <c r="CC11" s="22">
        <f t="shared" si="1"/>
        <v>0</v>
      </c>
      <c r="CD11" s="22">
        <f t="shared" si="1"/>
        <v>0</v>
      </c>
      <c r="CE11" s="22">
        <f t="shared" si="1"/>
        <v>0</v>
      </c>
      <c r="CF11" s="22">
        <f t="shared" si="1"/>
        <v>0</v>
      </c>
      <c r="CG11" s="22">
        <f t="shared" si="1"/>
        <v>0</v>
      </c>
      <c r="CH11" s="22">
        <f t="shared" si="1"/>
        <v>0</v>
      </c>
      <c r="CI11" s="22">
        <f t="shared" si="1"/>
        <v>0</v>
      </c>
      <c r="CJ11" s="22">
        <f t="shared" si="1"/>
        <v>0</v>
      </c>
      <c r="CK11" s="22">
        <f t="shared" si="1"/>
        <v>0</v>
      </c>
      <c r="CL11" s="22">
        <f t="shared" si="1"/>
        <v>0</v>
      </c>
      <c r="CM11" s="22">
        <f t="shared" si="1"/>
        <v>0</v>
      </c>
      <c r="CN11" s="22">
        <f t="shared" si="1"/>
        <v>0</v>
      </c>
      <c r="CO11" s="22">
        <f t="shared" si="1"/>
        <v>0</v>
      </c>
      <c r="CP11" s="22">
        <f t="shared" si="1"/>
        <v>0</v>
      </c>
      <c r="CQ11" s="22">
        <f t="shared" si="1"/>
        <v>0</v>
      </c>
      <c r="CR11" s="22">
        <f t="shared" si="1"/>
        <v>0</v>
      </c>
      <c r="CS11" s="22">
        <f t="shared" si="1"/>
        <v>0</v>
      </c>
      <c r="CT11" s="22">
        <f t="shared" si="1"/>
        <v>0</v>
      </c>
      <c r="CU11" s="22">
        <f t="shared" si="1"/>
        <v>0</v>
      </c>
      <c r="CV11" s="22">
        <f t="shared" si="1"/>
        <v>0</v>
      </c>
      <c r="CW11" s="22">
        <f t="shared" si="1"/>
        <v>0</v>
      </c>
    </row>
    <row r="12" spans="1:101">
      <c r="A12" s="22">
        <v>10</v>
      </c>
      <c r="B12" s="32" t="str">
        <f>データファイル用!$B13</f>
        <v>MEWS Building Membrane VI</v>
      </c>
      <c r="C12" s="32">
        <f>データファイル用!K13</f>
        <v>1</v>
      </c>
      <c r="D12" s="32">
        <f>データファイル用!L13</f>
        <v>0</v>
      </c>
      <c r="E12" s="32">
        <f>データファイル用!M13</f>
        <v>0</v>
      </c>
      <c r="F12" s="32">
        <f>データファイル用!N13</f>
        <v>0</v>
      </c>
      <c r="G12" s="32">
        <f>データファイル用!O13</f>
        <v>0</v>
      </c>
      <c r="H12" s="32">
        <f>データファイル用!P13</f>
        <v>0</v>
      </c>
      <c r="I12" s="35">
        <f>データファイル用!Q13</f>
        <v>0</v>
      </c>
      <c r="J12" s="32">
        <f t="shared" si="2"/>
        <v>0</v>
      </c>
      <c r="K12" s="32">
        <f t="shared" si="3"/>
        <v>0</v>
      </c>
      <c r="L12" s="53" t="str">
        <f t="shared" si="4"/>
        <v>N/A</v>
      </c>
      <c r="M12" s="22">
        <f t="shared" si="5"/>
        <v>0</v>
      </c>
      <c r="N12" s="22">
        <f t="shared" si="5"/>
        <v>0</v>
      </c>
      <c r="O12" s="22">
        <f t="shared" si="5"/>
        <v>0</v>
      </c>
      <c r="P12" s="22">
        <f t="shared" si="5"/>
        <v>0</v>
      </c>
      <c r="Q12" s="22">
        <f t="shared" si="5"/>
        <v>0</v>
      </c>
      <c r="R12" s="22">
        <f t="shared" si="5"/>
        <v>0</v>
      </c>
      <c r="S12" s="22">
        <f t="shared" si="5"/>
        <v>0</v>
      </c>
      <c r="T12" s="22">
        <f t="shared" si="5"/>
        <v>0</v>
      </c>
      <c r="U12" s="22">
        <f t="shared" si="5"/>
        <v>0</v>
      </c>
      <c r="V12" s="22">
        <f t="shared" si="5"/>
        <v>0</v>
      </c>
      <c r="W12" s="22">
        <f t="shared" si="5"/>
        <v>0</v>
      </c>
      <c r="X12" s="22">
        <f t="shared" si="5"/>
        <v>0</v>
      </c>
      <c r="Y12" s="22">
        <f t="shared" si="5"/>
        <v>0</v>
      </c>
      <c r="Z12" s="22">
        <f t="shared" si="5"/>
        <v>0</v>
      </c>
      <c r="AA12" s="22">
        <f t="shared" si="5"/>
        <v>0</v>
      </c>
      <c r="AB12" s="22">
        <f t="shared" si="5"/>
        <v>0</v>
      </c>
      <c r="AC12" s="22">
        <f t="shared" si="8"/>
        <v>0</v>
      </c>
      <c r="AD12" s="22">
        <f t="shared" si="8"/>
        <v>0</v>
      </c>
      <c r="AE12" s="22">
        <f t="shared" si="8"/>
        <v>0</v>
      </c>
      <c r="AF12" s="22">
        <f t="shared" si="8"/>
        <v>0</v>
      </c>
      <c r="AG12" s="22">
        <f t="shared" si="8"/>
        <v>0</v>
      </c>
      <c r="AH12" s="22">
        <f t="shared" si="8"/>
        <v>0</v>
      </c>
      <c r="AI12" s="22">
        <f t="shared" si="8"/>
        <v>0</v>
      </c>
      <c r="AJ12" s="22">
        <f t="shared" si="8"/>
        <v>0</v>
      </c>
      <c r="AK12" s="22">
        <f t="shared" si="8"/>
        <v>0</v>
      </c>
      <c r="AL12" s="22">
        <f t="shared" si="8"/>
        <v>0</v>
      </c>
      <c r="AM12" s="22">
        <f t="shared" si="8"/>
        <v>0</v>
      </c>
      <c r="AN12" s="22">
        <f t="shared" si="8"/>
        <v>0</v>
      </c>
      <c r="AO12" s="22">
        <f t="shared" si="8"/>
        <v>0</v>
      </c>
      <c r="AP12" s="22">
        <f t="shared" si="8"/>
        <v>0</v>
      </c>
      <c r="AQ12" s="22">
        <f t="shared" si="8"/>
        <v>0</v>
      </c>
      <c r="AR12" s="22">
        <f t="shared" si="8"/>
        <v>0</v>
      </c>
      <c r="AS12" s="22">
        <f t="shared" si="9"/>
        <v>0</v>
      </c>
      <c r="AT12" s="22">
        <f t="shared" si="9"/>
        <v>0</v>
      </c>
      <c r="AU12" s="22">
        <f t="shared" si="9"/>
        <v>0</v>
      </c>
      <c r="AV12" s="22">
        <f t="shared" si="9"/>
        <v>0</v>
      </c>
      <c r="AW12" s="22">
        <f t="shared" si="9"/>
        <v>0</v>
      </c>
      <c r="AX12" s="22">
        <f t="shared" si="9"/>
        <v>0</v>
      </c>
      <c r="AY12" s="22">
        <f t="shared" si="9"/>
        <v>0</v>
      </c>
      <c r="AZ12" s="22">
        <f t="shared" si="9"/>
        <v>0</v>
      </c>
      <c r="BA12" s="22">
        <f t="shared" si="9"/>
        <v>0</v>
      </c>
      <c r="BB12" s="22">
        <f t="shared" si="9"/>
        <v>0</v>
      </c>
      <c r="BC12" s="22">
        <f t="shared" si="9"/>
        <v>0</v>
      </c>
      <c r="BD12" s="22">
        <f t="shared" si="9"/>
        <v>0</v>
      </c>
      <c r="BE12" s="22">
        <f t="shared" si="9"/>
        <v>0</v>
      </c>
      <c r="BF12" s="22">
        <f t="shared" si="9"/>
        <v>0</v>
      </c>
      <c r="BG12" s="22">
        <f t="shared" si="9"/>
        <v>0</v>
      </c>
      <c r="BH12" s="22">
        <f t="shared" si="9"/>
        <v>0</v>
      </c>
      <c r="BI12" s="22">
        <f t="shared" si="10"/>
        <v>0</v>
      </c>
      <c r="BJ12" s="22">
        <f t="shared" si="10"/>
        <v>0</v>
      </c>
      <c r="BK12" s="22">
        <f t="shared" si="10"/>
        <v>0</v>
      </c>
      <c r="BL12" s="22">
        <f t="shared" si="10"/>
        <v>0</v>
      </c>
      <c r="BM12" s="22">
        <f t="shared" si="10"/>
        <v>0</v>
      </c>
      <c r="BN12" s="22">
        <f t="shared" si="10"/>
        <v>0</v>
      </c>
      <c r="BO12" s="22">
        <f t="shared" si="10"/>
        <v>0</v>
      </c>
      <c r="BP12" s="22">
        <f t="shared" si="10"/>
        <v>0</v>
      </c>
      <c r="BQ12" s="22">
        <f t="shared" si="10"/>
        <v>0</v>
      </c>
      <c r="BR12" s="22">
        <f t="shared" si="10"/>
        <v>0</v>
      </c>
      <c r="BS12" s="22">
        <f t="shared" si="10"/>
        <v>0</v>
      </c>
      <c r="BT12" s="22">
        <f t="shared" si="10"/>
        <v>0</v>
      </c>
      <c r="BU12" s="22">
        <f t="shared" si="10"/>
        <v>0</v>
      </c>
      <c r="BV12" s="22">
        <f t="shared" si="10"/>
        <v>0</v>
      </c>
      <c r="BW12" s="22">
        <f t="shared" si="10"/>
        <v>0</v>
      </c>
      <c r="BX12" s="22">
        <f t="shared" si="10"/>
        <v>0</v>
      </c>
      <c r="BY12" s="22">
        <f t="shared" si="7"/>
        <v>0</v>
      </c>
      <c r="BZ12" s="22">
        <f t="shared" si="1"/>
        <v>0</v>
      </c>
      <c r="CA12" s="22">
        <f t="shared" si="1"/>
        <v>0</v>
      </c>
      <c r="CB12" s="22">
        <f t="shared" si="1"/>
        <v>0</v>
      </c>
      <c r="CC12" s="22">
        <f t="shared" si="1"/>
        <v>0</v>
      </c>
      <c r="CD12" s="22">
        <f t="shared" si="1"/>
        <v>0</v>
      </c>
      <c r="CE12" s="22">
        <f t="shared" si="1"/>
        <v>0</v>
      </c>
      <c r="CF12" s="22">
        <f t="shared" si="1"/>
        <v>0</v>
      </c>
      <c r="CG12" s="22">
        <f t="shared" si="1"/>
        <v>0</v>
      </c>
      <c r="CH12" s="22">
        <f t="shared" si="1"/>
        <v>0</v>
      </c>
      <c r="CI12" s="22">
        <f t="shared" si="1"/>
        <v>0</v>
      </c>
      <c r="CJ12" s="22">
        <f t="shared" si="1"/>
        <v>0</v>
      </c>
      <c r="CK12" s="22">
        <f t="shared" si="1"/>
        <v>0</v>
      </c>
      <c r="CL12" s="22">
        <f t="shared" si="1"/>
        <v>0</v>
      </c>
      <c r="CM12" s="22">
        <f t="shared" si="1"/>
        <v>0</v>
      </c>
      <c r="CN12" s="22">
        <f t="shared" si="1"/>
        <v>0</v>
      </c>
      <c r="CO12" s="22">
        <f t="shared" si="1"/>
        <v>0</v>
      </c>
      <c r="CP12" s="22">
        <f t="shared" si="1"/>
        <v>0</v>
      </c>
      <c r="CQ12" s="22">
        <f t="shared" si="1"/>
        <v>0</v>
      </c>
      <c r="CR12" s="22">
        <f t="shared" si="1"/>
        <v>0</v>
      </c>
      <c r="CS12" s="22">
        <f t="shared" si="1"/>
        <v>0</v>
      </c>
      <c r="CT12" s="22">
        <f t="shared" si="1"/>
        <v>0</v>
      </c>
      <c r="CU12" s="22">
        <f t="shared" si="1"/>
        <v>0</v>
      </c>
      <c r="CV12" s="22">
        <f t="shared" si="1"/>
        <v>0</v>
      </c>
      <c r="CW12" s="22">
        <f t="shared" si="1"/>
        <v>0</v>
      </c>
    </row>
    <row r="13" spans="1:101">
      <c r="A13" s="22">
        <v>11</v>
      </c>
      <c r="B13" s="32" t="str">
        <f>データファイル用!$B14</f>
        <v>MEWS Building Membrane VII</v>
      </c>
      <c r="C13" s="32">
        <f>データファイル用!K14</f>
        <v>1</v>
      </c>
      <c r="D13" s="32">
        <f>データファイル用!L14</f>
        <v>0</v>
      </c>
      <c r="E13" s="32">
        <f>データファイル用!M14</f>
        <v>0</v>
      </c>
      <c r="F13" s="32">
        <f>データファイル用!N14</f>
        <v>0</v>
      </c>
      <c r="G13" s="32">
        <f>データファイル用!O14</f>
        <v>0</v>
      </c>
      <c r="H13" s="32">
        <f>データファイル用!P14</f>
        <v>0</v>
      </c>
      <c r="I13" s="35">
        <f>データファイル用!Q14</f>
        <v>0</v>
      </c>
      <c r="J13" s="32">
        <f t="shared" si="2"/>
        <v>0</v>
      </c>
      <c r="K13" s="32">
        <f t="shared" si="3"/>
        <v>0</v>
      </c>
      <c r="L13" s="53" t="str">
        <f t="shared" si="4"/>
        <v>N/A</v>
      </c>
      <c r="M13" s="22">
        <f t="shared" si="5"/>
        <v>0</v>
      </c>
      <c r="N13" s="22">
        <f t="shared" si="5"/>
        <v>0</v>
      </c>
      <c r="O13" s="22">
        <f t="shared" si="5"/>
        <v>0</v>
      </c>
      <c r="P13" s="22">
        <f t="shared" si="5"/>
        <v>0</v>
      </c>
      <c r="Q13" s="22">
        <f t="shared" si="5"/>
        <v>0</v>
      </c>
      <c r="R13" s="22">
        <f t="shared" si="5"/>
        <v>0</v>
      </c>
      <c r="S13" s="22">
        <f t="shared" si="5"/>
        <v>0</v>
      </c>
      <c r="T13" s="22">
        <f t="shared" si="5"/>
        <v>0</v>
      </c>
      <c r="U13" s="22">
        <f t="shared" si="5"/>
        <v>0</v>
      </c>
      <c r="V13" s="22">
        <f t="shared" si="5"/>
        <v>0</v>
      </c>
      <c r="W13" s="22">
        <f t="shared" si="5"/>
        <v>0</v>
      </c>
      <c r="X13" s="22">
        <f t="shared" si="5"/>
        <v>0</v>
      </c>
      <c r="Y13" s="22">
        <f t="shared" si="5"/>
        <v>0</v>
      </c>
      <c r="Z13" s="22">
        <f t="shared" si="5"/>
        <v>0</v>
      </c>
      <c r="AA13" s="22">
        <f t="shared" si="5"/>
        <v>0</v>
      </c>
      <c r="AB13" s="22">
        <f t="shared" si="5"/>
        <v>0</v>
      </c>
      <c r="AC13" s="22">
        <f t="shared" si="8"/>
        <v>0</v>
      </c>
      <c r="AD13" s="22">
        <f t="shared" si="8"/>
        <v>0</v>
      </c>
      <c r="AE13" s="22">
        <f t="shared" si="8"/>
        <v>0</v>
      </c>
      <c r="AF13" s="22">
        <f t="shared" si="8"/>
        <v>0</v>
      </c>
      <c r="AG13" s="22">
        <f t="shared" si="8"/>
        <v>0</v>
      </c>
      <c r="AH13" s="22">
        <f t="shared" si="8"/>
        <v>0</v>
      </c>
      <c r="AI13" s="22">
        <f t="shared" si="8"/>
        <v>0</v>
      </c>
      <c r="AJ13" s="22">
        <f t="shared" si="8"/>
        <v>0</v>
      </c>
      <c r="AK13" s="22">
        <f t="shared" si="8"/>
        <v>0</v>
      </c>
      <c r="AL13" s="22">
        <f t="shared" si="8"/>
        <v>0</v>
      </c>
      <c r="AM13" s="22">
        <f t="shared" si="8"/>
        <v>0</v>
      </c>
      <c r="AN13" s="22">
        <f t="shared" si="8"/>
        <v>0</v>
      </c>
      <c r="AO13" s="22">
        <f t="shared" si="8"/>
        <v>0</v>
      </c>
      <c r="AP13" s="22">
        <f t="shared" si="8"/>
        <v>0</v>
      </c>
      <c r="AQ13" s="22">
        <f t="shared" si="8"/>
        <v>0</v>
      </c>
      <c r="AR13" s="22">
        <f t="shared" si="8"/>
        <v>0</v>
      </c>
      <c r="AS13" s="22">
        <f t="shared" si="9"/>
        <v>0</v>
      </c>
      <c r="AT13" s="22">
        <f t="shared" si="9"/>
        <v>0</v>
      </c>
      <c r="AU13" s="22">
        <f t="shared" si="9"/>
        <v>0</v>
      </c>
      <c r="AV13" s="22">
        <f t="shared" si="9"/>
        <v>0</v>
      </c>
      <c r="AW13" s="22">
        <f t="shared" si="9"/>
        <v>0</v>
      </c>
      <c r="AX13" s="22">
        <f t="shared" si="9"/>
        <v>0</v>
      </c>
      <c r="AY13" s="22">
        <f t="shared" si="9"/>
        <v>0</v>
      </c>
      <c r="AZ13" s="22">
        <f t="shared" si="9"/>
        <v>0</v>
      </c>
      <c r="BA13" s="22">
        <f t="shared" si="9"/>
        <v>0</v>
      </c>
      <c r="BB13" s="22">
        <f t="shared" si="9"/>
        <v>0</v>
      </c>
      <c r="BC13" s="22">
        <f t="shared" si="9"/>
        <v>0</v>
      </c>
      <c r="BD13" s="22">
        <f t="shared" si="9"/>
        <v>0</v>
      </c>
      <c r="BE13" s="22">
        <f t="shared" si="9"/>
        <v>0</v>
      </c>
      <c r="BF13" s="22">
        <f t="shared" si="9"/>
        <v>0</v>
      </c>
      <c r="BG13" s="22">
        <f t="shared" si="9"/>
        <v>0</v>
      </c>
      <c r="BH13" s="22">
        <f t="shared" si="9"/>
        <v>0</v>
      </c>
      <c r="BI13" s="22">
        <f t="shared" si="10"/>
        <v>0</v>
      </c>
      <c r="BJ13" s="22">
        <f t="shared" si="10"/>
        <v>0</v>
      </c>
      <c r="BK13" s="22">
        <f t="shared" si="10"/>
        <v>0</v>
      </c>
      <c r="BL13" s="22">
        <f t="shared" si="10"/>
        <v>0</v>
      </c>
      <c r="BM13" s="22">
        <f t="shared" si="10"/>
        <v>0</v>
      </c>
      <c r="BN13" s="22">
        <f t="shared" si="10"/>
        <v>0</v>
      </c>
      <c r="BO13" s="22">
        <f t="shared" si="10"/>
        <v>0</v>
      </c>
      <c r="BP13" s="22">
        <f t="shared" si="10"/>
        <v>0</v>
      </c>
      <c r="BQ13" s="22">
        <f t="shared" si="10"/>
        <v>0</v>
      </c>
      <c r="BR13" s="22">
        <f t="shared" si="10"/>
        <v>0</v>
      </c>
      <c r="BS13" s="22">
        <f t="shared" si="10"/>
        <v>0</v>
      </c>
      <c r="BT13" s="22">
        <f t="shared" si="10"/>
        <v>0</v>
      </c>
      <c r="BU13" s="22">
        <f t="shared" si="10"/>
        <v>0</v>
      </c>
      <c r="BV13" s="22">
        <f t="shared" si="10"/>
        <v>0</v>
      </c>
      <c r="BW13" s="22">
        <f t="shared" si="10"/>
        <v>0</v>
      </c>
      <c r="BX13" s="22">
        <f t="shared" si="10"/>
        <v>0</v>
      </c>
      <c r="BY13" s="22">
        <f t="shared" si="7"/>
        <v>0</v>
      </c>
      <c r="BZ13" s="22">
        <f t="shared" si="1"/>
        <v>0</v>
      </c>
      <c r="CA13" s="22">
        <f t="shared" si="1"/>
        <v>0</v>
      </c>
      <c r="CB13" s="22">
        <f t="shared" si="1"/>
        <v>0</v>
      </c>
      <c r="CC13" s="22">
        <f t="shared" si="1"/>
        <v>0</v>
      </c>
      <c r="CD13" s="22">
        <f t="shared" si="1"/>
        <v>0</v>
      </c>
      <c r="CE13" s="22">
        <f t="shared" si="1"/>
        <v>0</v>
      </c>
      <c r="CF13" s="22">
        <f t="shared" si="1"/>
        <v>0</v>
      </c>
      <c r="CG13" s="22">
        <f t="shared" si="1"/>
        <v>0</v>
      </c>
      <c r="CH13" s="22">
        <f t="shared" si="1"/>
        <v>0</v>
      </c>
      <c r="CI13" s="22">
        <f t="shared" si="1"/>
        <v>0</v>
      </c>
      <c r="CJ13" s="22">
        <f t="shared" si="1"/>
        <v>0</v>
      </c>
      <c r="CK13" s="22">
        <f t="shared" si="1"/>
        <v>0</v>
      </c>
      <c r="CL13" s="22">
        <f t="shared" si="1"/>
        <v>0</v>
      </c>
      <c r="CM13" s="22">
        <f t="shared" si="1"/>
        <v>0</v>
      </c>
      <c r="CN13" s="22">
        <f t="shared" si="1"/>
        <v>0</v>
      </c>
      <c r="CO13" s="22">
        <f t="shared" ref="CO13:CW76" si="11">IF($C13=2,IF(CO$2&lt;=$O$1,$D13*IF(AND(CO$2=0,$E13=0),1,CO$2^$E13)*EXP($F13*(1-IF(AND(CO$2=0,$G13=0),1,CO$2^$G13))),($H13-$I13)*(CO$2-$O$1)/(1-$O$1)+$I13),$D13*IF(AND(CO$2=0,$E13=0),1,CO$2^$E13)*EXP($F13*(1-IF(AND(CO$2=0,$G13=0),1,CO$2^$G13))))</f>
        <v>0</v>
      </c>
      <c r="CP13" s="22">
        <f t="shared" si="11"/>
        <v>0</v>
      </c>
      <c r="CQ13" s="22">
        <f t="shared" si="11"/>
        <v>0</v>
      </c>
      <c r="CR13" s="22">
        <f t="shared" si="11"/>
        <v>0</v>
      </c>
      <c r="CS13" s="22">
        <f t="shared" si="11"/>
        <v>0</v>
      </c>
      <c r="CT13" s="22">
        <f t="shared" si="11"/>
        <v>0</v>
      </c>
      <c r="CU13" s="22">
        <f t="shared" si="11"/>
        <v>0</v>
      </c>
      <c r="CV13" s="22">
        <f t="shared" si="11"/>
        <v>0</v>
      </c>
      <c r="CW13" s="22">
        <f t="shared" si="11"/>
        <v>0</v>
      </c>
    </row>
    <row r="14" spans="1:101">
      <c r="A14" s="22">
        <v>12</v>
      </c>
      <c r="B14" s="32" t="str">
        <f>データファイル用!$B15</f>
        <v>MEWS Building Membrane VIII</v>
      </c>
      <c r="C14" s="32">
        <f>データファイル用!K15</f>
        <v>1</v>
      </c>
      <c r="D14" s="32">
        <f>データファイル用!L15</f>
        <v>0</v>
      </c>
      <c r="E14" s="32">
        <f>データファイル用!M15</f>
        <v>0</v>
      </c>
      <c r="F14" s="32">
        <f>データファイル用!N15</f>
        <v>0</v>
      </c>
      <c r="G14" s="32">
        <f>データファイル用!O15</f>
        <v>0</v>
      </c>
      <c r="H14" s="32">
        <f>データファイル用!P15</f>
        <v>0</v>
      </c>
      <c r="I14" s="35">
        <f>データファイル用!Q15</f>
        <v>0</v>
      </c>
      <c r="J14" s="32">
        <f t="shared" si="2"/>
        <v>0</v>
      </c>
      <c r="K14" s="32">
        <f t="shared" si="3"/>
        <v>0</v>
      </c>
      <c r="L14" s="53" t="str">
        <f t="shared" si="4"/>
        <v>N/A</v>
      </c>
      <c r="M14" s="22">
        <f t="shared" si="5"/>
        <v>0</v>
      </c>
      <c r="N14" s="22">
        <f t="shared" si="5"/>
        <v>0</v>
      </c>
      <c r="O14" s="22">
        <f t="shared" si="5"/>
        <v>0</v>
      </c>
      <c r="P14" s="22">
        <f t="shared" si="5"/>
        <v>0</v>
      </c>
      <c r="Q14" s="22">
        <f t="shared" si="5"/>
        <v>0</v>
      </c>
      <c r="R14" s="22">
        <f t="shared" si="5"/>
        <v>0</v>
      </c>
      <c r="S14" s="22">
        <f t="shared" si="5"/>
        <v>0</v>
      </c>
      <c r="T14" s="22">
        <f t="shared" si="5"/>
        <v>0</v>
      </c>
      <c r="U14" s="22">
        <f t="shared" si="5"/>
        <v>0</v>
      </c>
      <c r="V14" s="22">
        <f t="shared" si="5"/>
        <v>0</v>
      </c>
      <c r="W14" s="22">
        <f t="shared" si="5"/>
        <v>0</v>
      </c>
      <c r="X14" s="22">
        <f t="shared" si="5"/>
        <v>0</v>
      </c>
      <c r="Y14" s="22">
        <f t="shared" si="5"/>
        <v>0</v>
      </c>
      <c r="Z14" s="22">
        <f t="shared" si="5"/>
        <v>0</v>
      </c>
      <c r="AA14" s="22">
        <f t="shared" si="5"/>
        <v>0</v>
      </c>
      <c r="AB14" s="22">
        <f t="shared" si="5"/>
        <v>0</v>
      </c>
      <c r="AC14" s="22">
        <f t="shared" si="8"/>
        <v>0</v>
      </c>
      <c r="AD14" s="22">
        <f t="shared" si="8"/>
        <v>0</v>
      </c>
      <c r="AE14" s="22">
        <f t="shared" si="8"/>
        <v>0</v>
      </c>
      <c r="AF14" s="22">
        <f t="shared" si="8"/>
        <v>0</v>
      </c>
      <c r="AG14" s="22">
        <f t="shared" si="8"/>
        <v>0</v>
      </c>
      <c r="AH14" s="22">
        <f t="shared" si="8"/>
        <v>0</v>
      </c>
      <c r="AI14" s="22">
        <f t="shared" si="8"/>
        <v>0</v>
      </c>
      <c r="AJ14" s="22">
        <f t="shared" si="8"/>
        <v>0</v>
      </c>
      <c r="AK14" s="22">
        <f t="shared" si="8"/>
        <v>0</v>
      </c>
      <c r="AL14" s="22">
        <f t="shared" si="8"/>
        <v>0</v>
      </c>
      <c r="AM14" s="22">
        <f t="shared" si="8"/>
        <v>0</v>
      </c>
      <c r="AN14" s="22">
        <f t="shared" si="8"/>
        <v>0</v>
      </c>
      <c r="AO14" s="22">
        <f t="shared" si="8"/>
        <v>0</v>
      </c>
      <c r="AP14" s="22">
        <f t="shared" si="8"/>
        <v>0</v>
      </c>
      <c r="AQ14" s="22">
        <f t="shared" si="8"/>
        <v>0</v>
      </c>
      <c r="AR14" s="22">
        <f t="shared" si="8"/>
        <v>0</v>
      </c>
      <c r="AS14" s="22">
        <f t="shared" si="9"/>
        <v>0</v>
      </c>
      <c r="AT14" s="22">
        <f t="shared" si="9"/>
        <v>0</v>
      </c>
      <c r="AU14" s="22">
        <f t="shared" si="9"/>
        <v>0</v>
      </c>
      <c r="AV14" s="22">
        <f t="shared" si="9"/>
        <v>0</v>
      </c>
      <c r="AW14" s="22">
        <f t="shared" si="9"/>
        <v>0</v>
      </c>
      <c r="AX14" s="22">
        <f t="shared" si="9"/>
        <v>0</v>
      </c>
      <c r="AY14" s="22">
        <f t="shared" si="9"/>
        <v>0</v>
      </c>
      <c r="AZ14" s="22">
        <f t="shared" si="9"/>
        <v>0</v>
      </c>
      <c r="BA14" s="22">
        <f t="shared" si="9"/>
        <v>0</v>
      </c>
      <c r="BB14" s="22">
        <f t="shared" si="9"/>
        <v>0</v>
      </c>
      <c r="BC14" s="22">
        <f t="shared" si="9"/>
        <v>0</v>
      </c>
      <c r="BD14" s="22">
        <f t="shared" si="9"/>
        <v>0</v>
      </c>
      <c r="BE14" s="22">
        <f t="shared" si="9"/>
        <v>0</v>
      </c>
      <c r="BF14" s="22">
        <f t="shared" si="9"/>
        <v>0</v>
      </c>
      <c r="BG14" s="22">
        <f t="shared" si="9"/>
        <v>0</v>
      </c>
      <c r="BH14" s="22">
        <f t="shared" si="9"/>
        <v>0</v>
      </c>
      <c r="BI14" s="22">
        <f t="shared" si="10"/>
        <v>0</v>
      </c>
      <c r="BJ14" s="22">
        <f t="shared" si="10"/>
        <v>0</v>
      </c>
      <c r="BK14" s="22">
        <f t="shared" si="10"/>
        <v>0</v>
      </c>
      <c r="BL14" s="22">
        <f t="shared" si="10"/>
        <v>0</v>
      </c>
      <c r="BM14" s="22">
        <f t="shared" si="10"/>
        <v>0</v>
      </c>
      <c r="BN14" s="22">
        <f t="shared" si="10"/>
        <v>0</v>
      </c>
      <c r="BO14" s="22">
        <f t="shared" si="10"/>
        <v>0</v>
      </c>
      <c r="BP14" s="22">
        <f t="shared" si="10"/>
        <v>0</v>
      </c>
      <c r="BQ14" s="22">
        <f t="shared" si="10"/>
        <v>0</v>
      </c>
      <c r="BR14" s="22">
        <f t="shared" si="10"/>
        <v>0</v>
      </c>
      <c r="BS14" s="22">
        <f t="shared" si="10"/>
        <v>0</v>
      </c>
      <c r="BT14" s="22">
        <f t="shared" si="10"/>
        <v>0</v>
      </c>
      <c r="BU14" s="22">
        <f t="shared" si="10"/>
        <v>0</v>
      </c>
      <c r="BV14" s="22">
        <f t="shared" si="10"/>
        <v>0</v>
      </c>
      <c r="BW14" s="22">
        <f t="shared" si="10"/>
        <v>0</v>
      </c>
      <c r="BX14" s="22">
        <f t="shared" si="10"/>
        <v>0</v>
      </c>
      <c r="BY14" s="22">
        <f t="shared" si="7"/>
        <v>0</v>
      </c>
      <c r="BZ14" s="22">
        <f t="shared" si="7"/>
        <v>0</v>
      </c>
      <c r="CA14" s="22">
        <f t="shared" si="7"/>
        <v>0</v>
      </c>
      <c r="CB14" s="22">
        <f t="shared" si="7"/>
        <v>0</v>
      </c>
      <c r="CC14" s="22">
        <f t="shared" si="7"/>
        <v>0</v>
      </c>
      <c r="CD14" s="22">
        <f t="shared" si="7"/>
        <v>0</v>
      </c>
      <c r="CE14" s="22">
        <f t="shared" si="7"/>
        <v>0</v>
      </c>
      <c r="CF14" s="22">
        <f t="shared" si="7"/>
        <v>0</v>
      </c>
      <c r="CG14" s="22">
        <f t="shared" si="7"/>
        <v>0</v>
      </c>
      <c r="CH14" s="22">
        <f t="shared" si="7"/>
        <v>0</v>
      </c>
      <c r="CI14" s="22">
        <f t="shared" si="7"/>
        <v>0</v>
      </c>
      <c r="CJ14" s="22">
        <f t="shared" si="7"/>
        <v>0</v>
      </c>
      <c r="CK14" s="22">
        <f t="shared" si="7"/>
        <v>0</v>
      </c>
      <c r="CL14" s="22">
        <f t="shared" si="7"/>
        <v>0</v>
      </c>
      <c r="CM14" s="22">
        <f t="shared" si="7"/>
        <v>0</v>
      </c>
      <c r="CN14" s="22">
        <f t="shared" ref="CN14:CW77" si="12">IF($C14=2,IF(CN$2&lt;=$O$1,$D14*IF(AND(CN$2=0,$E14=0),1,CN$2^$E14)*EXP($F14*(1-IF(AND(CN$2=0,$G14=0),1,CN$2^$G14))),($H14-$I14)*(CN$2-$O$1)/(1-$O$1)+$I14),$D14*IF(AND(CN$2=0,$E14=0),1,CN$2^$E14)*EXP($F14*(1-IF(AND(CN$2=0,$G14=0),1,CN$2^$G14))))</f>
        <v>0</v>
      </c>
      <c r="CO14" s="22">
        <f t="shared" si="12"/>
        <v>0</v>
      </c>
      <c r="CP14" s="22">
        <f t="shared" si="12"/>
        <v>0</v>
      </c>
      <c r="CQ14" s="22">
        <f t="shared" si="12"/>
        <v>0</v>
      </c>
      <c r="CR14" s="22">
        <f t="shared" si="12"/>
        <v>0</v>
      </c>
      <c r="CS14" s="22">
        <f t="shared" si="12"/>
        <v>0</v>
      </c>
      <c r="CT14" s="22">
        <f t="shared" si="12"/>
        <v>0</v>
      </c>
      <c r="CU14" s="22">
        <f t="shared" si="12"/>
        <v>0</v>
      </c>
      <c r="CV14" s="22">
        <f t="shared" si="12"/>
        <v>0</v>
      </c>
      <c r="CW14" s="22">
        <f t="shared" si="12"/>
        <v>0</v>
      </c>
    </row>
    <row r="15" spans="1:101">
      <c r="A15" s="22">
        <v>13</v>
      </c>
      <c r="B15" s="32" t="str">
        <f>データファイル用!$B16</f>
        <v>MEWS Building Membrane IX</v>
      </c>
      <c r="C15" s="32">
        <f>データファイル用!K16</f>
        <v>1</v>
      </c>
      <c r="D15" s="32">
        <f>データファイル用!L16</f>
        <v>0</v>
      </c>
      <c r="E15" s="32">
        <f>データファイル用!M16</f>
        <v>0</v>
      </c>
      <c r="F15" s="32">
        <f>データファイル用!N16</f>
        <v>0</v>
      </c>
      <c r="G15" s="32">
        <f>データファイル用!O16</f>
        <v>0</v>
      </c>
      <c r="H15" s="32">
        <f>データファイル用!P16</f>
        <v>0</v>
      </c>
      <c r="I15" s="35">
        <f>データファイル用!Q16</f>
        <v>0</v>
      </c>
      <c r="J15" s="32">
        <f t="shared" si="2"/>
        <v>0</v>
      </c>
      <c r="K15" s="32">
        <f t="shared" si="3"/>
        <v>0</v>
      </c>
      <c r="L15" s="53" t="str">
        <f t="shared" si="4"/>
        <v>N/A</v>
      </c>
      <c r="M15" s="22">
        <f t="shared" si="5"/>
        <v>0</v>
      </c>
      <c r="N15" s="22">
        <f t="shared" si="5"/>
        <v>0</v>
      </c>
      <c r="O15" s="22">
        <f t="shared" si="5"/>
        <v>0</v>
      </c>
      <c r="P15" s="22">
        <f t="shared" si="5"/>
        <v>0</v>
      </c>
      <c r="Q15" s="22">
        <f t="shared" si="5"/>
        <v>0</v>
      </c>
      <c r="R15" s="22">
        <f t="shared" si="5"/>
        <v>0</v>
      </c>
      <c r="S15" s="22">
        <f t="shared" si="5"/>
        <v>0</v>
      </c>
      <c r="T15" s="22">
        <f t="shared" si="5"/>
        <v>0</v>
      </c>
      <c r="U15" s="22">
        <f t="shared" si="5"/>
        <v>0</v>
      </c>
      <c r="V15" s="22">
        <f t="shared" si="5"/>
        <v>0</v>
      </c>
      <c r="W15" s="22">
        <f t="shared" si="5"/>
        <v>0</v>
      </c>
      <c r="X15" s="22">
        <f t="shared" si="5"/>
        <v>0</v>
      </c>
      <c r="Y15" s="22">
        <f t="shared" si="5"/>
        <v>0</v>
      </c>
      <c r="Z15" s="22">
        <f t="shared" si="5"/>
        <v>0</v>
      </c>
      <c r="AA15" s="22">
        <f t="shared" si="5"/>
        <v>0</v>
      </c>
      <c r="AB15" s="22">
        <f t="shared" si="5"/>
        <v>0</v>
      </c>
      <c r="AC15" s="22">
        <f t="shared" si="8"/>
        <v>0</v>
      </c>
      <c r="AD15" s="22">
        <f t="shared" si="8"/>
        <v>0</v>
      </c>
      <c r="AE15" s="22">
        <f t="shared" si="8"/>
        <v>0</v>
      </c>
      <c r="AF15" s="22">
        <f t="shared" si="8"/>
        <v>0</v>
      </c>
      <c r="AG15" s="22">
        <f t="shared" si="8"/>
        <v>0</v>
      </c>
      <c r="AH15" s="22">
        <f t="shared" si="8"/>
        <v>0</v>
      </c>
      <c r="AI15" s="22">
        <f t="shared" si="8"/>
        <v>0</v>
      </c>
      <c r="AJ15" s="22">
        <f t="shared" si="8"/>
        <v>0</v>
      </c>
      <c r="AK15" s="22">
        <f t="shared" si="8"/>
        <v>0</v>
      </c>
      <c r="AL15" s="22">
        <f t="shared" si="8"/>
        <v>0</v>
      </c>
      <c r="AM15" s="22">
        <f t="shared" si="8"/>
        <v>0</v>
      </c>
      <c r="AN15" s="22">
        <f t="shared" si="8"/>
        <v>0</v>
      </c>
      <c r="AO15" s="22">
        <f t="shared" si="8"/>
        <v>0</v>
      </c>
      <c r="AP15" s="22">
        <f t="shared" si="8"/>
        <v>0</v>
      </c>
      <c r="AQ15" s="22">
        <f t="shared" si="8"/>
        <v>0</v>
      </c>
      <c r="AR15" s="22">
        <f t="shared" si="8"/>
        <v>0</v>
      </c>
      <c r="AS15" s="22">
        <f t="shared" si="9"/>
        <v>0</v>
      </c>
      <c r="AT15" s="22">
        <f t="shared" si="9"/>
        <v>0</v>
      </c>
      <c r="AU15" s="22">
        <f t="shared" si="9"/>
        <v>0</v>
      </c>
      <c r="AV15" s="22">
        <f t="shared" si="9"/>
        <v>0</v>
      </c>
      <c r="AW15" s="22">
        <f t="shared" si="9"/>
        <v>0</v>
      </c>
      <c r="AX15" s="22">
        <f t="shared" si="9"/>
        <v>0</v>
      </c>
      <c r="AY15" s="22">
        <f t="shared" si="9"/>
        <v>0</v>
      </c>
      <c r="AZ15" s="22">
        <f t="shared" si="9"/>
        <v>0</v>
      </c>
      <c r="BA15" s="22">
        <f t="shared" si="9"/>
        <v>0</v>
      </c>
      <c r="BB15" s="22">
        <f t="shared" si="9"/>
        <v>0</v>
      </c>
      <c r="BC15" s="22">
        <f t="shared" si="9"/>
        <v>0</v>
      </c>
      <c r="BD15" s="22">
        <f t="shared" si="9"/>
        <v>0</v>
      </c>
      <c r="BE15" s="22">
        <f t="shared" si="9"/>
        <v>0</v>
      </c>
      <c r="BF15" s="22">
        <f t="shared" si="9"/>
        <v>0</v>
      </c>
      <c r="BG15" s="22">
        <f t="shared" si="9"/>
        <v>0</v>
      </c>
      <c r="BH15" s="22">
        <f t="shared" si="9"/>
        <v>0</v>
      </c>
      <c r="BI15" s="22">
        <f t="shared" si="10"/>
        <v>0</v>
      </c>
      <c r="BJ15" s="22">
        <f t="shared" si="10"/>
        <v>0</v>
      </c>
      <c r="BK15" s="22">
        <f t="shared" si="10"/>
        <v>0</v>
      </c>
      <c r="BL15" s="22">
        <f t="shared" si="10"/>
        <v>0</v>
      </c>
      <c r="BM15" s="22">
        <f t="shared" si="10"/>
        <v>0</v>
      </c>
      <c r="BN15" s="22">
        <f t="shared" si="10"/>
        <v>0</v>
      </c>
      <c r="BO15" s="22">
        <f t="shared" si="10"/>
        <v>0</v>
      </c>
      <c r="BP15" s="22">
        <f t="shared" si="10"/>
        <v>0</v>
      </c>
      <c r="BQ15" s="22">
        <f t="shared" si="10"/>
        <v>0</v>
      </c>
      <c r="BR15" s="22">
        <f t="shared" si="10"/>
        <v>0</v>
      </c>
      <c r="BS15" s="22">
        <f t="shared" si="10"/>
        <v>0</v>
      </c>
      <c r="BT15" s="22">
        <f t="shared" si="10"/>
        <v>0</v>
      </c>
      <c r="BU15" s="22">
        <f t="shared" si="10"/>
        <v>0</v>
      </c>
      <c r="BV15" s="22">
        <f t="shared" si="10"/>
        <v>0</v>
      </c>
      <c r="BW15" s="22">
        <f t="shared" si="10"/>
        <v>0</v>
      </c>
      <c r="BX15" s="22">
        <f t="shared" si="10"/>
        <v>0</v>
      </c>
      <c r="BY15" s="22">
        <f t="shared" si="7"/>
        <v>0</v>
      </c>
      <c r="BZ15" s="22">
        <f t="shared" si="7"/>
        <v>0</v>
      </c>
      <c r="CA15" s="22">
        <f t="shared" si="7"/>
        <v>0</v>
      </c>
      <c r="CB15" s="22">
        <f t="shared" si="7"/>
        <v>0</v>
      </c>
      <c r="CC15" s="22">
        <f t="shared" si="7"/>
        <v>0</v>
      </c>
      <c r="CD15" s="22">
        <f t="shared" si="7"/>
        <v>0</v>
      </c>
      <c r="CE15" s="22">
        <f t="shared" si="7"/>
        <v>0</v>
      </c>
      <c r="CF15" s="22">
        <f t="shared" si="7"/>
        <v>0</v>
      </c>
      <c r="CG15" s="22">
        <f t="shared" si="7"/>
        <v>0</v>
      </c>
      <c r="CH15" s="22">
        <f t="shared" si="7"/>
        <v>0</v>
      </c>
      <c r="CI15" s="22">
        <f t="shared" si="7"/>
        <v>0</v>
      </c>
      <c r="CJ15" s="22">
        <f t="shared" si="7"/>
        <v>0</v>
      </c>
      <c r="CK15" s="22">
        <f t="shared" si="7"/>
        <v>0</v>
      </c>
      <c r="CL15" s="22">
        <f t="shared" si="7"/>
        <v>0</v>
      </c>
      <c r="CM15" s="22">
        <f t="shared" si="7"/>
        <v>0</v>
      </c>
      <c r="CN15" s="22">
        <f t="shared" si="12"/>
        <v>0</v>
      </c>
      <c r="CO15" s="22">
        <f t="shared" si="12"/>
        <v>0</v>
      </c>
      <c r="CP15" s="22">
        <f t="shared" si="12"/>
        <v>0</v>
      </c>
      <c r="CQ15" s="22">
        <f t="shared" si="12"/>
        <v>0</v>
      </c>
      <c r="CR15" s="22">
        <f t="shared" si="12"/>
        <v>0</v>
      </c>
      <c r="CS15" s="22">
        <f t="shared" si="12"/>
        <v>0</v>
      </c>
      <c r="CT15" s="22">
        <f t="shared" si="12"/>
        <v>0</v>
      </c>
      <c r="CU15" s="22">
        <f t="shared" si="12"/>
        <v>0</v>
      </c>
      <c r="CV15" s="22">
        <f t="shared" si="12"/>
        <v>0</v>
      </c>
      <c r="CW15" s="22">
        <f t="shared" si="12"/>
        <v>0</v>
      </c>
    </row>
    <row r="16" spans="1:101">
      <c r="A16" s="22">
        <v>14</v>
      </c>
      <c r="B16" s="32" t="str">
        <f>データファイル用!$B17</f>
        <v>MEWS Brick I - White Concrete Brick</v>
      </c>
      <c r="C16" s="32">
        <f>データファイル用!K17</f>
        <v>1</v>
      </c>
      <c r="D16" s="32">
        <f>データファイル用!L17</f>
        <v>5.4200999999999999E-2</v>
      </c>
      <c r="E16" s="32">
        <f>データファイル用!M17</f>
        <v>0.46027000000000001</v>
      </c>
      <c r="F16" s="32">
        <f>データファイル用!N17</f>
        <v>-0.62431999999999999</v>
      </c>
      <c r="G16" s="32">
        <f>データファイル用!O17</f>
        <v>32.906999999999996</v>
      </c>
      <c r="H16" s="32">
        <f>データファイル用!P17</f>
        <v>0</v>
      </c>
      <c r="I16" s="35">
        <f>データファイル用!Q17</f>
        <v>0</v>
      </c>
      <c r="J16" s="32">
        <f t="shared" si="2"/>
        <v>3.9654830107268425E-2</v>
      </c>
      <c r="K16" s="32">
        <f t="shared" si="3"/>
        <v>0</v>
      </c>
      <c r="L16" s="53" t="str">
        <f t="shared" si="4"/>
        <v>N/A</v>
      </c>
      <c r="M16" s="22">
        <f t="shared" si="5"/>
        <v>0</v>
      </c>
      <c r="N16" s="22">
        <f t="shared" si="5"/>
        <v>4.7960493634975464E-3</v>
      </c>
      <c r="O16" s="22">
        <f t="shared" si="5"/>
        <v>6.5984012348732817E-3</v>
      </c>
      <c r="P16" s="22">
        <f t="shared" si="5"/>
        <v>7.9522173987434247E-3</v>
      </c>
      <c r="Q16" s="22">
        <f t="shared" si="5"/>
        <v>9.0780756319460108E-3</v>
      </c>
      <c r="R16" s="22">
        <f t="shared" si="5"/>
        <v>1.0060013611550737E-2</v>
      </c>
      <c r="S16" s="22">
        <f t="shared" si="5"/>
        <v>1.0940654928035181E-2</v>
      </c>
      <c r="T16" s="22">
        <f t="shared" si="5"/>
        <v>1.1745105422962429E-2</v>
      </c>
      <c r="U16" s="22">
        <f t="shared" si="5"/>
        <v>1.248960986849031E-2</v>
      </c>
      <c r="V16" s="22">
        <f t="shared" si="5"/>
        <v>1.3185385879923711E-2</v>
      </c>
      <c r="W16" s="22">
        <f t="shared" si="5"/>
        <v>1.3840559428456427E-2</v>
      </c>
      <c r="X16" s="22">
        <f t="shared" si="5"/>
        <v>1.446123739849294E-2</v>
      </c>
      <c r="Y16" s="22">
        <f t="shared" si="5"/>
        <v>1.5052145112790126E-2</v>
      </c>
      <c r="Z16" s="22">
        <f t="shared" si="5"/>
        <v>1.5617026642696558E-2</v>
      </c>
      <c r="AA16" s="22">
        <f t="shared" si="5"/>
        <v>1.6158907520100178E-2</v>
      </c>
      <c r="AB16" s="22">
        <f t="shared" si="5"/>
        <v>1.668027353559794E-2</v>
      </c>
      <c r="AC16" s="22">
        <f t="shared" si="8"/>
        <v>1.7183196196136102E-2</v>
      </c>
      <c r="AD16" s="22">
        <f t="shared" si="8"/>
        <v>1.7669423071348833E-2</v>
      </c>
      <c r="AE16" s="22">
        <f t="shared" si="8"/>
        <v>1.8140444327896254E-2</v>
      </c>
      <c r="AF16" s="22">
        <f t="shared" si="8"/>
        <v>1.8597542692638764E-2</v>
      </c>
      <c r="AG16" s="22">
        <f t="shared" si="8"/>
        <v>1.9041831620654724E-2</v>
      </c>
      <c r="AH16" s="22">
        <f t="shared" si="8"/>
        <v>1.9474284899033804E-2</v>
      </c>
      <c r="AI16" s="22">
        <f t="shared" si="8"/>
        <v>1.9895759921564976E-2</v>
      </c>
      <c r="AJ16" s="22">
        <f t="shared" si="8"/>
        <v>2.0307016211645105E-2</v>
      </c>
      <c r="AK16" s="22">
        <f t="shared" si="8"/>
        <v>2.0708730326600686E-2</v>
      </c>
      <c r="AL16" s="22">
        <f t="shared" si="8"/>
        <v>2.1101507970849562E-2</v>
      </c>
      <c r="AM16" s="22">
        <f t="shared" si="8"/>
        <v>2.1485893931272638E-2</v>
      </c>
      <c r="AN16" s="22">
        <f t="shared" si="8"/>
        <v>2.1862380296542479E-2</v>
      </c>
      <c r="AO16" s="22">
        <f t="shared" si="8"/>
        <v>2.2231413315006554E-2</v>
      </c>
      <c r="AP16" s="22">
        <f t="shared" si="8"/>
        <v>2.2593399173882967E-2</v>
      </c>
      <c r="AQ16" s="22">
        <f t="shared" si="8"/>
        <v>2.2948708946555065E-2</v>
      </c>
      <c r="AR16" s="22">
        <f t="shared" si="8"/>
        <v>2.3297682971152749E-2</v>
      </c>
      <c r="AS16" s="22">
        <f t="shared" si="9"/>
        <v>2.3640635041220548E-2</v>
      </c>
      <c r="AT16" s="22">
        <f t="shared" si="9"/>
        <v>2.3977857126610349E-2</v>
      </c>
      <c r="AU16" s="22">
        <f t="shared" si="9"/>
        <v>2.4309626168499243E-2</v>
      </c>
      <c r="AV16" s="22">
        <f t="shared" si="9"/>
        <v>2.4636216393470901E-2</v>
      </c>
      <c r="AW16" s="22">
        <f t="shared" si="9"/>
        <v>2.4957924814457376E-2</v>
      </c>
      <c r="AX16" s="22">
        <f t="shared" si="9"/>
        <v>2.52751267164999E-2</v>
      </c>
      <c r="AY16" s="22">
        <f t="shared" si="9"/>
        <v>2.5588397212251035E-2</v>
      </c>
      <c r="AZ16" s="22">
        <f t="shared" si="9"/>
        <v>2.5898774855744731E-2</v>
      </c>
      <c r="BA16" s="22">
        <f t="shared" si="9"/>
        <v>2.6208324350813592E-2</v>
      </c>
      <c r="BB16" s="22">
        <f t="shared" si="9"/>
        <v>2.6521317520508549E-2</v>
      </c>
      <c r="BC16" s="22">
        <f t="shared" si="9"/>
        <v>2.6846672923088483E-2</v>
      </c>
      <c r="BD16" s="22">
        <f t="shared" si="9"/>
        <v>2.7202931426086679E-2</v>
      </c>
      <c r="BE16" s="22">
        <f t="shared" si="9"/>
        <v>2.7628333616015858E-2</v>
      </c>
      <c r="BF16" s="22">
        <f t="shared" si="9"/>
        <v>2.8201312177243264E-2</v>
      </c>
      <c r="BG16" s="22">
        <f t="shared" si="9"/>
        <v>2.9083163036010762E-2</v>
      </c>
      <c r="BH16" s="22">
        <f t="shared" si="9"/>
        <v>3.0612056847111675E-2</v>
      </c>
      <c r="BI16" s="22">
        <f t="shared" si="10"/>
        <v>3.3532742209676079E-2</v>
      </c>
      <c r="BJ16" s="22">
        <f t="shared" si="10"/>
        <v>3.3739874709156389E-2</v>
      </c>
      <c r="BK16" s="22">
        <f t="shared" si="10"/>
        <v>3.3954778668633404E-2</v>
      </c>
      <c r="BL16" s="22">
        <f t="shared" si="10"/>
        <v>3.4177800118737847E-2</v>
      </c>
      <c r="BM16" s="22">
        <f t="shared" si="10"/>
        <v>3.4409303088405813E-2</v>
      </c>
      <c r="BN16" s="22">
        <f t="shared" si="10"/>
        <v>3.4649670725566073E-2</v>
      </c>
      <c r="BO16" s="22">
        <f t="shared" si="10"/>
        <v>3.4899306499938873E-2</v>
      </c>
      <c r="BP16" s="22">
        <f t="shared" si="10"/>
        <v>3.5158635494814794E-2</v>
      </c>
      <c r="BQ16" s="22">
        <f t="shared" si="10"/>
        <v>3.5428105795324676E-2</v>
      </c>
      <c r="BR16" s="22">
        <f t="shared" si="10"/>
        <v>3.5708189981419745E-2</v>
      </c>
      <c r="BS16" s="22">
        <f t="shared" si="10"/>
        <v>3.5999386734562946E-2</v>
      </c>
      <c r="BT16" s="22">
        <f t="shared" si="10"/>
        <v>3.6302222567997013E-2</v>
      </c>
      <c r="BU16" s="22">
        <f t="shared" si="10"/>
        <v>3.6617253691409932E-2</v>
      </c>
      <c r="BV16" s="22">
        <f t="shared" si="10"/>
        <v>3.6945068021876776E-2</v>
      </c>
      <c r="BW16" s="22">
        <f t="shared" si="10"/>
        <v>3.7286287354128485E-2</v>
      </c>
      <c r="BX16" s="22">
        <f t="shared" si="10"/>
        <v>3.7641569704497939E-2</v>
      </c>
      <c r="BY16" s="22">
        <f t="shared" si="7"/>
        <v>3.8011611844335505E-2</v>
      </c>
      <c r="BZ16" s="22">
        <f t="shared" si="7"/>
        <v>3.8397152040289033E-2</v>
      </c>
      <c r="CA16" s="22">
        <f t="shared" si="7"/>
        <v>3.8798973020623954E-2</v>
      </c>
      <c r="CB16" s="22">
        <f t="shared" si="7"/>
        <v>3.9217905188742429E-2</v>
      </c>
      <c r="CC16" s="22">
        <f t="shared" si="7"/>
        <v>3.9654830107268675E-2</v>
      </c>
      <c r="CD16" s="22">
        <f t="shared" si="7"/>
        <v>4.0110684278531011E-2</v>
      </c>
      <c r="CE16" s="22">
        <f t="shared" si="7"/>
        <v>4.0586463250019696E-2</v>
      </c>
      <c r="CF16" s="22">
        <f t="shared" si="7"/>
        <v>4.1083226076471802E-2</v>
      </c>
      <c r="CG16" s="22">
        <f t="shared" si="7"/>
        <v>4.1602100173669568E-2</v>
      </c>
      <c r="CH16" s="22">
        <f t="shared" si="7"/>
        <v>4.2144286602885148E-2</v>
      </c>
      <c r="CI16" s="22">
        <f t="shared" si="7"/>
        <v>4.2711065829215918E-2</v>
      </c>
      <c r="CJ16" s="22">
        <f t="shared" si="7"/>
        <v>4.3303804001891329E-2</v>
      </c>
      <c r="CK16" s="22">
        <f t="shared" si="7"/>
        <v>4.3923959810065381E-2</v>
      </c>
      <c r="CL16" s="22">
        <f t="shared" si="7"/>
        <v>4.4573091973717748E-2</v>
      </c>
      <c r="CM16" s="22">
        <f t="shared" si="7"/>
        <v>4.5252867436163864E-2</v>
      </c>
      <c r="CN16" s="22">
        <f t="shared" si="12"/>
        <v>4.5965070332424279E-2</v>
      </c>
      <c r="CO16" s="22">
        <f t="shared" si="12"/>
        <v>4.6711611816448506E-2</v>
      </c>
      <c r="CP16" s="22">
        <f t="shared" si="12"/>
        <v>4.7494540840066581E-2</v>
      </c>
      <c r="CQ16" s="22">
        <f t="shared" si="12"/>
        <v>4.8316055987713248E-2</v>
      </c>
      <c r="CR16" s="22">
        <f t="shared" si="12"/>
        <v>4.9178518483620037E-2</v>
      </c>
      <c r="CS16" s="22">
        <f t="shared" si="12"/>
        <v>5.0084466502512526E-2</v>
      </c>
      <c r="CT16" s="22">
        <f t="shared" si="12"/>
        <v>5.1036630931130547E-2</v>
      </c>
      <c r="CU16" s="22">
        <f t="shared" si="12"/>
        <v>5.2037952746393765E-2</v>
      </c>
      <c r="CV16" s="22">
        <f t="shared" si="12"/>
        <v>5.3091602197094703E-2</v>
      </c>
      <c r="CW16" s="22">
        <f t="shared" si="12"/>
        <v>5.4201000000000506E-2</v>
      </c>
    </row>
    <row r="17" spans="1:101">
      <c r="A17" s="22">
        <v>15</v>
      </c>
      <c r="B17" s="32" t="str">
        <f>データファイル用!$B18</f>
        <v>MEWS Brick II - Red Matt Clay Brick</v>
      </c>
      <c r="C17" s="32">
        <f>データファイル用!K18</f>
        <v>1</v>
      </c>
      <c r="D17" s="32">
        <f>データファイル用!L18</f>
        <v>0.11025</v>
      </c>
      <c r="E17" s="32">
        <f>データファイル用!M18</f>
        <v>4.3338000000000001</v>
      </c>
      <c r="F17" s="32">
        <f>データファイル用!N18</f>
        <v>-2.6187999999999998</v>
      </c>
      <c r="G17" s="32">
        <f>データファイル用!O18</f>
        <v>15.105</v>
      </c>
      <c r="H17" s="32">
        <f>データファイル用!P18</f>
        <v>0</v>
      </c>
      <c r="I17" s="35">
        <f>データファイル用!Q18</f>
        <v>0</v>
      </c>
      <c r="J17" s="32">
        <f t="shared" si="2"/>
        <v>5.0727198317311192E-2</v>
      </c>
      <c r="K17" s="32">
        <f t="shared" si="3"/>
        <v>0</v>
      </c>
      <c r="L17" s="53" t="str">
        <f t="shared" si="4"/>
        <v>N/A</v>
      </c>
      <c r="M17" s="22">
        <f t="shared" si="5"/>
        <v>0</v>
      </c>
      <c r="N17" s="22">
        <f t="shared" si="5"/>
        <v>3.4837902882227147E-10</v>
      </c>
      <c r="O17" s="22">
        <f t="shared" si="5"/>
        <v>7.0251531976551316E-9</v>
      </c>
      <c r="P17" s="22">
        <f t="shared" si="5"/>
        <v>4.0719280718268539E-8</v>
      </c>
      <c r="Q17" s="22">
        <f t="shared" si="5"/>
        <v>1.4166403074652856E-7</v>
      </c>
      <c r="R17" s="22">
        <f t="shared" si="5"/>
        <v>3.7260459720671187E-7</v>
      </c>
      <c r="S17" s="22">
        <f t="shared" si="5"/>
        <v>8.2111482459555855E-7</v>
      </c>
      <c r="T17" s="22">
        <f t="shared" si="5"/>
        <v>1.601540368388233E-6</v>
      </c>
      <c r="U17" s="22">
        <f t="shared" si="5"/>
        <v>2.8566918105219352E-6</v>
      </c>
      <c r="V17" s="22">
        <f t="shared" si="5"/>
        <v>4.7593560032670622E-6</v>
      </c>
      <c r="W17" s="22">
        <f t="shared" si="5"/>
        <v>7.5136680487527674E-6</v>
      </c>
      <c r="X17" s="22">
        <f t="shared" si="5"/>
        <v>1.1356372339059984E-5</v>
      </c>
      <c r="Y17" s="22">
        <f t="shared" si="5"/>
        <v>1.6557992775039942E-5</v>
      </c>
      <c r="Z17" s="22">
        <f t="shared" si="5"/>
        <v>2.3423927005906898E-5</v>
      </c>
      <c r="AA17" s="22">
        <f t="shared" si="5"/>
        <v>3.2295476021030334E-5</v>
      </c>
      <c r="AB17" s="22">
        <f t="shared" si="5"/>
        <v>4.3550818039446276E-5</v>
      </c>
      <c r="AC17" s="22">
        <f t="shared" si="8"/>
        <v>5.76059340793746E-5</v>
      </c>
      <c r="AD17" s="22">
        <f t="shared" si="8"/>
        <v>7.4915491795137109E-5</v>
      </c>
      <c r="AE17" s="22">
        <f t="shared" si="8"/>
        <v>9.5973694357871382E-5</v>
      </c>
      <c r="AF17" s="22">
        <f t="shared" si="8"/>
        <v>1.213151029393273E-4</v>
      </c>
      <c r="AG17" s="22">
        <f t="shared" si="8"/>
        <v>1.5151544599256768E-4</v>
      </c>
      <c r="AH17" s="22">
        <f t="shared" si="8"/>
        <v>1.8719243835299291E-4</v>
      </c>
      <c r="AI17" s="22">
        <f t="shared" si="8"/>
        <v>2.2900665234757572E-4</v>
      </c>
      <c r="AJ17" s="22">
        <f t="shared" si="8"/>
        <v>2.7766251864763745E-4</v>
      </c>
      <c r="AK17" s="22">
        <f t="shared" si="8"/>
        <v>3.3390959818159856E-4</v>
      </c>
      <c r="AL17" s="22">
        <f t="shared" si="8"/>
        <v>3.9854437682153131E-4</v>
      </c>
      <c r="AM17" s="22">
        <f t="shared" si="8"/>
        <v>4.724130214046841E-4</v>
      </c>
      <c r="AN17" s="22">
        <f t="shared" si="8"/>
        <v>5.5641584485257461E-4</v>
      </c>
      <c r="AO17" s="22">
        <f t="shared" si="8"/>
        <v>6.5151472977324851E-4</v>
      </c>
      <c r="AP17" s="22">
        <f t="shared" si="8"/>
        <v>7.5874555983220556E-4</v>
      </c>
      <c r="AQ17" s="22">
        <f t="shared" si="8"/>
        <v>8.7923896557413439E-4</v>
      </c>
      <c r="AR17" s="22">
        <f t="shared" si="8"/>
        <v>1.0142546465899056E-3</v>
      </c>
      <c r="AS17" s="22">
        <f t="shared" si="9"/>
        <v>1.1652375526400506E-3</v>
      </c>
      <c r="AT17" s="22">
        <f t="shared" si="9"/>
        <v>1.3339088696058461E-3</v>
      </c>
      <c r="AU17" s="22">
        <f t="shared" si="9"/>
        <v>1.5224120017444944E-3</v>
      </c>
      <c r="AV17" s="22">
        <f t="shared" si="9"/>
        <v>1.7335451720527921E-3</v>
      </c>
      <c r="AW17" s="22">
        <f t="shared" si="9"/>
        <v>1.9711307475536871E-3</v>
      </c>
      <c r="AX17" s="22">
        <f t="shared" si="9"/>
        <v>2.240602325406303E-3</v>
      </c>
      <c r="AY17" s="22">
        <f t="shared" si="9"/>
        <v>2.5499445496571294E-3</v>
      </c>
      <c r="AZ17" s="22">
        <f t="shared" si="9"/>
        <v>2.9112190703276071E-3</v>
      </c>
      <c r="BA17" s="22">
        <f t="shared" si="9"/>
        <v>3.3430984401217594E-3</v>
      </c>
      <c r="BB17" s="22">
        <f t="shared" si="9"/>
        <v>3.8752079171670071E-3</v>
      </c>
      <c r="BC17" s="22">
        <f t="shared" si="9"/>
        <v>4.5558726033401364E-3</v>
      </c>
      <c r="BD17" s="22">
        <f t="shared" si="9"/>
        <v>5.4666400382813035E-3</v>
      </c>
      <c r="BE17" s="22">
        <f t="shared" si="9"/>
        <v>6.75112824621249E-3</v>
      </c>
      <c r="BF17" s="22">
        <f t="shared" si="9"/>
        <v>8.6762961504696905E-3</v>
      </c>
      <c r="BG17" s="22">
        <f t="shared" si="9"/>
        <v>1.1773031245943562E-2</v>
      </c>
      <c r="BH17" s="22">
        <f t="shared" si="9"/>
        <v>1.7189200483133285E-2</v>
      </c>
      <c r="BI17" s="22">
        <f t="shared" si="10"/>
        <v>2.7676400310840177E-2</v>
      </c>
      <c r="BJ17" s="22">
        <f t="shared" si="10"/>
        <v>2.8431493847522492E-2</v>
      </c>
      <c r="BK17" s="22">
        <f t="shared" si="10"/>
        <v>2.9216728746166928E-2</v>
      </c>
      <c r="BL17" s="22">
        <f t="shared" si="10"/>
        <v>3.0033594354580716E-2</v>
      </c>
      <c r="BM17" s="22">
        <f t="shared" si="10"/>
        <v>3.0883666158515826E-2</v>
      </c>
      <c r="BN17" s="22">
        <f t="shared" si="10"/>
        <v>3.1768611444204495E-2</v>
      </c>
      <c r="BO17" s="22">
        <f t="shared" si="10"/>
        <v>3.2690195375637714E-2</v>
      </c>
      <c r="BP17" s="22">
        <f t="shared" si="10"/>
        <v>3.365028751995594E-2</v>
      </c>
      <c r="BQ17" s="22">
        <f t="shared" si="10"/>
        <v>3.4650868857239343E-2</v>
      </c>
      <c r="BR17" s="22">
        <f t="shared" si="10"/>
        <v>3.5694039314178277E-2</v>
      </c>
      <c r="BS17" s="22">
        <f t="shared" si="10"/>
        <v>3.6782025864600873E-2</v>
      </c>
      <c r="BT17" s="22">
        <f t="shared" si="10"/>
        <v>3.7917191243664286E-2</v>
      </c>
      <c r="BU17" s="22">
        <f t="shared" si="10"/>
        <v>3.9102043326713867E-2</v>
      </c>
      <c r="BV17" s="22">
        <f t="shared" si="10"/>
        <v>4.0339245228417114E-2</v>
      </c>
      <c r="BW17" s="22">
        <f t="shared" si="10"/>
        <v>4.1631626182830166E-2</v>
      </c>
      <c r="BX17" s="22">
        <f t="shared" si="10"/>
        <v>4.2982193270598663E-2</v>
      </c>
      <c r="BY17" s="22">
        <f t="shared" si="7"/>
        <v>4.4394144065584694E-2</v>
      </c>
      <c r="BZ17" s="22">
        <f t="shared" si="7"/>
        <v>4.587088027990522E-2</v>
      </c>
      <c r="CA17" s="22">
        <f t="shared" si="7"/>
        <v>4.7416022493726756E-2</v>
      </c>
      <c r="CB17" s="22">
        <f t="shared" si="7"/>
        <v>4.9033426064259908E-2</v>
      </c>
      <c r="CC17" s="22">
        <f t="shared" si="7"/>
        <v>5.072719831731215E-2</v>
      </c>
      <c r="CD17" s="22">
        <f t="shared" si="7"/>
        <v>5.2501717134578484E-2</v>
      </c>
      <c r="CE17" s="22">
        <f t="shared" si="7"/>
        <v>5.4361651060673595E-2</v>
      </c>
      <c r="CF17" s="22">
        <f t="shared" si="7"/>
        <v>5.6311981065846915E-2</v>
      </c>
      <c r="CG17" s="22">
        <f t="shared" si="7"/>
        <v>5.8358024113495402E-2</v>
      </c>
      <c r="CH17" s="22">
        <f t="shared" si="7"/>
        <v>6.0505458696134225E-2</v>
      </c>
      <c r="CI17" s="22">
        <f t="shared" si="7"/>
        <v>6.2760352519556237E-2</v>
      </c>
      <c r="CJ17" s="22">
        <f t="shared" si="7"/>
        <v>6.5129192532677779E-2</v>
      </c>
      <c r="CK17" s="22">
        <f t="shared" si="7"/>
        <v>6.7618917520220825E-2</v>
      </c>
      <c r="CL17" s="22">
        <f t="shared" si="7"/>
        <v>7.0236953497137281E-2</v>
      </c>
      <c r="CM17" s="22">
        <f t="shared" si="7"/>
        <v>7.2991252167774287E-2</v>
      </c>
      <c r="CN17" s="22">
        <f t="shared" si="12"/>
        <v>7.5890332739485353E-2</v>
      </c>
      <c r="CO17" s="22">
        <f t="shared" si="12"/>
        <v>7.8943327410007702E-2</v>
      </c>
      <c r="CP17" s="22">
        <f t="shared" si="12"/>
        <v>8.2160030880790699E-2</v>
      </c>
      <c r="CQ17" s="22">
        <f t="shared" si="12"/>
        <v>8.5550954284958236E-2</v>
      </c>
      <c r="CR17" s="22">
        <f t="shared" si="12"/>
        <v>8.9127383959140577E-2</v>
      </c>
      <c r="CS17" s="22">
        <f t="shared" si="12"/>
        <v>9.2901445533506391E-2</v>
      </c>
      <c r="CT17" s="22">
        <f t="shared" si="12"/>
        <v>9.6886173864501088E-2</v>
      </c>
      <c r="CU17" s="22">
        <f t="shared" si="12"/>
        <v>0.10109558939066532</v>
      </c>
      <c r="CV17" s="22">
        <f t="shared" si="12"/>
        <v>0.10554478155415641</v>
      </c>
      <c r="CW17" s="22">
        <f t="shared" si="12"/>
        <v>0.11025000000000215</v>
      </c>
    </row>
    <row r="18" spans="1:101">
      <c r="A18" s="22">
        <v>16</v>
      </c>
      <c r="B18" s="32" t="str">
        <f>データファイル用!$B19</f>
        <v>MEWS Brick III - Buff Matt Clay Brick</v>
      </c>
      <c r="C18" s="32">
        <f>データファイル用!K19</f>
        <v>1</v>
      </c>
      <c r="D18" s="32">
        <f>データファイル用!L19</f>
        <v>0.19994999999999999</v>
      </c>
      <c r="E18" s="32">
        <f>データファイル用!M19</f>
        <v>8.1655999999999995</v>
      </c>
      <c r="F18" s="32">
        <f>データファイル用!N19</f>
        <v>-2.9034</v>
      </c>
      <c r="G18" s="32">
        <f>データファイル用!O19</f>
        <v>86.234999999999999</v>
      </c>
      <c r="H18" s="32">
        <f>データファイル用!P19</f>
        <v>0</v>
      </c>
      <c r="I18" s="35">
        <f>データファイル用!Q19</f>
        <v>0</v>
      </c>
      <c r="J18" s="32">
        <f t="shared" si="2"/>
        <v>1.5459072873218044E-2</v>
      </c>
      <c r="K18" s="32">
        <f t="shared" si="3"/>
        <v>0</v>
      </c>
      <c r="L18" s="53" t="str">
        <f t="shared" si="4"/>
        <v>N/A</v>
      </c>
      <c r="M18" s="22">
        <f t="shared" si="5"/>
        <v>0</v>
      </c>
      <c r="N18" s="22">
        <f t="shared" si="5"/>
        <v>1.4685249932527152E-16</v>
      </c>
      <c r="O18" s="22">
        <f t="shared" si="5"/>
        <v>4.2166919506269287E-14</v>
      </c>
      <c r="P18" s="22">
        <f t="shared" si="5"/>
        <v>1.1557466940711817E-12</v>
      </c>
      <c r="Q18" s="22">
        <f t="shared" si="5"/>
        <v>1.2107721072624689E-11</v>
      </c>
      <c r="R18" s="22">
        <f t="shared" si="5"/>
        <v>7.4884306077071967E-11</v>
      </c>
      <c r="S18" s="22">
        <f t="shared" si="5"/>
        <v>3.3185868842853105E-10</v>
      </c>
      <c r="T18" s="22">
        <f t="shared" si="5"/>
        <v>1.1684601294297546E-9</v>
      </c>
      <c r="U18" s="22">
        <f t="shared" si="5"/>
        <v>3.476585704836335E-9</v>
      </c>
      <c r="V18" s="22">
        <f t="shared" si="5"/>
        <v>9.0958644013122284E-9</v>
      </c>
      <c r="W18" s="22">
        <f t="shared" si="5"/>
        <v>2.1502123022371526E-8</v>
      </c>
      <c r="X18" s="22">
        <f t="shared" si="5"/>
        <v>4.6824964008691841E-8</v>
      </c>
      <c r="Y18" s="22">
        <f t="shared" si="5"/>
        <v>9.5289209694872972E-8</v>
      </c>
      <c r="Z18" s="22">
        <f t="shared" si="5"/>
        <v>1.8318806695700187E-7</v>
      </c>
      <c r="AA18" s="22">
        <f t="shared" si="5"/>
        <v>3.3550919766655073E-7</v>
      </c>
      <c r="AB18" s="22">
        <f t="shared" si="5"/>
        <v>5.8934842501176637E-7</v>
      </c>
      <c r="AC18" s="22">
        <f t="shared" si="8"/>
        <v>9.9825954781862488E-7</v>
      </c>
      <c r="AD18" s="22">
        <f t="shared" si="8"/>
        <v>1.6377026611052318E-6</v>
      </c>
      <c r="AE18" s="22">
        <f t="shared" si="8"/>
        <v>2.6117674796977074E-6</v>
      </c>
      <c r="AF18" s="22">
        <f t="shared" si="8"/>
        <v>4.0613624227685029E-6</v>
      </c>
      <c r="AG18" s="22">
        <f t="shared" si="8"/>
        <v>6.1740746317840534E-6</v>
      </c>
      <c r="AH18" s="22">
        <f t="shared" si="8"/>
        <v>9.1959206547193826E-6</v>
      </c>
      <c r="AI18" s="22">
        <f t="shared" si="8"/>
        <v>1.3445222228496963E-5</v>
      </c>
      <c r="AJ18" s="22">
        <f t="shared" si="8"/>
        <v>1.9328856423123667E-5</v>
      </c>
      <c r="AK18" s="22">
        <f t="shared" si="8"/>
        <v>2.7361144369221392E-5</v>
      </c>
      <c r="AL18" s="22">
        <f t="shared" si="8"/>
        <v>3.8185657870377065E-5</v>
      </c>
      <c r="AM18" s="22">
        <f t="shared" si="8"/>
        <v>5.2600238398228788E-5</v>
      </c>
      <c r="AN18" s="22">
        <f t="shared" si="8"/>
        <v>7.1585538277095626E-5</v>
      </c>
      <c r="AO18" s="22">
        <f t="shared" si="8"/>
        <v>9.633740928223962E-5</v>
      </c>
      <c r="AP18" s="22">
        <f t="shared" si="8"/>
        <v>1.2830347939779655E-4</v>
      </c>
      <c r="AQ18" s="22">
        <f t="shared" si="8"/>
        <v>1.6922427410359563E-4</v>
      </c>
      <c r="AR18" s="22">
        <f t="shared" si="8"/>
        <v>2.21179254281296E-4</v>
      </c>
      <c r="AS18" s="22">
        <f t="shared" si="9"/>
        <v>2.8663815864650509E-4</v>
      </c>
      <c r="AT18" s="22">
        <f t="shared" si="9"/>
        <v>3.6851805452203795E-4</v>
      </c>
      <c r="AU18" s="22">
        <f t="shared" si="9"/>
        <v>4.7024651676557755E-4</v>
      </c>
      <c r="AV18" s="22">
        <f t="shared" si="9"/>
        <v>5.9583137075030254E-4</v>
      </c>
      <c r="AW18" s="22">
        <f t="shared" si="9"/>
        <v>7.4993745146775717E-4</v>
      </c>
      <c r="AX18" s="22">
        <f t="shared" si="9"/>
        <v>9.3797084708258907E-4</v>
      </c>
      <c r="AY18" s="22">
        <f t="shared" si="9"/>
        <v>1.1661711116918577E-3</v>
      </c>
      <c r="AZ18" s="22">
        <f t="shared" si="9"/>
        <v>1.4417119494459459E-3</v>
      </c>
      <c r="BA18" s="22">
        <f t="shared" si="9"/>
        <v>1.772810898979772E-3</v>
      </c>
      <c r="BB18" s="22">
        <f t="shared" si="9"/>
        <v>2.1688486644234422E-3</v>
      </c>
      <c r="BC18" s="22">
        <f t="shared" si="9"/>
        <v>2.6404996867184041E-3</v>
      </c>
      <c r="BD18" s="22">
        <f t="shared" si="9"/>
        <v>3.1998837111394353E-3</v>
      </c>
      <c r="BE18" s="22">
        <f t="shared" si="9"/>
        <v>3.8608158156763369E-3</v>
      </c>
      <c r="BF18" s="22">
        <f t="shared" si="9"/>
        <v>4.6397680120882348E-3</v>
      </c>
      <c r="BG18" s="22">
        <f t="shared" si="9"/>
        <v>5.5622070867567958E-3</v>
      </c>
      <c r="BH18" s="22">
        <f t="shared" si="9"/>
        <v>6.7086659711689985E-3</v>
      </c>
      <c r="BI18" s="22">
        <f t="shared" si="10"/>
        <v>8.5612464577205817E-3</v>
      </c>
      <c r="BJ18" s="22">
        <f t="shared" si="10"/>
        <v>8.7043037743440594E-3</v>
      </c>
      <c r="BK18" s="22">
        <f t="shared" si="10"/>
        <v>8.8562997101663491E-3</v>
      </c>
      <c r="BL18" s="22">
        <f t="shared" si="10"/>
        <v>9.0182354207583252E-3</v>
      </c>
      <c r="BM18" s="22">
        <f t="shared" si="10"/>
        <v>9.1912438587660114E-3</v>
      </c>
      <c r="BN18" s="22">
        <f t="shared" si="10"/>
        <v>9.3766100814267148E-3</v>
      </c>
      <c r="BO18" s="22">
        <f t="shared" si="10"/>
        <v>9.5757952736174635E-3</v>
      </c>
      <c r="BP18" s="22">
        <f t="shared" si="10"/>
        <v>9.7904652825291354E-3</v>
      </c>
      <c r="BQ18" s="22">
        <f t="shared" si="10"/>
        <v>1.0022524655086275E-2</v>
      </c>
      <c r="BR18" s="22">
        <f t="shared" si="10"/>
        <v>1.0274157417935019E-2</v>
      </c>
      <c r="BS18" s="22">
        <f t="shared" si="10"/>
        <v>1.0547876158631774E-2</v>
      </c>
      <c r="BT18" s="22">
        <f t="shared" si="10"/>
        <v>1.0846581377566656E-2</v>
      </c>
      <c r="BU18" s="22">
        <f t="shared" si="10"/>
        <v>1.117363361275025E-2</v>
      </c>
      <c r="BV18" s="22">
        <f t="shared" si="10"/>
        <v>1.1532941533991424E-2</v>
      </c>
      <c r="BW18" s="22">
        <f t="shared" si="10"/>
        <v>1.1929070113919384E-2</v>
      </c>
      <c r="BX18" s="22">
        <f t="shared" si="10"/>
        <v>1.2367374185927617E-2</v>
      </c>
      <c r="BY18" s="22">
        <f t="shared" si="7"/>
        <v>1.2854164297456849E-2</v>
      </c>
      <c r="BZ18" s="22">
        <f t="shared" si="7"/>
        <v>1.3396913906101674E-2</v>
      </c>
      <c r="CA18" s="22">
        <f t="shared" si="7"/>
        <v>1.4004519849578012E-2</v>
      </c>
      <c r="CB18" s="22">
        <f t="shared" si="7"/>
        <v>1.4687631937266065E-2</v>
      </c>
      <c r="CC18" s="22">
        <f t="shared" si="7"/>
        <v>1.5459072873218491E-2</v>
      </c>
      <c r="CD18" s="22">
        <f t="shared" si="7"/>
        <v>1.6334377122584114E-2</v>
      </c>
      <c r="CE18" s="22">
        <f t="shared" si="7"/>
        <v>1.7332487640037971E-2</v>
      </c>
      <c r="CF18" s="22">
        <f t="shared" si="7"/>
        <v>1.8476663860162817E-2</v>
      </c>
      <c r="CG18" s="22">
        <f t="shared" si="7"/>
        <v>1.9795674890371841E-2</v>
      </c>
      <c r="CH18" s="22">
        <f t="shared" si="7"/>
        <v>2.1325381272822245E-2</v>
      </c>
      <c r="CI18" s="22">
        <f t="shared" si="7"/>
        <v>2.3110851277336569E-2</v>
      </c>
      <c r="CJ18" s="22">
        <f t="shared" si="7"/>
        <v>2.5209220024030053E-2</v>
      </c>
      <c r="CK18" s="22">
        <f t="shared" si="7"/>
        <v>2.7693592013954896E-2</v>
      </c>
      <c r="CL18" s="22">
        <f t="shared" si="7"/>
        <v>3.0658425908979142E-2</v>
      </c>
      <c r="CM18" s="22">
        <f t="shared" si="7"/>
        <v>3.4227050207198885E-2</v>
      </c>
      <c r="CN18" s="22">
        <f t="shared" si="12"/>
        <v>3.8562281107679917E-2</v>
      </c>
      <c r="CO18" s="22">
        <f t="shared" si="12"/>
        <v>4.388161707475307E-2</v>
      </c>
      <c r="CP18" s="22">
        <f t="shared" si="12"/>
        <v>5.0479281193463045E-2</v>
      </c>
      <c r="CQ18" s="22">
        <f t="shared" si="12"/>
        <v>5.8758663302012001E-2</v>
      </c>
      <c r="CR18" s="22">
        <f t="shared" si="12"/>
        <v>6.9280807949378881E-2</v>
      </c>
      <c r="CS18" s="22">
        <f t="shared" si="12"/>
        <v>8.2838078188012781E-2</v>
      </c>
      <c r="CT18" s="22">
        <f t="shared" si="12"/>
        <v>0.10056803007942652</v>
      </c>
      <c r="CU18" s="22">
        <f t="shared" si="12"/>
        <v>0.12413273936206862</v>
      </c>
      <c r="CV18" s="22">
        <f t="shared" si="12"/>
        <v>0.15600683529541468</v>
      </c>
      <c r="CW18" s="22">
        <f t="shared" si="12"/>
        <v>0.19995000000002286</v>
      </c>
    </row>
    <row r="19" spans="1:101">
      <c r="A19" s="22">
        <v>17</v>
      </c>
      <c r="B19" s="32" t="str">
        <f>データファイル用!$B20</f>
        <v>MEWS Brick IV - Textured Coated Clay Brick</v>
      </c>
      <c r="C19" s="32">
        <f>データファイル用!K20</f>
        <v>1</v>
      </c>
      <c r="D19" s="32">
        <f>データファイル用!L20</f>
        <v>0.17996999999999999</v>
      </c>
      <c r="E19" s="32">
        <f>データファイル用!M20</f>
        <v>0.58301000000000003</v>
      </c>
      <c r="F19" s="32">
        <f>データファイル用!N20</f>
        <v>-3.0608</v>
      </c>
      <c r="G19" s="32">
        <f>データファイル用!O20</f>
        <v>114</v>
      </c>
      <c r="H19" s="32">
        <f>データファイル用!P20</f>
        <v>0</v>
      </c>
      <c r="I19" s="35">
        <f>データファイル用!Q20</f>
        <v>0</v>
      </c>
      <c r="J19" s="32">
        <f t="shared" si="2"/>
        <v>1.1315026107165773E-2</v>
      </c>
      <c r="K19" s="32">
        <f t="shared" si="3"/>
        <v>0</v>
      </c>
      <c r="L19" s="53" t="str">
        <f t="shared" si="4"/>
        <v>N/A</v>
      </c>
      <c r="M19" s="22">
        <f t="shared" si="5"/>
        <v>0</v>
      </c>
      <c r="N19" s="22">
        <f t="shared" si="5"/>
        <v>8.6177732783877239E-4</v>
      </c>
      <c r="O19" s="22">
        <f t="shared" si="5"/>
        <v>1.2909177192037052E-3</v>
      </c>
      <c r="P19" s="22">
        <f t="shared" si="5"/>
        <v>1.6351647901531642E-3</v>
      </c>
      <c r="Q19" s="22">
        <f t="shared" si="5"/>
        <v>1.9337577166637541E-3</v>
      </c>
      <c r="R19" s="22">
        <f t="shared" si="5"/>
        <v>2.2024272227581139E-3</v>
      </c>
      <c r="S19" s="22">
        <f t="shared" si="5"/>
        <v>2.4494299550911879E-3</v>
      </c>
      <c r="T19" s="22">
        <f t="shared" si="5"/>
        <v>2.6797585949091263E-3</v>
      </c>
      <c r="U19" s="22">
        <f t="shared" si="5"/>
        <v>2.8967135946226337E-3</v>
      </c>
      <c r="V19" s="22">
        <f t="shared" si="5"/>
        <v>3.1026157275013269E-3</v>
      </c>
      <c r="W19" s="22">
        <f t="shared" si="5"/>
        <v>3.2991728086480508E-3</v>
      </c>
      <c r="X19" s="22">
        <f t="shared" si="5"/>
        <v>3.4876862855507461E-3</v>
      </c>
      <c r="Y19" s="22">
        <f t="shared" si="5"/>
        <v>3.6691758170355609E-3</v>
      </c>
      <c r="Z19" s="22">
        <f t="shared" si="5"/>
        <v>3.8444585078502244E-3</v>
      </c>
      <c r="AA19" s="22">
        <f t="shared" si="5"/>
        <v>4.0142015130894869E-3</v>
      </c>
      <c r="AB19" s="22">
        <f t="shared" si="5"/>
        <v>4.1789582194748237E-3</v>
      </c>
      <c r="AC19" s="22">
        <f t="shared" si="8"/>
        <v>4.339193879855951E-3</v>
      </c>
      <c r="AD19" s="22">
        <f t="shared" si="8"/>
        <v>4.495304239685808E-3</v>
      </c>
      <c r="AE19" s="22">
        <f t="shared" si="8"/>
        <v>4.6476293691273393E-3</v>
      </c>
      <c r="AF19" s="22">
        <f t="shared" si="8"/>
        <v>4.7964641314582057E-3</v>
      </c>
      <c r="AG19" s="22">
        <f t="shared" si="8"/>
        <v>4.9420662389433635E-3</v>
      </c>
      <c r="AH19" s="22">
        <f t="shared" si="8"/>
        <v>5.0846625444357363E-3</v>
      </c>
      <c r="AI19" s="22">
        <f t="shared" si="8"/>
        <v>5.2244540203122379E-3</v>
      </c>
      <c r="AJ19" s="22">
        <f t="shared" si="8"/>
        <v>5.3616197455566509E-3</v>
      </c>
      <c r="AK19" s="22">
        <f t="shared" si="8"/>
        <v>5.4963201329092017E-3</v>
      </c>
      <c r="AL19" s="22">
        <f t="shared" si="8"/>
        <v>5.628699566407624E-3</v>
      </c>
      <c r="AM19" s="22">
        <f t="shared" si="8"/>
        <v>5.7588885762097745E-3</v>
      </c>
      <c r="AN19" s="22">
        <f t="shared" si="8"/>
        <v>5.8870056464687638E-3</v>
      </c>
      <c r="AO19" s="22">
        <f t="shared" si="8"/>
        <v>6.013158729410239E-3</v>
      </c>
      <c r="AP19" s="22">
        <f t="shared" si="8"/>
        <v>6.1374465220978315E-3</v>
      </c>
      <c r="AQ19" s="22">
        <f t="shared" si="8"/>
        <v>6.2599595499468691E-3</v>
      </c>
      <c r="AR19" s="22">
        <f t="shared" si="8"/>
        <v>6.3807810916757966E-3</v>
      </c>
      <c r="AS19" s="22">
        <f t="shared" si="9"/>
        <v>6.4999879732439408E-3</v>
      </c>
      <c r="AT19" s="22">
        <f t="shared" si="9"/>
        <v>6.6176512528299015E-3</v>
      </c>
      <c r="AU19" s="22">
        <f t="shared" si="9"/>
        <v>6.7338368146390029E-3</v>
      </c>
      <c r="AV19" s="22">
        <f t="shared" si="9"/>
        <v>6.8486058859883103E-3</v>
      </c>
      <c r="AW19" s="22">
        <f t="shared" si="9"/>
        <v>6.9620154894820922E-3</v>
      </c>
      <c r="AX19" s="22">
        <f t="shared" si="9"/>
        <v>7.074118839995357E-3</v>
      </c>
      <c r="AY19" s="22">
        <f t="shared" si="9"/>
        <v>7.1849656945063116E-3</v>
      </c>
      <c r="AZ19" s="22">
        <f t="shared" si="9"/>
        <v>7.2946026614744862E-3</v>
      </c>
      <c r="BA19" s="22">
        <f t="shared" si="9"/>
        <v>7.4030734754940387E-3</v>
      </c>
      <c r="BB19" s="22">
        <f t="shared" si="9"/>
        <v>7.5104192441546027E-3</v>
      </c>
      <c r="BC19" s="22">
        <f t="shared" si="9"/>
        <v>7.6166787052849424E-3</v>
      </c>
      <c r="BD19" s="22">
        <f t="shared" si="9"/>
        <v>7.7218889888378186E-3</v>
      </c>
      <c r="BE19" s="22">
        <f t="shared" si="9"/>
        <v>7.8260935028383449E-3</v>
      </c>
      <c r="BF19" s="22">
        <f t="shared" si="9"/>
        <v>7.9294409474579466E-3</v>
      </c>
      <c r="BG19" s="22">
        <f t="shared" si="9"/>
        <v>8.0333827846948251E-3</v>
      </c>
      <c r="BH19" s="22">
        <f t="shared" si="9"/>
        <v>8.1544280386973179E-3</v>
      </c>
      <c r="BI19" s="22">
        <f t="shared" si="10"/>
        <v>8.476930295121041E-3</v>
      </c>
      <c r="BJ19" s="22">
        <f t="shared" si="10"/>
        <v>8.5133014189197418E-3</v>
      </c>
      <c r="BK19" s="22">
        <f t="shared" si="10"/>
        <v>8.5537440606536404E-3</v>
      </c>
      <c r="BL19" s="22">
        <f t="shared" si="10"/>
        <v>8.5988017269063577E-3</v>
      </c>
      <c r="BM19" s="22">
        <f t="shared" si="10"/>
        <v>8.6490950189598188E-3</v>
      </c>
      <c r="BN19" s="22">
        <f t="shared" si="10"/>
        <v>8.7053338591448481E-3</v>
      </c>
      <c r="BO19" s="22">
        <f t="shared" si="10"/>
        <v>8.7683319945440069E-3</v>
      </c>
      <c r="BP19" s="22">
        <f t="shared" si="10"/>
        <v>8.8390242851485619E-3</v>
      </c>
      <c r="BQ19" s="22">
        <f t="shared" si="10"/>
        <v>8.9184874159230765E-3</v>
      </c>
      <c r="BR19" s="22">
        <f t="shared" si="10"/>
        <v>9.0079648438918056E-3</v>
      </c>
      <c r="BS19" s="22">
        <f t="shared" si="10"/>
        <v>9.1088970153748207E-3</v>
      </c>
      <c r="BT19" s="22">
        <f t="shared" si="10"/>
        <v>9.2229581827154E-3</v>
      </c>
      <c r="BU19" s="22">
        <f t="shared" si="10"/>
        <v>9.3521015388506115E-3</v>
      </c>
      <c r="BV19" s="22">
        <f t="shared" si="10"/>
        <v>9.4986149060638791E-3</v>
      </c>
      <c r="BW19" s="22">
        <f t="shared" si="10"/>
        <v>9.665189910102668E-3</v>
      </c>
      <c r="BX19" s="22">
        <f t="shared" si="10"/>
        <v>9.8550085102154916E-3</v>
      </c>
      <c r="BY19" s="22">
        <f t="shared" si="7"/>
        <v>1.007185203606817E-2</v>
      </c>
      <c r="BZ19" s="22">
        <f t="shared" si="7"/>
        <v>1.0320239642896493E-2</v>
      </c>
      <c r="CA19" s="22">
        <f t="shared" si="7"/>
        <v>1.0605605538737291E-2</v>
      </c>
      <c r="CB19" s="22">
        <f t="shared" si="7"/>
        <v>1.0934527759177373E-2</v>
      </c>
      <c r="CC19" s="22">
        <f t="shared" si="7"/>
        <v>1.1315026107165992E-2</v>
      </c>
      <c r="CD19" s="22">
        <f t="shared" si="7"/>
        <v>1.1756953801643247E-2</v>
      </c>
      <c r="CE19" s="22">
        <f t="shared" si="7"/>
        <v>1.2272517398935295E-2</v>
      </c>
      <c r="CF19" s="22">
        <f t="shared" si="7"/>
        <v>1.2876974221875861E-2</v>
      </c>
      <c r="CG19" s="22">
        <f t="shared" si="7"/>
        <v>1.3589578286124483E-2</v>
      </c>
      <c r="CH19" s="22">
        <f t="shared" si="7"/>
        <v>1.4434878407363341E-2</v>
      </c>
      <c r="CI19" s="22">
        <f t="shared" si="7"/>
        <v>1.5444522012871541E-2</v>
      </c>
      <c r="CJ19" s="22">
        <f t="shared" si="7"/>
        <v>1.66597953151085E-2</v>
      </c>
      <c r="CK19" s="22">
        <f t="shared" si="7"/>
        <v>1.8135251814166364E-2</v>
      </c>
      <c r="CL19" s="22">
        <f t="shared" si="7"/>
        <v>1.9943975169420265E-2</v>
      </c>
      <c r="CM19" s="22">
        <f t="shared" si="7"/>
        <v>2.2185338672893545E-2</v>
      </c>
      <c r="CN19" s="22">
        <f t="shared" si="12"/>
        <v>2.4996648824113267E-2</v>
      </c>
      <c r="CO19" s="22">
        <f t="shared" si="12"/>
        <v>2.8570951417175389E-2</v>
      </c>
      <c r="CP19" s="22">
        <f t="shared" si="12"/>
        <v>3.3184823620770243E-2</v>
      </c>
      <c r="CQ19" s="22">
        <f t="shared" si="12"/>
        <v>3.9242719746062818E-2</v>
      </c>
      <c r="CR19" s="22">
        <f t="shared" si="12"/>
        <v>4.7349438833605553E-2</v>
      </c>
      <c r="CS19" s="22">
        <f t="shared" si="12"/>
        <v>5.8431648278228186E-2</v>
      </c>
      <c r="CT19" s="22">
        <f t="shared" si="12"/>
        <v>7.3947469238692429E-2</v>
      </c>
      <c r="CU19" s="22">
        <f t="shared" si="12"/>
        <v>9.6259132682720364E-2</v>
      </c>
      <c r="CV19" s="22">
        <f t="shared" si="12"/>
        <v>0.12931796961530792</v>
      </c>
      <c r="CW19" s="22">
        <f t="shared" si="12"/>
        <v>0.17997000000002791</v>
      </c>
    </row>
    <row r="20" spans="1:101">
      <c r="A20" s="22">
        <v>18</v>
      </c>
      <c r="B20" s="32" t="str">
        <f>データファイル用!$B21</f>
        <v>MEWS Brick V - Concrete Brick</v>
      </c>
      <c r="C20" s="32">
        <f>データファイル用!K21</f>
        <v>1</v>
      </c>
      <c r="D20" s="32">
        <f>データファイル用!L21</f>
        <v>5.5659E-2</v>
      </c>
      <c r="E20" s="32">
        <f>データファイル用!M21</f>
        <v>0.66147999999999996</v>
      </c>
      <c r="F20" s="32">
        <f>データファイル用!N21</f>
        <v>-0.79276999999999997</v>
      </c>
      <c r="G20" s="32">
        <f>データファイル用!O21</f>
        <v>38.186999999999998</v>
      </c>
      <c r="H20" s="32">
        <f>データファイル用!P21</f>
        <v>0</v>
      </c>
      <c r="I20" s="35">
        <f>データファイル用!Q21</f>
        <v>0</v>
      </c>
      <c r="J20" s="32">
        <f t="shared" si="2"/>
        <v>3.5860264151172189E-2</v>
      </c>
      <c r="K20" s="32">
        <f t="shared" si="3"/>
        <v>0</v>
      </c>
      <c r="L20" s="53" t="str">
        <f t="shared" si="4"/>
        <v>N/A</v>
      </c>
      <c r="M20" s="22">
        <f t="shared" si="5"/>
        <v>0</v>
      </c>
      <c r="N20" s="22">
        <f t="shared" si="5"/>
        <v>1.8941095091666951E-3</v>
      </c>
      <c r="O20" s="22">
        <f t="shared" si="5"/>
        <v>2.9959213363312089E-3</v>
      </c>
      <c r="P20" s="22">
        <f t="shared" si="5"/>
        <v>3.9175202674047119E-3</v>
      </c>
      <c r="Q20" s="22">
        <f t="shared" si="5"/>
        <v>4.7386619464432752E-3</v>
      </c>
      <c r="R20" s="22">
        <f t="shared" si="5"/>
        <v>5.4923697036409549E-3</v>
      </c>
      <c r="S20" s="22">
        <f t="shared" si="5"/>
        <v>6.1963590266706234E-3</v>
      </c>
      <c r="T20" s="22">
        <f t="shared" si="5"/>
        <v>6.861523197067676E-3</v>
      </c>
      <c r="U20" s="22">
        <f t="shared" si="5"/>
        <v>7.495162429787882E-3</v>
      </c>
      <c r="V20" s="22">
        <f t="shared" si="5"/>
        <v>8.1024697733968476E-3</v>
      </c>
      <c r="W20" s="22">
        <f t="shared" si="5"/>
        <v>8.6873053023192003E-3</v>
      </c>
      <c r="X20" s="22">
        <f t="shared" si="5"/>
        <v>9.2526368626481368E-3</v>
      </c>
      <c r="Y20" s="22">
        <f t="shared" si="5"/>
        <v>9.8008083089863446E-3</v>
      </c>
      <c r="Z20" s="22">
        <f t="shared" si="5"/>
        <v>1.0333711511721666E-2</v>
      </c>
      <c r="AA20" s="22">
        <f t="shared" si="5"/>
        <v>1.0852901401075985E-2</v>
      </c>
      <c r="AB20" s="22">
        <f t="shared" si="5"/>
        <v>1.1359675629081828E-2</v>
      </c>
      <c r="AC20" s="22">
        <f t="shared" si="8"/>
        <v>1.1855131360672233E-2</v>
      </c>
      <c r="AD20" s="22">
        <f t="shared" si="8"/>
        <v>1.2340206776094707E-2</v>
      </c>
      <c r="AE20" s="22">
        <f t="shared" si="8"/>
        <v>1.2815712055517684E-2</v>
      </c>
      <c r="AF20" s="22">
        <f t="shared" si="8"/>
        <v>1.3282352945983514E-2</v>
      </c>
      <c r="AG20" s="22">
        <f t="shared" si="8"/>
        <v>1.3740748982297001E-2</v>
      </c>
      <c r="AH20" s="22">
        <f t="shared" si="8"/>
        <v>1.419144778044332E-2</v>
      </c>
      <c r="AI20" s="22">
        <f t="shared" si="8"/>
        <v>1.4634936396221409E-2</v>
      </c>
      <c r="AJ20" s="22">
        <f t="shared" si="8"/>
        <v>1.5071650457261044E-2</v>
      </c>
      <c r="AK20" s="22">
        <f t="shared" si="8"/>
        <v>1.5501981582425984E-2</v>
      </c>
      <c r="AL20" s="22">
        <f t="shared" si="8"/>
        <v>1.5926283467538743E-2</v>
      </c>
      <c r="AM20" s="22">
        <f t="shared" si="8"/>
        <v>1.6344876920780228E-2</v>
      </c>
      <c r="AN20" s="22">
        <f t="shared" si="8"/>
        <v>1.675805406246034E-2</v>
      </c>
      <c r="AO20" s="22">
        <f t="shared" si="8"/>
        <v>1.7166081854015056E-2</v>
      </c>
      <c r="AP20" s="22">
        <f t="shared" si="8"/>
        <v>1.7569205085045655E-2</v>
      </c>
      <c r="AQ20" s="22">
        <f t="shared" si="8"/>
        <v>1.7967648922788914E-2</v>
      </c>
      <c r="AR20" s="22">
        <f t="shared" si="8"/>
        <v>1.8361621117665778E-2</v>
      </c>
      <c r="AS20" s="22">
        <f t="shared" si="9"/>
        <v>1.8751313973074096E-2</v>
      </c>
      <c r="AT20" s="22">
        <f t="shared" si="9"/>
        <v>1.9136906263166883E-2</v>
      </c>
      <c r="AU20" s="22">
        <f t="shared" si="9"/>
        <v>1.9518565517393439E-2</v>
      </c>
      <c r="AV20" s="22">
        <f t="shared" si="9"/>
        <v>1.9896451742131577E-2</v>
      </c>
      <c r="AW20" s="22">
        <f t="shared" si="9"/>
        <v>2.0270725366413299E-2</v>
      </c>
      <c r="AX20" s="22">
        <f t="shared" si="9"/>
        <v>2.0641566569847534E-2</v>
      </c>
      <c r="AY20" s="22">
        <f t="shared" si="9"/>
        <v>2.1009223968264608E-2</v>
      </c>
      <c r="AZ20" s="22">
        <f t="shared" si="9"/>
        <v>2.1374136723167764E-2</v>
      </c>
      <c r="BA20" s="22">
        <f t="shared" si="9"/>
        <v>2.17372355953931E-2</v>
      </c>
      <c r="BB20" s="22">
        <f t="shared" si="9"/>
        <v>2.2100670135905415E-2</v>
      </c>
      <c r="BC20" s="22">
        <f t="shared" si="9"/>
        <v>2.2469529918185776E-2</v>
      </c>
      <c r="BD20" s="22">
        <f t="shared" si="9"/>
        <v>2.2855845072238052E-2</v>
      </c>
      <c r="BE20" s="22">
        <f t="shared" si="9"/>
        <v>2.3287757422072734E-2</v>
      </c>
      <c r="BF20" s="22">
        <f t="shared" si="9"/>
        <v>2.3830449428879026E-2</v>
      </c>
      <c r="BG20" s="22">
        <f t="shared" si="9"/>
        <v>2.4634593741022108E-2</v>
      </c>
      <c r="BH20" s="22">
        <f t="shared" si="9"/>
        <v>2.6054382313003725E-2</v>
      </c>
      <c r="BI20" s="22">
        <f t="shared" si="10"/>
        <v>2.8969653908389029E-2</v>
      </c>
      <c r="BJ20" s="22">
        <f t="shared" si="10"/>
        <v>2.9186368997612608E-2</v>
      </c>
      <c r="BK20" s="22">
        <f t="shared" si="10"/>
        <v>2.9412532770634516E-2</v>
      </c>
      <c r="BL20" s="22">
        <f t="shared" si="10"/>
        <v>2.9648642834824542E-2</v>
      </c>
      <c r="BM20" s="22">
        <f t="shared" si="10"/>
        <v>2.9895227536151349E-2</v>
      </c>
      <c r="BN20" s="22">
        <f t="shared" si="10"/>
        <v>3.0152848235656227E-2</v>
      </c>
      <c r="BO20" s="22">
        <f t="shared" si="10"/>
        <v>3.0422101784484231E-2</v>
      </c>
      <c r="BP20" s="22">
        <f t="shared" si="10"/>
        <v>3.0703623217273539E-2</v>
      </c>
      <c r="BQ20" s="22">
        <f t="shared" si="10"/>
        <v>3.0998088685914506E-2</v>
      </c>
      <c r="BR20" s="22">
        <f t="shared" si="10"/>
        <v>3.1306218658172839E-2</v>
      </c>
      <c r="BS20" s="22">
        <f t="shared" si="10"/>
        <v>3.1628781408464625E-2</v>
      </c>
      <c r="BT20" s="22">
        <f t="shared" si="10"/>
        <v>3.196659683121577E-2</v>
      </c>
      <c r="BU20" s="22">
        <f t="shared" si="10"/>
        <v>3.2320540610784279E-2</v>
      </c>
      <c r="BV20" s="22">
        <f t="shared" si="10"/>
        <v>3.2691548785926249E-2</v>
      </c>
      <c r="BW20" s="22">
        <f t="shared" si="10"/>
        <v>3.3080622751310053E-2</v>
      </c>
      <c r="BX20" s="22">
        <f t="shared" si="10"/>
        <v>3.348883474370188E-2</v>
      </c>
      <c r="BY20" s="22">
        <f t="shared" si="7"/>
        <v>3.3917333866246319E-2</v>
      </c>
      <c r="BZ20" s="22">
        <f t="shared" si="7"/>
        <v>3.4367352710846268E-2</v>
      </c>
      <c r="CA20" s="22">
        <f t="shared" si="7"/>
        <v>3.4840214646122664E-2</v>
      </c>
      <c r="CB20" s="22">
        <f t="shared" si="7"/>
        <v>3.5337341846939964E-2</v>
      </c>
      <c r="CC20" s="22">
        <f t="shared" si="7"/>
        <v>3.5860264151172487E-2</v>
      </c>
      <c r="CD20" s="22">
        <f t="shared" si="7"/>
        <v>3.6410628840440641E-2</v>
      </c>
      <c r="CE20" s="22">
        <f t="shared" si="7"/>
        <v>3.6990211454174256E-2</v>
      </c>
      <c r="CF20" s="22">
        <f t="shared" si="7"/>
        <v>3.7600927760809054E-2</v>
      </c>
      <c r="CG20" s="22">
        <f t="shared" si="7"/>
        <v>3.8244847026477818E-2</v>
      </c>
      <c r="CH20" s="22">
        <f t="shared" si="7"/>
        <v>3.8924206740557014E-2</v>
      </c>
      <c r="CI20" s="22">
        <f t="shared" si="7"/>
        <v>3.9641428979266029E-2</v>
      </c>
      <c r="CJ20" s="22">
        <f t="shared" si="7"/>
        <v>4.0399138613653927E-2</v>
      </c>
      <c r="CK20" s="22">
        <f t="shared" si="7"/>
        <v>4.1200183597292987E-2</v>
      </c>
      <c r="CL20" s="22">
        <f t="shared" si="7"/>
        <v>4.2047657602472324E-2</v>
      </c>
      <c r="CM20" s="22">
        <f t="shared" si="7"/>
        <v>4.294492531240951E-2</v>
      </c>
      <c r="CN20" s="22">
        <f t="shared" si="12"/>
        <v>4.3895650721872431E-2</v>
      </c>
      <c r="CO20" s="22">
        <f t="shared" si="12"/>
        <v>4.4903828850694882E-2</v>
      </c>
      <c r="CP20" s="22">
        <f t="shared" si="12"/>
        <v>4.5973821335246072E-2</v>
      </c>
      <c r="CQ20" s="22">
        <f t="shared" si="12"/>
        <v>4.7110396433484275E-2</v>
      </c>
      <c r="CR20" s="22">
        <f t="shared" si="12"/>
        <v>4.8318774061590401E-2</v>
      </c>
      <c r="CS20" s="22">
        <f t="shared" si="12"/>
        <v>4.9604676576489197E-2</v>
      </c>
      <c r="CT20" s="22">
        <f t="shared" si="12"/>
        <v>5.0974386131402476E-2</v>
      </c>
      <c r="CU20" s="22">
        <f t="shared" si="12"/>
        <v>5.24348095640342E-2</v>
      </c>
      <c r="CV20" s="22">
        <f t="shared" si="12"/>
        <v>5.3993551932782997E-2</v>
      </c>
      <c r="CW20" s="22">
        <f t="shared" si="12"/>
        <v>5.5659000000000756E-2</v>
      </c>
    </row>
    <row r="21" spans="1:101">
      <c r="A21" s="22">
        <v>19</v>
      </c>
      <c r="B21" s="32" t="str">
        <f>データファイル用!$B22</f>
        <v>MEWS Brick VI - Calcium Silicate Brick</v>
      </c>
      <c r="C21" s="32">
        <f>データファイル用!K22</f>
        <v>1</v>
      </c>
      <c r="D21" s="32">
        <f>データファイル用!L22</f>
        <v>0.13921</v>
      </c>
      <c r="E21" s="32">
        <f>データファイル用!M22</f>
        <v>1.2864</v>
      </c>
      <c r="F21" s="32">
        <f>データファイル用!N22</f>
        <v>-0.90147999999999995</v>
      </c>
      <c r="G21" s="32">
        <f>データファイル用!O22</f>
        <v>77.748999999999995</v>
      </c>
      <c r="H21" s="32">
        <f>データファイル用!P22</f>
        <v>0</v>
      </c>
      <c r="I21" s="35">
        <f>データファイル用!Q22</f>
        <v>0</v>
      </c>
      <c r="J21" s="32">
        <f t="shared" si="2"/>
        <v>6.6415110842094047E-2</v>
      </c>
      <c r="K21" s="32">
        <f t="shared" si="3"/>
        <v>0</v>
      </c>
      <c r="L21" s="53" t="str">
        <f t="shared" si="4"/>
        <v>N/A</v>
      </c>
      <c r="M21" s="22">
        <f t="shared" si="5"/>
        <v>0</v>
      </c>
      <c r="N21" s="22">
        <f t="shared" si="5"/>
        <v>3.6864439094598913E-4</v>
      </c>
      <c r="O21" s="22">
        <f t="shared" si="5"/>
        <v>8.9919237763326021E-4</v>
      </c>
      <c r="P21" s="22">
        <f t="shared" si="5"/>
        <v>1.514873653358301E-3</v>
      </c>
      <c r="Q21" s="22">
        <f t="shared" si="5"/>
        <v>2.1932978009482807E-3</v>
      </c>
      <c r="R21" s="22">
        <f t="shared" si="5"/>
        <v>2.9225546699912001E-3</v>
      </c>
      <c r="S21" s="22">
        <f t="shared" si="5"/>
        <v>3.695059183409107E-3</v>
      </c>
      <c r="T21" s="22">
        <f t="shared" si="5"/>
        <v>4.505487083964285E-3</v>
      </c>
      <c r="U21" s="22">
        <f t="shared" si="5"/>
        <v>5.3498621243946651E-3</v>
      </c>
      <c r="V21" s="22">
        <f t="shared" si="5"/>
        <v>6.2250836904103298E-3</v>
      </c>
      <c r="W21" s="22">
        <f t="shared" si="5"/>
        <v>7.1286555472306144E-3</v>
      </c>
      <c r="X21" s="22">
        <f t="shared" si="5"/>
        <v>8.0585180040379321E-3</v>
      </c>
      <c r="Y21" s="22">
        <f t="shared" si="5"/>
        <v>9.0129380352135819E-3</v>
      </c>
      <c r="Z21" s="22">
        <f t="shared" si="5"/>
        <v>9.9904340848783572E-3</v>
      </c>
      <c r="AA21" s="22">
        <f t="shared" si="5"/>
        <v>1.0989722732603185E-2</v>
      </c>
      <c r="AB21" s="22">
        <f t="shared" si="5"/>
        <v>1.2009679731482977E-2</v>
      </c>
      <c r="AC21" s="22">
        <f t="shared" si="8"/>
        <v>1.3049310831232404E-2</v>
      </c>
      <c r="AD21" s="22">
        <f t="shared" si="8"/>
        <v>1.4107729462476333E-2</v>
      </c>
      <c r="AE21" s="22">
        <f t="shared" si="8"/>
        <v>1.5184139354954154E-2</v>
      </c>
      <c r="AF21" s="22">
        <f t="shared" si="8"/>
        <v>1.627782078203897E-2</v>
      </c>
      <c r="AG21" s="22">
        <f t="shared" si="8"/>
        <v>1.7388119521888991E-2</v>
      </c>
      <c r="AH21" s="22">
        <f t="shared" si="8"/>
        <v>1.8514437888310638E-2</v>
      </c>
      <c r="AI21" s="22">
        <f t="shared" si="8"/>
        <v>1.9656227362246679E-2</v>
      </c>
      <c r="AJ21" s="22">
        <f t="shared" si="8"/>
        <v>2.0812982477810184E-2</v>
      </c>
      <c r="AK21" s="22">
        <f t="shared" si="8"/>
        <v>2.1984235703541043E-2</v>
      </c>
      <c r="AL21" s="22">
        <f t="shared" si="8"/>
        <v>2.3169553121828956E-2</v>
      </c>
      <c r="AM21" s="22">
        <f t="shared" si="8"/>
        <v>2.436853075484963E-2</v>
      </c>
      <c r="AN21" s="22">
        <f t="shared" si="8"/>
        <v>2.5580791418944218E-2</v>
      </c>
      <c r="AO21" s="22">
        <f t="shared" si="8"/>
        <v>2.6805982014541419E-2</v>
      </c>
      <c r="AP21" s="22">
        <f t="shared" si="8"/>
        <v>2.8043771177810973E-2</v>
      </c>
      <c r="AQ21" s="22">
        <f t="shared" si="8"/>
        <v>2.9293847234877237E-2</v>
      </c>
      <c r="AR21" s="22">
        <f t="shared" si="8"/>
        <v>3.0555916410762871E-2</v>
      </c>
      <c r="AS21" s="22">
        <f t="shared" si="9"/>
        <v>3.1829701254102331E-2</v>
      </c>
      <c r="AT21" s="22">
        <f t="shared" si="9"/>
        <v>3.3114939245662549E-2</v>
      </c>
      <c r="AU21" s="22">
        <f t="shared" si="9"/>
        <v>3.4411381564274438E-2</v>
      </c>
      <c r="AV21" s="22">
        <f t="shared" si="9"/>
        <v>3.5718791988251931E-2</v>
      </c>
      <c r="AW21" s="22">
        <f t="shared" si="9"/>
        <v>3.7036945914079904E-2</v>
      </c>
      <c r="AX21" s="22">
        <f t="shared" si="9"/>
        <v>3.836562947794115E-2</v>
      </c>
      <c r="AY21" s="22">
        <f t="shared" si="9"/>
        <v>3.9704638774703559E-2</v>
      </c>
      <c r="AZ21" s="22">
        <f t="shared" si="9"/>
        <v>4.1053779219582497E-2</v>
      </c>
      <c r="BA21" s="22">
        <f t="shared" si="9"/>
        <v>4.2412865436171822E-2</v>
      </c>
      <c r="BB21" s="22">
        <f t="shared" si="9"/>
        <v>4.3781724275693525E-2</v>
      </c>
      <c r="BC21" s="22">
        <f t="shared" si="9"/>
        <v>4.5160217523256024E-2</v>
      </c>
      <c r="BD21" s="22">
        <f t="shared" si="9"/>
        <v>4.6548384638315864E-2</v>
      </c>
      <c r="BE21" s="22">
        <f t="shared" si="9"/>
        <v>4.7947287975825183E-2</v>
      </c>
      <c r="BF21" s="22">
        <f t="shared" si="9"/>
        <v>4.9363805904297883E-2</v>
      </c>
      <c r="BG21" s="22">
        <f t="shared" si="9"/>
        <v>5.083678799094949E-2</v>
      </c>
      <c r="BH21" s="22">
        <f t="shared" si="9"/>
        <v>5.2575313539297751E-2</v>
      </c>
      <c r="BI21" s="22">
        <f t="shared" si="10"/>
        <v>5.5684918451305049E-2</v>
      </c>
      <c r="BJ21" s="22">
        <f t="shared" si="10"/>
        <v>5.5937156594434025E-2</v>
      </c>
      <c r="BK21" s="22">
        <f t="shared" si="10"/>
        <v>5.6205317692558029E-2</v>
      </c>
      <c r="BL21" s="22">
        <f t="shared" si="10"/>
        <v>5.6490843916758328E-2</v>
      </c>
      <c r="BM21" s="22">
        <f t="shared" si="10"/>
        <v>5.6795316960283088E-2</v>
      </c>
      <c r="BN21" s="22">
        <f t="shared" si="10"/>
        <v>5.7120473171828105E-2</v>
      </c>
      <c r="BO21" s="22">
        <f t="shared" si="10"/>
        <v>5.7468220611177595E-2</v>
      </c>
      <c r="BP21" s="22">
        <f t="shared" si="10"/>
        <v>5.784065831610808E-2</v>
      </c>
      <c r="BQ21" s="22">
        <f t="shared" si="10"/>
        <v>5.8240098119687694E-2</v>
      </c>
      <c r="BR21" s="22">
        <f t="shared" si="10"/>
        <v>5.8669089417157122E-2</v>
      </c>
      <c r="BS21" s="22">
        <f t="shared" si="10"/>
        <v>5.9130447353584671E-2</v>
      </c>
      <c r="BT21" s="22">
        <f t="shared" si="10"/>
        <v>5.9627284990076142E-2</v>
      </c>
      <c r="BU21" s="22">
        <f t="shared" si="10"/>
        <v>6.0163050110762825E-2</v>
      </c>
      <c r="BV21" s="22">
        <f t="shared" si="10"/>
        <v>6.0741567459158832E-2</v>
      </c>
      <c r="BW21" s="22">
        <f t="shared" si="10"/>
        <v>6.1367087345874212E-2</v>
      </c>
      <c r="BX21" s="22">
        <f t="shared" si="10"/>
        <v>6.2044341756490602E-2</v>
      </c>
      <c r="BY21" s="22">
        <f t="shared" si="7"/>
        <v>6.2778609316727726E-2</v>
      </c>
      <c r="BZ21" s="22">
        <f t="shared" si="7"/>
        <v>6.357579075206525E-2</v>
      </c>
      <c r="CA21" s="22">
        <f t="shared" si="7"/>
        <v>6.4442496823726117E-2</v>
      </c>
      <c r="CB21" s="22">
        <f t="shared" si="7"/>
        <v>6.5386151148954408E-2</v>
      </c>
      <c r="CC21" s="22">
        <f t="shared" si="7"/>
        <v>6.6415110842094643E-2</v>
      </c>
      <c r="CD21" s="22">
        <f t="shared" si="7"/>
        <v>6.7538808571489681E-2</v>
      </c>
      <c r="CE21" s="22">
        <f t="shared" si="7"/>
        <v>6.8767920451110381E-2</v>
      </c>
      <c r="CF21" s="22">
        <f t="shared" si="7"/>
        <v>7.0114565221219033E-2</v>
      </c>
      <c r="CG21" s="22">
        <f t="shared" si="7"/>
        <v>7.1592541479520447E-2</v>
      </c>
      <c r="CH21" s="22">
        <f t="shared" si="7"/>
        <v>7.3217611382368999E-2</v>
      </c>
      <c r="CI21" s="22">
        <f t="shared" si="7"/>
        <v>7.5007841349308796E-2</v>
      </c>
      <c r="CJ21" s="22">
        <f t="shared" si="7"/>
        <v>7.6984013012537031E-2</v>
      </c>
      <c r="CK21" s="22">
        <f t="shared" si="7"/>
        <v>7.9170121141545674E-2</v>
      </c>
      <c r="CL21" s="22">
        <f t="shared" si="7"/>
        <v>8.1593979791906329E-2</v>
      </c>
      <c r="CM21" s="22">
        <f t="shared" si="7"/>
        <v>8.42879638136554E-2</v>
      </c>
      <c r="CN21" s="22">
        <f t="shared" si="12"/>
        <v>8.7289920568782972E-2</v>
      </c>
      <c r="CO21" s="22">
        <f t="shared" si="12"/>
        <v>9.0644296879019537E-2</v>
      </c>
      <c r="CP21" s="22">
        <f t="shared" si="12"/>
        <v>9.4403539723939417E-2</v>
      </c>
      <c r="CQ21" s="22">
        <f t="shared" si="12"/>
        <v>9.8629847243869362E-2</v>
      </c>
      <c r="CR21" s="22">
        <f t="shared" si="12"/>
        <v>0.10339737086449101</v>
      </c>
      <c r="CS21" s="22">
        <f t="shared" si="12"/>
        <v>0.10879500223855328</v>
      </c>
      <c r="CT21" s="22">
        <f t="shared" si="12"/>
        <v>0.1149299235923351</v>
      </c>
      <c r="CU21" s="22">
        <f t="shared" si="12"/>
        <v>0.1219321618447559</v>
      </c>
      <c r="CV21" s="22">
        <f t="shared" si="12"/>
        <v>0.1299604725896927</v>
      </c>
      <c r="CW21" s="22">
        <f t="shared" si="12"/>
        <v>0.13921000000000441</v>
      </c>
    </row>
    <row r="22" spans="1:101">
      <c r="A22" s="22">
        <v>20</v>
      </c>
      <c r="B22" s="32" t="str">
        <f>データファイル用!$B23</f>
        <v>MEWS Mortar 1-S</v>
      </c>
      <c r="C22" s="32">
        <f>データファイル用!K23</f>
        <v>1</v>
      </c>
      <c r="D22" s="32">
        <f>データファイル用!L23</f>
        <v>0.15826999999999999</v>
      </c>
      <c r="E22" s="32">
        <f>データファイル用!M23</f>
        <v>1.0751999999999999</v>
      </c>
      <c r="F22" s="32">
        <f>データファイル用!N23</f>
        <v>-0.71113000000000004</v>
      </c>
      <c r="G22" s="32">
        <f>データファイル用!O23</f>
        <v>41.234000000000002</v>
      </c>
      <c r="H22" s="32">
        <f>データファイル用!P23</f>
        <v>0</v>
      </c>
      <c r="I22" s="35">
        <f>データファイル用!Q23</f>
        <v>0</v>
      </c>
      <c r="J22" s="32">
        <f t="shared" si="2"/>
        <v>0.10360622992147434</v>
      </c>
      <c r="K22" s="32">
        <f t="shared" si="3"/>
        <v>0</v>
      </c>
      <c r="L22" s="53" t="str">
        <f t="shared" si="4"/>
        <v>N/A</v>
      </c>
      <c r="M22" s="22">
        <f t="shared" si="5"/>
        <v>0</v>
      </c>
      <c r="N22" s="22">
        <f t="shared" si="5"/>
        <v>1.1583137687391305E-3</v>
      </c>
      <c r="O22" s="22">
        <f t="shared" si="5"/>
        <v>2.4405834960628142E-3</v>
      </c>
      <c r="P22" s="22">
        <f t="shared" si="5"/>
        <v>3.7742180896780573E-3</v>
      </c>
      <c r="Q22" s="22">
        <f t="shared" si="5"/>
        <v>5.1423439503253173E-3</v>
      </c>
      <c r="R22" s="22">
        <f t="shared" si="5"/>
        <v>6.5367032186182013E-3</v>
      </c>
      <c r="S22" s="22">
        <f t="shared" si="5"/>
        <v>7.952330904463685E-3</v>
      </c>
      <c r="T22" s="22">
        <f t="shared" si="5"/>
        <v>9.385893702283132E-3</v>
      </c>
      <c r="U22" s="22">
        <f t="shared" si="5"/>
        <v>1.0834991446146702E-2</v>
      </c>
      <c r="V22" s="22">
        <f t="shared" si="5"/>
        <v>1.2297809602970548E-2</v>
      </c>
      <c r="W22" s="22">
        <f t="shared" si="5"/>
        <v>1.3772926148832814E-2</v>
      </c>
      <c r="X22" s="22">
        <f t="shared" si="5"/>
        <v>1.5259195382248562E-2</v>
      </c>
      <c r="Y22" s="22">
        <f t="shared" si="5"/>
        <v>1.6755673708162045E-2</v>
      </c>
      <c r="Z22" s="22">
        <f t="shared" si="5"/>
        <v>1.8261569950620501E-2</v>
      </c>
      <c r="AA22" s="22">
        <f t="shared" si="5"/>
        <v>1.9776210802127769E-2</v>
      </c>
      <c r="AB22" s="22">
        <f t="shared" si="5"/>
        <v>2.1299016035543527E-2</v>
      </c>
      <c r="AC22" s="22">
        <f t="shared" si="8"/>
        <v>2.2829480247163435E-2</v>
      </c>
      <c r="AD22" s="22">
        <f t="shared" si="8"/>
        <v>2.4367159106149037E-2</v>
      </c>
      <c r="AE22" s="22">
        <f t="shared" si="8"/>
        <v>2.5911658796393254E-2</v>
      </c>
      <c r="AF22" s="22">
        <f t="shared" si="8"/>
        <v>2.7462627772266445E-2</v>
      </c>
      <c r="AG22" s="22">
        <f t="shared" si="8"/>
        <v>2.9019750225298173E-2</v>
      </c>
      <c r="AH22" s="22">
        <f t="shared" si="8"/>
        <v>3.0582740838445897E-2</v>
      </c>
      <c r="AI22" s="22">
        <f t="shared" si="8"/>
        <v>3.2151340524642538E-2</v>
      </c>
      <c r="AJ22" s="22">
        <f t="shared" si="8"/>
        <v>3.3725312928376786E-2</v>
      </c>
      <c r="AK22" s="22">
        <f t="shared" si="8"/>
        <v>3.5304441526297581E-2</v>
      </c>
      <c r="AL22" s="22">
        <f t="shared" si="8"/>
        <v>3.6888527203485573E-2</v>
      </c>
      <c r="AM22" s="22">
        <f t="shared" si="8"/>
        <v>3.8477386211387049E-2</v>
      </c>
      <c r="AN22" s="22">
        <f t="shared" si="8"/>
        <v>4.0070848434942623E-2</v>
      </c>
      <c r="AO22" s="22">
        <f t="shared" si="8"/>
        <v>4.1668755912563603E-2</v>
      </c>
      <c r="AP22" s="22">
        <f t="shared" si="8"/>
        <v>4.3270961565216516E-2</v>
      </c>
      <c r="AQ22" s="22">
        <f t="shared" si="8"/>
        <v>4.4877328102226929E-2</v>
      </c>
      <c r="AR22" s="22">
        <f t="shared" si="8"/>
        <v>4.6487727086244261E-2</v>
      </c>
      <c r="AS22" s="22">
        <f t="shared" si="9"/>
        <v>4.8102038171557962E-2</v>
      </c>
      <c r="AT22" s="22">
        <f t="shared" si="9"/>
        <v>4.972014861925423E-2</v>
      </c>
      <c r="AU22" s="22">
        <f t="shared" si="9"/>
        <v>5.1341953460717883E-2</v>
      </c>
      <c r="AV22" s="22">
        <f t="shared" si="9"/>
        <v>5.2967357478510273E-2</v>
      </c>
      <c r="AW22" s="22">
        <f t="shared" si="9"/>
        <v>5.4596282484451947E-2</v>
      </c>
      <c r="AX22" s="22">
        <f t="shared" si="9"/>
        <v>5.6228689873896245E-2</v>
      </c>
      <c r="AY22" s="22">
        <f t="shared" si="9"/>
        <v>5.7864646187178889E-2</v>
      </c>
      <c r="AZ22" s="22">
        <f t="shared" si="9"/>
        <v>5.9504506562731665E-2</v>
      </c>
      <c r="BA22" s="22">
        <f t="shared" si="9"/>
        <v>6.1149412957261125E-2</v>
      </c>
      <c r="BB22" s="22">
        <f t="shared" si="9"/>
        <v>6.2802611929976104E-2</v>
      </c>
      <c r="BC22" s="22">
        <f t="shared" si="9"/>
        <v>6.4472856841418721E-2</v>
      </c>
      <c r="BD22" s="22">
        <f t="shared" si="9"/>
        <v>6.618300100899345E-2</v>
      </c>
      <c r="BE22" s="22">
        <f t="shared" si="9"/>
        <v>6.7991304179485679E-2</v>
      </c>
      <c r="BF22" s="22">
        <f t="shared" si="9"/>
        <v>7.0043637887194796E-2</v>
      </c>
      <c r="BG22" s="22">
        <f t="shared" si="9"/>
        <v>7.2701698413490626E-2</v>
      </c>
      <c r="BH22" s="22">
        <f t="shared" si="9"/>
        <v>7.6868346714045396E-2</v>
      </c>
      <c r="BI22" s="22">
        <f t="shared" si="10"/>
        <v>8.4892535185356166E-2</v>
      </c>
      <c r="BJ22" s="22">
        <f t="shared" si="10"/>
        <v>8.5481530074959913E-2</v>
      </c>
      <c r="BK22" s="22">
        <f t="shared" si="10"/>
        <v>8.6095839473125546E-2</v>
      </c>
      <c r="BL22" s="22">
        <f t="shared" si="10"/>
        <v>8.6736844616828235E-2</v>
      </c>
      <c r="BM22" s="22">
        <f t="shared" si="10"/>
        <v>8.7406013591381893E-2</v>
      </c>
      <c r="BN22" s="22">
        <f t="shared" si="10"/>
        <v>8.8104907832045762E-2</v>
      </c>
      <c r="BO22" s="22">
        <f t="shared" si="10"/>
        <v>8.8835189201041692E-2</v>
      </c>
      <c r="BP22" s="22">
        <f t="shared" si="10"/>
        <v>8.9598627698515648E-2</v>
      </c>
      <c r="BQ22" s="22">
        <f t="shared" si="10"/>
        <v>9.0397109872658796E-2</v>
      </c>
      <c r="BR22" s="22">
        <f t="shared" si="10"/>
        <v>9.1232648001730657E-2</v>
      </c>
      <c r="BS22" s="22">
        <f t="shared" si="10"/>
        <v>9.2107390129215289E-2</v>
      </c>
      <c r="BT22" s="22">
        <f t="shared" si="10"/>
        <v>9.3023631042926644E-2</v>
      </c>
      <c r="BU22" s="22">
        <f t="shared" si="10"/>
        <v>9.398382429971551E-2</v>
      </c>
      <c r="BV22" s="22">
        <f t="shared" si="10"/>
        <v>9.4990595409698342E-2</v>
      </c>
      <c r="BW22" s="22">
        <f t="shared" si="10"/>
        <v>9.6046756307835129E-2</v>
      </c>
      <c r="BX22" s="22">
        <f t="shared" si="10"/>
        <v>9.7155321256467475E-2</v>
      </c>
      <c r="BY22" s="22">
        <f t="shared" si="7"/>
        <v>9.8319524340370612E-2</v>
      </c>
      <c r="BZ22" s="22">
        <f t="shared" si="7"/>
        <v>9.9542838736294742E-2</v>
      </c>
      <c r="CA22" s="22">
        <f t="shared" si="7"/>
        <v>0.10082899796224923</v>
      </c>
      <c r="CB22" s="22">
        <f t="shared" si="7"/>
        <v>0.10218201933835591</v>
      </c>
      <c r="CC22" s="22">
        <f t="shared" si="7"/>
        <v>0.10360622992147514</v>
      </c>
      <c r="CD22" s="22">
        <f t="shared" si="7"/>
        <v>0.10510629521058895</v>
      </c>
      <c r="CE22" s="22">
        <f t="shared" si="7"/>
        <v>0.1066872509598083</v>
      </c>
      <c r="CF22" s="22">
        <f t="shared" si="7"/>
        <v>0.10835453848167673</v>
      </c>
      <c r="CG22" s="22">
        <f t="shared" si="7"/>
        <v>0.11011404387613408</v>
      </c>
      <c r="CH22" s="22">
        <f t="shared" si="7"/>
        <v>0.11197214168121591</v>
      </c>
      <c r="CI22" s="22">
        <f t="shared" si="7"/>
        <v>0.11393574351163475</v>
      </c>
      <c r="CJ22" s="22">
        <f t="shared" si="7"/>
        <v>0.11601235233239607</v>
      </c>
      <c r="CK22" s="22">
        <f t="shared" si="7"/>
        <v>0.11821012310841914</v>
      </c>
      <c r="CL22" s="22">
        <f t="shared" si="7"/>
        <v>0.12053793067997179</v>
      </c>
      <c r="CM22" s="22">
        <f t="shared" si="7"/>
        <v>0.12300544584022906</v>
      </c>
      <c r="CN22" s="22">
        <f t="shared" si="12"/>
        <v>0.12562322073856078</v>
      </c>
      <c r="CO22" s="22">
        <f t="shared" si="12"/>
        <v>0.12840278490498522</v>
      </c>
      <c r="CP22" s="22">
        <f t="shared" si="12"/>
        <v>0.1313567533920684</v>
      </c>
      <c r="CQ22" s="22">
        <f t="shared" si="12"/>
        <v>0.13449894876575738</v>
      </c>
      <c r="CR22" s="22">
        <f t="shared" si="12"/>
        <v>0.13784453895264553</v>
      </c>
      <c r="CS22" s="22">
        <f t="shared" si="12"/>
        <v>0.14141019327571797</v>
      </c>
      <c r="CT22" s="22">
        <f t="shared" si="12"/>
        <v>0.14521425939304913</v>
      </c>
      <c r="CU22" s="22">
        <f t="shared" si="12"/>
        <v>0.14927696430550527</v>
      </c>
      <c r="CV22" s="22">
        <f t="shared" si="12"/>
        <v>0.15362064313391458</v>
      </c>
      <c r="CW22" s="22">
        <f t="shared" si="12"/>
        <v>0.1582700000000021</v>
      </c>
    </row>
    <row r="23" spans="1:101">
      <c r="A23" s="22">
        <v>21</v>
      </c>
      <c r="B23" s="32" t="str">
        <f>データファイル用!$B24</f>
        <v>MEWS Mortar 1-N</v>
      </c>
      <c r="C23" s="32">
        <f>データファイル用!K24</f>
        <v>1</v>
      </c>
      <c r="D23" s="32">
        <f>データファイル用!L24</f>
        <v>0.15784999999999999</v>
      </c>
      <c r="E23" s="32">
        <f>データファイル用!M24</f>
        <v>1.1507000000000001</v>
      </c>
      <c r="F23" s="32">
        <f>データファイル用!N24</f>
        <v>-0.74719999999999998</v>
      </c>
      <c r="G23" s="32">
        <f>データファイル用!O24</f>
        <v>25.733000000000001</v>
      </c>
      <c r="H23" s="32">
        <f>データファイル用!P24</f>
        <v>0</v>
      </c>
      <c r="I23" s="35">
        <f>データファイル用!Q24</f>
        <v>0</v>
      </c>
      <c r="J23" s="32">
        <f t="shared" si="2"/>
        <v>0.11391797612445384</v>
      </c>
      <c r="K23" s="32">
        <f t="shared" si="3"/>
        <v>0</v>
      </c>
      <c r="L23" s="53" t="str">
        <f t="shared" si="4"/>
        <v>N/A</v>
      </c>
      <c r="M23" s="22">
        <f t="shared" si="5"/>
        <v>0</v>
      </c>
      <c r="N23" s="22">
        <f t="shared" si="5"/>
        <v>8.293444932901316E-4</v>
      </c>
      <c r="O23" s="22">
        <f t="shared" si="5"/>
        <v>1.8413238623661984E-3</v>
      </c>
      <c r="P23" s="22">
        <f t="shared" si="5"/>
        <v>2.9360158323520989E-3</v>
      </c>
      <c r="Q23" s="22">
        <f t="shared" si="5"/>
        <v>4.088136586846639E-3</v>
      </c>
      <c r="R23" s="22">
        <f t="shared" si="5"/>
        <v>5.2849362060672436E-3</v>
      </c>
      <c r="S23" s="22">
        <f t="shared" si="5"/>
        <v>6.5185891461675459E-3</v>
      </c>
      <c r="T23" s="22">
        <f t="shared" si="5"/>
        <v>7.7837571919645967E-3</v>
      </c>
      <c r="U23" s="22">
        <f t="shared" si="5"/>
        <v>9.0765460081732603E-3</v>
      </c>
      <c r="V23" s="22">
        <f t="shared" si="5"/>
        <v>1.0393978663347276E-2</v>
      </c>
      <c r="W23" s="22">
        <f t="shared" si="5"/>
        <v>1.1733699597750119E-2</v>
      </c>
      <c r="X23" s="22">
        <f t="shared" si="5"/>
        <v>1.3093794727599773E-2</v>
      </c>
      <c r="Y23" s="22">
        <f t="shared" si="5"/>
        <v>1.4472675517724362E-2</v>
      </c>
      <c r="Z23" s="22">
        <f t="shared" si="5"/>
        <v>1.586900075708015E-2</v>
      </c>
      <c r="AA23" s="22">
        <f t="shared" si="5"/>
        <v>1.7281621777664638E-2</v>
      </c>
      <c r="AB23" s="22">
        <f t="shared" si="5"/>
        <v>1.8709542897460862E-2</v>
      </c>
      <c r="AC23" s="22">
        <f t="shared" si="8"/>
        <v>2.0151892112304282E-2</v>
      </c>
      <c r="AD23" s="22">
        <f t="shared" si="8"/>
        <v>2.1607898900157015E-2</v>
      </c>
      <c r="AE23" s="22">
        <f t="shared" si="8"/>
        <v>2.3076877091056772E-2</v>
      </c>
      <c r="AF23" s="22">
        <f t="shared" si="8"/>
        <v>2.4558211427063582E-2</v>
      </c>
      <c r="AG23" s="22">
        <f t="shared" si="8"/>
        <v>2.6051346863581584E-2</v>
      </c>
      <c r="AH23" s="22">
        <f t="shared" si="8"/>
        <v>2.7555779943238747E-2</v>
      </c>
      <c r="AI23" s="22">
        <f t="shared" si="8"/>
        <v>2.9071051761911243E-2</v>
      </c>
      <c r="AJ23" s="22">
        <f t="shared" si="8"/>
        <v>3.0596742177253562E-2</v>
      </c>
      <c r="AK23" s="22">
        <f t="shared" si="8"/>
        <v>3.2132465005259743E-2</v>
      </c>
      <c r="AL23" s="22">
        <f t="shared" si="8"/>
        <v>3.3677864026808023E-2</v>
      </c>
      <c r="AM23" s="22">
        <f t="shared" si="8"/>
        <v>3.5232609701264538E-2</v>
      </c>
      <c r="AN23" s="22">
        <f t="shared" si="8"/>
        <v>3.6796396583285609E-2</v>
      </c>
      <c r="AO23" s="22">
        <f t="shared" si="8"/>
        <v>3.8368941606869496E-2</v>
      </c>
      <c r="AP23" s="22">
        <f t="shared" si="8"/>
        <v>3.9949983723274435E-2</v>
      </c>
      <c r="AQ23" s="22">
        <f t="shared" si="8"/>
        <v>4.1539286022001312E-2</v>
      </c>
      <c r="AR23" s="22">
        <f t="shared" si="8"/>
        <v>4.3136642741113347E-2</v>
      </c>
      <c r="AS23" s="22">
        <f t="shared" si="9"/>
        <v>4.4741896071335059E-2</v>
      </c>
      <c r="AT23" s="22">
        <f t="shared" si="9"/>
        <v>4.6354972449842206E-2</v>
      </c>
      <c r="AU23" s="22">
        <f t="shared" si="9"/>
        <v>4.7975957046324257E-2</v>
      </c>
      <c r="AV23" s="22">
        <f t="shared" si="9"/>
        <v>4.9605241749291797E-2</v>
      </c>
      <c r="AW23" s="22">
        <f t="shared" si="9"/>
        <v>5.124381202813641E-2</v>
      </c>
      <c r="AX23" s="22">
        <f t="shared" si="9"/>
        <v>5.2893791611377514E-2</v>
      </c>
      <c r="AY23" s="22">
        <f t="shared" si="9"/>
        <v>5.4559458039714438E-2</v>
      </c>
      <c r="AZ23" s="22">
        <f t="shared" si="9"/>
        <v>5.6249105878584511E-2</v>
      </c>
      <c r="BA23" s="22">
        <f t="shared" si="9"/>
        <v>5.7978418080787679E-2</v>
      </c>
      <c r="BB23" s="22">
        <f t="shared" si="9"/>
        <v>5.9776500596685017E-2</v>
      </c>
      <c r="BC23" s="22">
        <f t="shared" si="9"/>
        <v>6.1696616494065673E-2</v>
      </c>
      <c r="BD23" s="22">
        <f t="shared" si="9"/>
        <v>6.3835295382456234E-2</v>
      </c>
      <c r="BE23" s="22">
        <f t="shared" si="9"/>
        <v>6.6366761110446718E-2</v>
      </c>
      <c r="BF23" s="22">
        <f t="shared" si="9"/>
        <v>6.9606743699222581E-2</v>
      </c>
      <c r="BG23" s="22">
        <f t="shared" si="9"/>
        <v>7.4136917047006409E-2</v>
      </c>
      <c r="BH23" s="22">
        <f t="shared" si="9"/>
        <v>8.1067124329024354E-2</v>
      </c>
      <c r="BI23" s="22">
        <f t="shared" si="10"/>
        <v>9.2649295152330474E-2</v>
      </c>
      <c r="BJ23" s="22">
        <f t="shared" si="10"/>
        <v>9.3420975777099055E-2</v>
      </c>
      <c r="BK23" s="22">
        <f t="shared" si="10"/>
        <v>9.4216395927958649E-2</v>
      </c>
      <c r="BL23" s="22">
        <f t="shared" si="10"/>
        <v>9.5036490992731176E-2</v>
      </c>
      <c r="BM23" s="22">
        <f t="shared" si="10"/>
        <v>9.5882240283359815E-2</v>
      </c>
      <c r="BN23" s="22">
        <f t="shared" si="10"/>
        <v>9.6754669496506532E-2</v>
      </c>
      <c r="BO23" s="22">
        <f t="shared" si="10"/>
        <v>9.7654853334226632E-2</v>
      </c>
      <c r="BP23" s="22">
        <f t="shared" si="10"/>
        <v>9.8583918296495113E-2</v>
      </c>
      <c r="BQ23" s="22">
        <f t="shared" si="10"/>
        <v>9.9543045658322615E-2</v>
      </c>
      <c r="BR23" s="22">
        <f t="shared" si="10"/>
        <v>0.10053347464524857</v>
      </c>
      <c r="BS23" s="22">
        <f t="shared" si="10"/>
        <v>0.10155650582214268</v>
      </c>
      <c r="BT23" s="22">
        <f t="shared" si="10"/>
        <v>0.10261350471149494</v>
      </c>
      <c r="BU23" s="22">
        <f t="shared" si="10"/>
        <v>0.10370590565873844</v>
      </c>
      <c r="BV23" s="22">
        <f t="shared" si="10"/>
        <v>0.10483521596363835</v>
      </c>
      <c r="BW23" s="22">
        <f t="shared" si="10"/>
        <v>0.10600302029840898</v>
      </c>
      <c r="BX23" s="22">
        <f t="shared" si="10"/>
        <v>0.10721098543500343</v>
      </c>
      <c r="BY23" s="22">
        <f t="shared" si="7"/>
        <v>0.10846086530597042</v>
      </c>
      <c r="BZ23" s="22">
        <f t="shared" si="7"/>
        <v>0.1097545064254094</v>
      </c>
      <c r="CA23" s="22">
        <f t="shared" si="7"/>
        <v>0.11109385369889788</v>
      </c>
      <c r="CB23" s="22">
        <f t="shared" si="7"/>
        <v>0.11248095665383363</v>
      </c>
      <c r="CC23" s="22">
        <f t="shared" si="7"/>
        <v>0.11391797612445466</v>
      </c>
      <c r="CD23" s="22">
        <f t="shared" si="7"/>
        <v>0.11540719142889774</v>
      </c>
      <c r="CE23" s="22">
        <f t="shared" si="7"/>
        <v>0.11695100807906159</v>
      </c>
      <c r="CF23" s="22">
        <f t="shared" si="7"/>
        <v>0.1185519660677852</v>
      </c>
      <c r="CG23" s="22">
        <f t="shared" si="7"/>
        <v>0.12021274878197709</v>
      </c>
      <c r="CH23" s="22">
        <f t="shared" si="7"/>
        <v>0.1219361925948704</v>
      </c>
      <c r="CI23" s="22">
        <f t="shared" si="7"/>
        <v>0.12372529719558856</v>
      </c>
      <c r="CJ23" s="22">
        <f t="shared" si="7"/>
        <v>0.12558323671972815</v>
      </c>
      <c r="CK23" s="22">
        <f t="shared" si="7"/>
        <v>0.12751337175076627</v>
      </c>
      <c r="CL23" s="22">
        <f t="shared" si="7"/>
        <v>0.12951926226883698</v>
      </c>
      <c r="CM23" s="22">
        <f t="shared" si="7"/>
        <v>0.13160468163087488</v>
      </c>
      <c r="CN23" s="22">
        <f t="shared" si="12"/>
        <v>0.13377363167436918</v>
      </c>
      <c r="CO23" s="22">
        <f t="shared" si="12"/>
        <v>0.13603035904610608</v>
      </c>
      <c r="CP23" s="22">
        <f t="shared" si="12"/>
        <v>0.13837937286740126</v>
      </c>
      <c r="CQ23" s="22">
        <f t="shared" si="12"/>
        <v>0.14082546385855529</v>
      </c>
      <c r="CR23" s="22">
        <f t="shared" si="12"/>
        <v>0.1433737250577353</v>
      </c>
      <c r="CS23" s="22">
        <f t="shared" si="12"/>
        <v>0.14602957428334246</v>
      </c>
      <c r="CT23" s="22">
        <f t="shared" si="12"/>
        <v>0.14879877850433695</v>
      </c>
      <c r="CU23" s="22">
        <f t="shared" si="12"/>
        <v>0.15168748030014603</v>
      </c>
      <c r="CV23" s="22">
        <f t="shared" si="12"/>
        <v>0.15470222661089356</v>
      </c>
      <c r="CW23" s="22">
        <f t="shared" si="12"/>
        <v>0.15785000000000141</v>
      </c>
    </row>
    <row r="24" spans="1:101">
      <c r="A24" s="22">
        <v>22</v>
      </c>
      <c r="B24" s="32" t="str">
        <f>データファイル用!$B25</f>
        <v>MEWS Mortar 2-S</v>
      </c>
      <c r="C24" s="32">
        <f>データファイル用!K25</f>
        <v>1</v>
      </c>
      <c r="D24" s="32">
        <f>データファイル用!L25</f>
        <v>0.25452999999999998</v>
      </c>
      <c r="E24" s="32">
        <f>データファイル用!M25</f>
        <v>0.17408999999999999</v>
      </c>
      <c r="F24" s="32">
        <f>データファイル用!N25</f>
        <v>-2.0897999999999999</v>
      </c>
      <c r="G24" s="32">
        <f>データファイル用!O25</f>
        <v>9.5699000000000005</v>
      </c>
      <c r="H24" s="32">
        <f>データファイル用!P25</f>
        <v>0</v>
      </c>
      <c r="I24" s="35">
        <f>データファイル用!Q25</f>
        <v>0</v>
      </c>
      <c r="J24" s="32">
        <f t="shared" si="2"/>
        <v>0.1756550208439539</v>
      </c>
      <c r="K24" s="32">
        <f t="shared" si="3"/>
        <v>0</v>
      </c>
      <c r="L24" s="53" t="str">
        <f t="shared" si="4"/>
        <v>N/A</v>
      </c>
      <c r="M24" s="22">
        <f t="shared" si="5"/>
        <v>0</v>
      </c>
      <c r="N24" s="22">
        <f t="shared" si="5"/>
        <v>1.5935903131386896E-2</v>
      </c>
      <c r="O24" s="22">
        <f t="shared" si="5"/>
        <v>1.7979722855563131E-2</v>
      </c>
      <c r="P24" s="22">
        <f t="shared" si="5"/>
        <v>1.9294730654676656E-2</v>
      </c>
      <c r="Q24" s="22">
        <f t="shared" si="5"/>
        <v>2.0285667609738038E-2</v>
      </c>
      <c r="R24" s="22">
        <f t="shared" si="5"/>
        <v>2.1089212819234121E-2</v>
      </c>
      <c r="S24" s="22">
        <f t="shared" si="5"/>
        <v>2.1769328540682847E-2</v>
      </c>
      <c r="T24" s="22">
        <f t="shared" si="5"/>
        <v>2.2361441950416637E-2</v>
      </c>
      <c r="U24" s="22">
        <f t="shared" si="5"/>
        <v>2.2887356741836753E-2</v>
      </c>
      <c r="V24" s="22">
        <f t="shared" si="5"/>
        <v>2.3361505528890013E-2</v>
      </c>
      <c r="W24" s="22">
        <f t="shared" si="5"/>
        <v>2.3793967654461082E-2</v>
      </c>
      <c r="X24" s="22">
        <f t="shared" si="5"/>
        <v>2.4192079223839275E-2</v>
      </c>
      <c r="Y24" s="22">
        <f t="shared" si="5"/>
        <v>2.4561359813668103E-2</v>
      </c>
      <c r="Z24" s="22">
        <f t="shared" si="5"/>
        <v>2.4906079283084057E-2</v>
      </c>
      <c r="AA24" s="22">
        <f t="shared" si="5"/>
        <v>2.5229622865214501E-2</v>
      </c>
      <c r="AB24" s="22">
        <f t="shared" si="5"/>
        <v>2.5534737831821221E-2</v>
      </c>
      <c r="AC24" s="22">
        <f t="shared" si="8"/>
        <v>2.5823708458066984E-2</v>
      </c>
      <c r="AD24" s="22">
        <f t="shared" si="8"/>
        <v>2.6098487071405573E-2</v>
      </c>
      <c r="AE24" s="22">
        <f t="shared" si="8"/>
        <v>2.6360798693008284E-2</v>
      </c>
      <c r="AF24" s="22">
        <f t="shared" si="8"/>
        <v>2.6612231019639668E-2</v>
      </c>
      <c r="AG24" s="22">
        <f t="shared" si="8"/>
        <v>2.6854318210271851E-2</v>
      </c>
      <c r="AH24" s="22">
        <f t="shared" si="8"/>
        <v>2.7088625087851075E-2</v>
      </c>
      <c r="AI24" s="22">
        <f t="shared" si="8"/>
        <v>2.7316837387886598E-2</v>
      </c>
      <c r="AJ24" s="22">
        <f t="shared" si="8"/>
        <v>2.7540863287900414E-2</v>
      </c>
      <c r="AK24" s="22">
        <f t="shared" si="8"/>
        <v>2.7762951491351894E-2</v>
      </c>
      <c r="AL24" s="22">
        <f t="shared" si="8"/>
        <v>2.7985831571605578E-2</v>
      </c>
      <c r="AM24" s="22">
        <f t="shared" si="8"/>
        <v>2.8212883141308563E-2</v>
      </c>
      <c r="AN24" s="22">
        <f t="shared" si="8"/>
        <v>2.8448341817971762E-2</v>
      </c>
      <c r="AO24" s="22">
        <f t="shared" si="8"/>
        <v>2.8697552127216381E-2</v>
      </c>
      <c r="AP24" s="22">
        <f t="shared" si="8"/>
        <v>2.8967280781466997E-2</v>
      </c>
      <c r="AQ24" s="22">
        <f t="shared" si="8"/>
        <v>2.9266108760835498E-2</v>
      </c>
      <c r="AR24" s="22">
        <f t="shared" si="8"/>
        <v>2.9604928185236693E-2</v>
      </c>
      <c r="AS24" s="22">
        <f t="shared" si="9"/>
        <v>2.9997581471910034E-2</v>
      </c>
      <c r="AT24" s="22">
        <f t="shared" si="9"/>
        <v>3.0461697869777524E-2</v>
      </c>
      <c r="AU24" s="22">
        <f t="shared" si="9"/>
        <v>3.1019809574029222E-2</v>
      </c>
      <c r="AV24" s="22">
        <f t="shared" si="9"/>
        <v>3.1700871801912535E-2</v>
      </c>
      <c r="AW24" s="22">
        <f t="shared" si="9"/>
        <v>3.2542377646234452E-2</v>
      </c>
      <c r="AX24" s="22">
        <f t="shared" si="9"/>
        <v>3.359336478537632E-2</v>
      </c>
      <c r="AY24" s="22">
        <f t="shared" si="9"/>
        <v>3.4918784216877587E-2</v>
      </c>
      <c r="AZ24" s="22">
        <f t="shared" si="9"/>
        <v>3.6605989084941254E-2</v>
      </c>
      <c r="BA24" s="22">
        <f t="shared" si="9"/>
        <v>3.8774591913010185E-2</v>
      </c>
      <c r="BB24" s="22">
        <f t="shared" si="9"/>
        <v>4.1591795157712295E-2</v>
      </c>
      <c r="BC24" s="22">
        <f t="shared" si="9"/>
        <v>4.5296839443781246E-2</v>
      </c>
      <c r="BD24" s="22">
        <f t="shared" si="9"/>
        <v>5.0241066174201487E-2</v>
      </c>
      <c r="BE24" s="22">
        <f t="shared" si="9"/>
        <v>5.6955554191259292E-2</v>
      </c>
      <c r="BF24" s="22">
        <f t="shared" si="9"/>
        <v>6.6269137798903324E-2</v>
      </c>
      <c r="BG24" s="22">
        <f t="shared" si="9"/>
        <v>7.9522020368352125E-2</v>
      </c>
      <c r="BH24" s="22">
        <f t="shared" si="9"/>
        <v>9.8968531218742037E-2</v>
      </c>
      <c r="BI24" s="22">
        <f t="shared" si="10"/>
        <v>0.12857193159021249</v>
      </c>
      <c r="BJ24" s="22">
        <f t="shared" si="10"/>
        <v>0.13042890481295596</v>
      </c>
      <c r="BK24" s="22">
        <f t="shared" si="10"/>
        <v>0.1323294552098305</v>
      </c>
      <c r="BL24" s="22">
        <f t="shared" si="10"/>
        <v>0.13427483732148981</v>
      </c>
      <c r="BM24" s="22">
        <f t="shared" si="10"/>
        <v>0.13626634810938412</v>
      </c>
      <c r="BN24" s="22">
        <f t="shared" si="10"/>
        <v>0.13830532858617481</v>
      </c>
      <c r="BO24" s="22">
        <f t="shared" si="10"/>
        <v>0.14039316551587588</v>
      </c>
      <c r="BP24" s="22">
        <f t="shared" si="10"/>
        <v>0.14253129318699123</v>
      </c>
      <c r="BQ24" s="22">
        <f t="shared" si="10"/>
        <v>0.14472119526208446</v>
      </c>
      <c r="BR24" s="22">
        <f t="shared" si="10"/>
        <v>0.1469644067073928</v>
      </c>
      <c r="BS24" s="22">
        <f t="shared" si="10"/>
        <v>0.14926251580628158</v>
      </c>
      <c r="BT24" s="22">
        <f t="shared" si="10"/>
        <v>0.15161716626053137</v>
      </c>
      <c r="BU24" s="22">
        <f t="shared" si="10"/>
        <v>0.15403005938365569</v>
      </c>
      <c r="BV24" s="22">
        <f t="shared" si="10"/>
        <v>0.15650295639066519</v>
      </c>
      <c r="BW24" s="22">
        <f t="shared" si="10"/>
        <v>0.1590376807889228</v>
      </c>
      <c r="BX24" s="22">
        <f t="shared" si="10"/>
        <v>0.16163612087497761</v>
      </c>
      <c r="BY24" s="22">
        <f t="shared" si="7"/>
        <v>0.16430023234252153</v>
      </c>
      <c r="BZ24" s="22">
        <f t="shared" si="7"/>
        <v>0.16703204100688177</v>
      </c>
      <c r="CA24" s="22">
        <f t="shared" si="7"/>
        <v>0.16983364565174988</v>
      </c>
      <c r="CB24" s="22">
        <f t="shared" si="7"/>
        <v>0.17270722100414829</v>
      </c>
      <c r="CC24" s="22">
        <f t="shared" si="7"/>
        <v>0.17565502084395557</v>
      </c>
      <c r="CD24" s="22">
        <f t="shared" si="7"/>
        <v>0.17867938125464797</v>
      </c>
      <c r="CE24" s="22">
        <f t="shared" si="7"/>
        <v>0.181782724022273</v>
      </c>
      <c r="CF24" s="22">
        <f t="shared" si="7"/>
        <v>0.18496756019004532</v>
      </c>
      <c r="CG24" s="22">
        <f t="shared" si="7"/>
        <v>0.18823649377635801</v>
      </c>
      <c r="CH24" s="22">
        <f t="shared" si="7"/>
        <v>0.1915922256644198</v>
      </c>
      <c r="CI24" s="22">
        <f t="shared" si="7"/>
        <v>0.19503755767217981</v>
      </c>
      <c r="CJ24" s="22">
        <f t="shared" si="7"/>
        <v>0.19857539681167091</v>
      </c>
      <c r="CK24" s="22">
        <f t="shared" si="7"/>
        <v>0.20220875974740443</v>
      </c>
      <c r="CL24" s="22">
        <f t="shared" si="7"/>
        <v>0.20594077746397924</v>
      </c>
      <c r="CM24" s="22">
        <f t="shared" si="7"/>
        <v>0.20977470015362787</v>
      </c>
      <c r="CN24" s="22">
        <f t="shared" si="12"/>
        <v>0.2137139023350178</v>
      </c>
      <c r="CO24" s="22">
        <f t="shared" si="12"/>
        <v>0.21776188821525519</v>
      </c>
      <c r="CP24" s="22">
        <f t="shared" si="12"/>
        <v>0.22192229730770582</v>
      </c>
      <c r="CQ24" s="22">
        <f t="shared" si="12"/>
        <v>0.22619891031895409</v>
      </c>
      <c r="CR24" s="22">
        <f t="shared" si="12"/>
        <v>0.23059565531897266</v>
      </c>
      <c r="CS24" s="22">
        <f t="shared" si="12"/>
        <v>0.23511661420936728</v>
      </c>
      <c r="CT24" s="22">
        <f t="shared" si="12"/>
        <v>0.23976602950540765</v>
      </c>
      <c r="CU24" s="22">
        <f t="shared" si="12"/>
        <v>0.24454831144844638</v>
      </c>
      <c r="CV24" s="22">
        <f t="shared" si="12"/>
        <v>0.24946804546627879</v>
      </c>
      <c r="CW24" s="22">
        <f t="shared" si="12"/>
        <v>0.25453000000000225</v>
      </c>
    </row>
    <row r="25" spans="1:101">
      <c r="A25" s="22">
        <v>23</v>
      </c>
      <c r="B25" s="32" t="str">
        <f>データファイル用!$B26</f>
        <v>MEWS Mortar 2-N</v>
      </c>
      <c r="C25" s="32">
        <f>データファイル用!K26</f>
        <v>1</v>
      </c>
      <c r="D25" s="32">
        <f>データファイル用!L26</f>
        <v>0.25659999999999999</v>
      </c>
      <c r="E25" s="32">
        <f>データファイル用!M26</f>
        <v>1.3080000000000001</v>
      </c>
      <c r="F25" s="32">
        <f>データファイル用!N26</f>
        <v>-1.5052000000000001</v>
      </c>
      <c r="G25" s="32">
        <f>データファイル用!O26</f>
        <v>16.347000000000001</v>
      </c>
      <c r="H25" s="32">
        <f>データファイル用!P26</f>
        <v>0</v>
      </c>
      <c r="I25" s="35">
        <f>データファイル用!Q26</f>
        <v>0</v>
      </c>
      <c r="J25" s="32">
        <f t="shared" si="2"/>
        <v>0.16365210465501664</v>
      </c>
      <c r="K25" s="32">
        <f t="shared" si="3"/>
        <v>0</v>
      </c>
      <c r="L25" s="53" t="str">
        <f t="shared" si="4"/>
        <v>N/A</v>
      </c>
      <c r="M25" s="22">
        <f t="shared" si="5"/>
        <v>0</v>
      </c>
      <c r="N25" s="22">
        <f t="shared" si="5"/>
        <v>3.414316935317405E-4</v>
      </c>
      <c r="O25" s="22">
        <f t="shared" si="5"/>
        <v>8.4537824315296199E-4</v>
      </c>
      <c r="P25" s="22">
        <f t="shared" si="5"/>
        <v>1.4367408281817707E-3</v>
      </c>
      <c r="Q25" s="22">
        <f t="shared" si="5"/>
        <v>2.0931401142171681E-3</v>
      </c>
      <c r="R25" s="22">
        <f t="shared" si="5"/>
        <v>2.8025708329087952E-3</v>
      </c>
      <c r="S25" s="22">
        <f t="shared" si="5"/>
        <v>3.5573423914775706E-3</v>
      </c>
      <c r="T25" s="22">
        <f t="shared" si="5"/>
        <v>4.352031885011055E-3</v>
      </c>
      <c r="U25" s="22">
        <f t="shared" si="5"/>
        <v>5.1825742775272344E-3</v>
      </c>
      <c r="V25" s="22">
        <f t="shared" si="5"/>
        <v>6.0457896746911859E-3</v>
      </c>
      <c r="W25" s="22">
        <f t="shared" si="5"/>
        <v>6.9391109610897599E-3</v>
      </c>
      <c r="X25" s="22">
        <f t="shared" si="5"/>
        <v>7.8604147948361427E-3</v>
      </c>
      <c r="Y25" s="22">
        <f t="shared" si="5"/>
        <v>8.8079106846463643E-3</v>
      </c>
      <c r="Z25" s="22">
        <f t="shared" si="5"/>
        <v>9.7800649101320233E-3</v>
      </c>
      <c r="AA25" s="22">
        <f t="shared" si="5"/>
        <v>1.0775546453001378E-2</v>
      </c>
      <c r="AB25" s="22">
        <f t="shared" si="5"/>
        <v>1.1793187430965373E-2</v>
      </c>
      <c r="AC25" s="22">
        <f t="shared" si="8"/>
        <v>1.2831953431487178E-2</v>
      </c>
      <c r="AD25" s="22">
        <f t="shared" si="8"/>
        <v>1.389092081741985E-2</v>
      </c>
      <c r="AE25" s="22">
        <f t="shared" si="8"/>
        <v>1.4969259093384299E-2</v>
      </c>
      <c r="AF25" s="22">
        <f t="shared" si="8"/>
        <v>1.6066217076639869E-2</v>
      </c>
      <c r="AG25" s="22">
        <f t="shared" si="8"/>
        <v>1.7181112075671214E-2</v>
      </c>
      <c r="AH25" s="22">
        <f t="shared" si="8"/>
        <v>1.8313321649156673E-2</v>
      </c>
      <c r="AI25" s="22">
        <f t="shared" si="8"/>
        <v>1.9462277877280967E-2</v>
      </c>
      <c r="AJ25" s="22">
        <f t="shared" si="8"/>
        <v>2.0627464502173704E-2</v>
      </c>
      <c r="AK25" s="22">
        <f t="shared" si="8"/>
        <v>2.1808417871614048E-2</v>
      </c>
      <c r="AL25" s="22">
        <f t="shared" si="8"/>
        <v>2.3004733462632324E-2</v>
      </c>
      <c r="AM25" s="22">
        <f t="shared" si="8"/>
        <v>2.4216081022871355E-2</v>
      </c>
      <c r="AN25" s="22">
        <f t="shared" si="8"/>
        <v>2.5442233260829009E-2</v>
      </c>
      <c r="AO25" s="22">
        <f t="shared" si="8"/>
        <v>2.6683115838269027E-2</v>
      </c>
      <c r="AP25" s="22">
        <f t="shared" si="8"/>
        <v>2.7938890581704009E-2</v>
      </c>
      <c r="AQ25" s="22">
        <f t="shared" si="8"/>
        <v>2.9210089908295527E-2</v>
      </c>
      <c r="AR25" s="22">
        <f t="shared" si="8"/>
        <v>3.0497829256772135E-2</v>
      </c>
      <c r="AS25" s="22">
        <f t="shared" si="9"/>
        <v>3.1804136966314303E-2</v>
      </c>
      <c r="AT25" s="22">
        <f t="shared" si="9"/>
        <v>3.313245922548673E-2</v>
      </c>
      <c r="AU25" s="22">
        <f t="shared" si="9"/>
        <v>3.4488423972281607E-2</v>
      </c>
      <c r="AV25" s="22">
        <f t="shared" si="9"/>
        <v>3.588098608490746E-2</v>
      </c>
      <c r="AW25" s="22">
        <f t="shared" si="9"/>
        <v>3.7324133899634473E-2</v>
      </c>
      <c r="AX25" s="22">
        <f t="shared" si="9"/>
        <v>3.8839426698858905E-2</v>
      </c>
      <c r="AY25" s="22">
        <f t="shared" si="9"/>
        <v>4.0459778146997104E-2</v>
      </c>
      <c r="AZ25" s="22">
        <f t="shared" si="9"/>
        <v>4.2235148019100867E-2</v>
      </c>
      <c r="BA25" s="22">
        <f t="shared" si="9"/>
        <v>4.4241246574665882E-2</v>
      </c>
      <c r="BB25" s="22">
        <f t="shared" si="9"/>
        <v>4.659318297429E-2</v>
      </c>
      <c r="BC25" s="22">
        <f t="shared" si="9"/>
        <v>4.9467605198235946E-2</v>
      </c>
      <c r="BD25" s="22">
        <f t="shared" si="9"/>
        <v>5.3140174963656028E-2</v>
      </c>
      <c r="BE25" s="22">
        <f t="shared" si="9"/>
        <v>5.8052258085275907E-2</v>
      </c>
      <c r="BF25" s="22">
        <f t="shared" si="9"/>
        <v>6.4936536582741775E-2</v>
      </c>
      <c r="BG25" s="22">
        <f t="shared" si="9"/>
        <v>7.506908216097144E-2</v>
      </c>
      <c r="BH25" s="22">
        <f t="shared" si="9"/>
        <v>9.0812649031749695E-2</v>
      </c>
      <c r="BI25" s="22">
        <f t="shared" si="10"/>
        <v>0.11688799962084503</v>
      </c>
      <c r="BJ25" s="22">
        <f t="shared" si="10"/>
        <v>0.11860923395234041</v>
      </c>
      <c r="BK25" s="22">
        <f t="shared" si="10"/>
        <v>0.12038133057100471</v>
      </c>
      <c r="BL25" s="22">
        <f t="shared" si="10"/>
        <v>0.12220619880884871</v>
      </c>
      <c r="BM25" s="22">
        <f t="shared" si="10"/>
        <v>0.12408583408607669</v>
      </c>
      <c r="BN25" s="22">
        <f t="shared" si="10"/>
        <v>0.12602232242194927</v>
      </c>
      <c r="BO25" s="22">
        <f t="shared" si="10"/>
        <v>0.12801784521309456</v>
      </c>
      <c r="BP25" s="22">
        <f t="shared" si="10"/>
        <v>0.13007468429689215</v>
      </c>
      <c r="BQ25" s="22">
        <f t="shared" si="10"/>
        <v>0.13219522731882949</v>
      </c>
      <c r="BR25" s="22">
        <f t="shared" si="10"/>
        <v>0.13438197342410357</v>
      </c>
      <c r="BS25" s="22">
        <f t="shared" si="10"/>
        <v>0.13663753929522576</v>
      </c>
      <c r="BT25" s="22">
        <f t="shared" si="10"/>
        <v>0.13896466555898773</v>
      </c>
      <c r="BU25" s="22">
        <f t="shared" si="10"/>
        <v>0.14136622358787609</v>
      </c>
      <c r="BV25" s="22">
        <f t="shared" si="10"/>
        <v>0.1438452227228913</v>
      </c>
      <c r="BW25" s="22">
        <f t="shared" si="10"/>
        <v>0.14640481794674595</v>
      </c>
      <c r="BX25" s="22">
        <f t="shared" si="10"/>
        <v>0.14904831803860089</v>
      </c>
      <c r="BY25" s="22">
        <f t="shared" si="7"/>
        <v>0.15177919424385977</v>
      </c>
      <c r="BZ25" s="22">
        <f t="shared" si="7"/>
        <v>0.15460108949509896</v>
      </c>
      <c r="CA25" s="22">
        <f t="shared" si="7"/>
        <v>0.15751782822297727</v>
      </c>
      <c r="CB25" s="22">
        <f t="shared" si="7"/>
        <v>0.16053342679896987</v>
      </c>
      <c r="CC25" s="22">
        <f t="shared" si="7"/>
        <v>0.16365210465501839</v>
      </c>
      <c r="CD25" s="22">
        <f t="shared" si="7"/>
        <v>0.16687829612871263</v>
      </c>
      <c r="CE25" s="22">
        <f t="shared" si="7"/>
        <v>0.17021666308644284</v>
      </c>
      <c r="CF25" s="22">
        <f t="shared" si="7"/>
        <v>0.17367210838110561</v>
      </c>
      <c r="CG25" s="22">
        <f t="shared" si="7"/>
        <v>0.17724979020545259</v>
      </c>
      <c r="CH25" s="22">
        <f t="shared" si="7"/>
        <v>0.18095513740706015</v>
      </c>
      <c r="CI25" s="22">
        <f t="shared" si="7"/>
        <v>0.18479386583621507</v>
      </c>
      <c r="CJ25" s="22">
        <f t="shared" si="7"/>
        <v>0.18877199580379109</v>
      </c>
      <c r="CK25" s="22">
        <f t="shared" si="7"/>
        <v>0.19289587073247763</v>
      </c>
      <c r="CL25" s="22">
        <f t="shared" si="7"/>
        <v>0.19717217709156656</v>
      </c>
      <c r="CM25" s="22">
        <f t="shared" si="7"/>
        <v>0.20160796571295256</v>
      </c>
      <c r="CN25" s="22">
        <f t="shared" si="12"/>
        <v>0.20621067459412148</v>
      </c>
      <c r="CO25" s="22">
        <f t="shared" si="12"/>
        <v>0.21098815330274875</v>
      </c>
      <c r="CP25" s="22">
        <f t="shared" si="12"/>
        <v>0.21594868910718068</v>
      </c>
      <c r="CQ25" s="22">
        <f t="shared" si="12"/>
        <v>0.22110103496759817</v>
      </c>
      <c r="CR25" s="22">
        <f t="shared" si="12"/>
        <v>0.22645443953415839</v>
      </c>
      <c r="CS25" s="22">
        <f t="shared" si="12"/>
        <v>0.23201867931096379</v>
      </c>
      <c r="CT25" s="22">
        <f t="shared" si="12"/>
        <v>0.23780409315842566</v>
      </c>
      <c r="CU25" s="22">
        <f t="shared" si="12"/>
        <v>0.24382161932159457</v>
      </c>
      <c r="CV25" s="22">
        <f t="shared" si="12"/>
        <v>0.25008283518843683</v>
      </c>
      <c r="CW25" s="22">
        <f t="shared" si="12"/>
        <v>0.25660000000000299</v>
      </c>
    </row>
    <row r="26" spans="1:101">
      <c r="A26" s="22">
        <v>24</v>
      </c>
      <c r="B26" s="32" t="str">
        <f>データファイル用!$B27</f>
        <v>MEWS Regular Lime Stucco</v>
      </c>
      <c r="C26" s="32">
        <f>データファイル用!K27</f>
        <v>1</v>
      </c>
      <c r="D26" s="32">
        <f>データファイル用!L27</f>
        <v>0.15742999999999999</v>
      </c>
      <c r="E26" s="32">
        <f>データファイル用!M27</f>
        <v>0.95882000000000001</v>
      </c>
      <c r="F26" s="32">
        <f>データファイル用!N27</f>
        <v>-0.64646999999999999</v>
      </c>
      <c r="G26" s="32">
        <f>データファイル用!O27</f>
        <v>30.327999999999999</v>
      </c>
      <c r="H26" s="32">
        <f>データファイル用!P27</f>
        <v>0</v>
      </c>
      <c r="I26" s="35">
        <f>データファイル用!Q27</f>
        <v>0</v>
      </c>
      <c r="J26" s="32">
        <f t="shared" si="2"/>
        <v>0.11482972381083348</v>
      </c>
      <c r="K26" s="32">
        <f t="shared" si="3"/>
        <v>0</v>
      </c>
      <c r="L26" s="53" t="str">
        <f t="shared" si="4"/>
        <v>N/A</v>
      </c>
      <c r="M26" s="22">
        <f t="shared" si="5"/>
        <v>0</v>
      </c>
      <c r="N26" s="22">
        <f t="shared" si="5"/>
        <v>1.937861444723277E-3</v>
      </c>
      <c r="O26" s="22">
        <f t="shared" si="5"/>
        <v>3.7666589810782854E-3</v>
      </c>
      <c r="P26" s="22">
        <f t="shared" si="5"/>
        <v>5.5564335332062348E-3</v>
      </c>
      <c r="Q26" s="22">
        <f t="shared" si="5"/>
        <v>7.3213283221926556E-3</v>
      </c>
      <c r="R26" s="22">
        <f t="shared" si="5"/>
        <v>9.0679505207444666E-3</v>
      </c>
      <c r="S26" s="22">
        <f t="shared" si="5"/>
        <v>1.0800147929876621E-2</v>
      </c>
      <c r="T26" s="22">
        <f t="shared" si="5"/>
        <v>1.2520440967263438E-2</v>
      </c>
      <c r="U26" s="22">
        <f t="shared" ref="U26:AJ81" si="13">IF($C26=2,IF(U$2&lt;=$O$1,$D26*IF(AND(U$2=0,$E26=0),1,U$2^$E26)*EXP($F26*(1-IF(AND(U$2=0,$G26=0),1,U$2^$G26))),($H26-$I26)*(U$2-$O$1)/(1-$O$1)+$I26),$D26*IF(AND(U$2=0,$E26=0),1,U$2^$E26)*EXP($F26*(1-IF(AND(U$2=0,$G26=0),1,U$2^$G26))))</f>
        <v>1.4230608258036591E-2</v>
      </c>
      <c r="V26" s="22">
        <f t="shared" si="13"/>
        <v>1.5931971655149715E-2</v>
      </c>
      <c r="W26" s="22">
        <f t="shared" si="13"/>
        <v>1.762555179677102E-2</v>
      </c>
      <c r="X26" s="22">
        <f t="shared" si="13"/>
        <v>1.931216025301746E-2</v>
      </c>
      <c r="Y26" s="22">
        <f t="shared" si="13"/>
        <v>2.099245759175157E-2</v>
      </c>
      <c r="Z26" s="22">
        <f t="shared" si="13"/>
        <v>2.2666991785502761E-2</v>
      </c>
      <c r="AA26" s="22">
        <f t="shared" si="13"/>
        <v>2.4336224627833351E-2</v>
      </c>
      <c r="AB26" s="22">
        <f t="shared" si="13"/>
        <v>2.600055049762056E-2</v>
      </c>
      <c r="AC26" s="22">
        <f t="shared" si="13"/>
        <v>2.7660310053278667E-2</v>
      </c>
      <c r="AD26" s="22">
        <f t="shared" si="13"/>
        <v>2.9315800459750938E-2</v>
      </c>
      <c r="AE26" s="22">
        <f t="shared" si="13"/>
        <v>3.0967283179383905E-2</v>
      </c>
      <c r="AF26" s="22">
        <f t="shared" si="13"/>
        <v>3.2614990010625393E-2</v>
      </c>
      <c r="AG26" s="22">
        <f t="shared" si="13"/>
        <v>3.4259127840424647E-2</v>
      </c>
      <c r="AH26" s="22">
        <f t="shared" si="13"/>
        <v>3.5899882435162775E-2</v>
      </c>
      <c r="AI26" s="22">
        <f t="shared" si="13"/>
        <v>3.7537421501340373E-2</v>
      </c>
      <c r="AJ26" s="22">
        <f t="shared" si="13"/>
        <v>3.9171897183773244E-2</v>
      </c>
      <c r="AK26" s="22">
        <f t="shared" si="8"/>
        <v>4.0803448125345108E-2</v>
      </c>
      <c r="AL26" s="22">
        <f t="shared" si="8"/>
        <v>4.2432201182397267E-2</v>
      </c>
      <c r="AM26" s="22">
        <f t="shared" si="8"/>
        <v>4.4058272870805056E-2</v>
      </c>
      <c r="AN26" s="22">
        <f t="shared" si="8"/>
        <v>4.5681770610584482E-2</v>
      </c>
      <c r="AO26" s="22">
        <f t="shared" si="8"/>
        <v>4.7302793848695263E-2</v>
      </c>
      <c r="AP26" s="22">
        <f t="shared" si="8"/>
        <v>4.8921435191069833E-2</v>
      </c>
      <c r="AQ26" s="22">
        <f t="shared" si="8"/>
        <v>5.0537781815604844E-2</v>
      </c>
      <c r="AR26" s="22">
        <f t="shared" si="8"/>
        <v>5.2151917781657564E-2</v>
      </c>
      <c r="AS26" s="22">
        <f t="shared" si="9"/>
        <v>5.3763928648771706E-2</v>
      </c>
      <c r="AT26" s="22">
        <f t="shared" si="9"/>
        <v>5.5373911602441053E-2</v>
      </c>
      <c r="AU26" s="22">
        <f t="shared" si="9"/>
        <v>5.6981998169732845E-2</v>
      </c>
      <c r="AV26" s="22">
        <f t="shared" si="9"/>
        <v>5.8588404851107362E-2</v>
      </c>
      <c r="AW26" s="22">
        <f t="shared" si="9"/>
        <v>6.0193544083261691E-2</v>
      </c>
      <c r="AX26" s="22">
        <f t="shared" si="9"/>
        <v>6.1798262613503241E-2</v>
      </c>
      <c r="AY26" s="22">
        <f t="shared" si="9"/>
        <v>6.3404343298498783E-2</v>
      </c>
      <c r="AZ26" s="22">
        <f t="shared" si="9"/>
        <v>6.5015540963682075E-2</v>
      </c>
      <c r="BA26" s="22">
        <f t="shared" si="9"/>
        <v>6.6639681889445065E-2</v>
      </c>
      <c r="BB26" s="22">
        <f t="shared" si="9"/>
        <v>6.8292849149237E-2</v>
      </c>
      <c r="BC26" s="22">
        <f t="shared" si="9"/>
        <v>7.000761065566273E-2</v>
      </c>
      <c r="BD26" s="22">
        <f t="shared" si="9"/>
        <v>7.1849039680824789E-2</v>
      </c>
      <c r="BE26" s="22">
        <f t="shared" si="9"/>
        <v>7.3945837684591634E-2</v>
      </c>
      <c r="BF26" s="22">
        <f t="shared" si="9"/>
        <v>7.6551435890654537E-2</v>
      </c>
      <c r="BG26" s="22">
        <f t="shared" si="9"/>
        <v>8.0167812465399418E-2</v>
      </c>
      <c r="BH26" s="22">
        <f t="shared" ref="BH26:BW81" si="14">IF($C26=2,IF(BH$2&lt;=$O$1,$D26*IF(AND(BH$2=0,$E26=0),1,BH$2^$E26)*EXP($F26*(1-IF(AND(BH$2=0,$G26=0),1,BH$2^$G26))),($H26-$I26)*(BH$2-$O$1)/(1-$O$1)+$I26),$D26*IF(AND(BH$2=0,$E26=0),1,BH$2^$E26)*EXP($F26*(1-IF(AND(BH$2=0,$G26=0),1,BH$2^$G26))))</f>
        <v>8.5812841384843172E-2</v>
      </c>
      <c r="BI26" s="22">
        <f t="shared" si="14"/>
        <v>9.5661263573892291E-2</v>
      </c>
      <c r="BJ26" s="22">
        <f t="shared" si="14"/>
        <v>9.6334325560256395E-2</v>
      </c>
      <c r="BK26" s="22">
        <f t="shared" si="14"/>
        <v>9.7030100777608833E-2</v>
      </c>
      <c r="BL26" s="22">
        <f t="shared" si="14"/>
        <v>9.7749556896001219E-2</v>
      </c>
      <c r="BM26" s="22">
        <f t="shared" si="14"/>
        <v>9.8493709971949506E-2</v>
      </c>
      <c r="BN26" s="22">
        <f t="shared" si="14"/>
        <v>9.9263627339744448E-2</v>
      </c>
      <c r="BO26" s="22">
        <f t="shared" si="14"/>
        <v>0.10006043070518454</v>
      </c>
      <c r="BP26" s="22">
        <f t="shared" si="14"/>
        <v>0.1008852994578599</v>
      </c>
      <c r="BQ26" s="22">
        <f t="shared" si="14"/>
        <v>0.10173947421954949</v>
      </c>
      <c r="BR26" s="22">
        <f t="shared" si="14"/>
        <v>0.10262426064786793</v>
      </c>
      <c r="BS26" s="22">
        <f t="shared" si="14"/>
        <v>0.10354103351602779</v>
      </c>
      <c r="BT26" s="22">
        <f t="shared" si="14"/>
        <v>0.1044912410914845</v>
      </c>
      <c r="BU26" s="22">
        <f t="shared" si="14"/>
        <v>0.10547640983832501</v>
      </c>
      <c r="BV26" s="22">
        <f t="shared" si="14"/>
        <v>0.10649814947056453</v>
      </c>
      <c r="BW26" s="22">
        <f t="shared" si="14"/>
        <v>0.10755815838605738</v>
      </c>
      <c r="BX26" s="22">
        <f t="shared" si="10"/>
        <v>0.10865822951352913</v>
      </c>
      <c r="BY26" s="22">
        <f t="shared" si="7"/>
        <v>0.10980025660833037</v>
      </c>
      <c r="BZ26" s="22">
        <f t="shared" si="7"/>
        <v>0.11098624103593058</v>
      </c>
      <c r="CA26" s="22">
        <f t="shared" si="7"/>
        <v>0.11221829908594763</v>
      </c>
      <c r="CB26" s="22">
        <f t="shared" si="7"/>
        <v>0.11349866986369196</v>
      </c>
      <c r="CC26" s="22">
        <f t="shared" si="7"/>
        <v>0.11482972381083424</v>
      </c>
      <c r="CD26" s="22">
        <f t="shared" si="7"/>
        <v>0.11621397191194092</v>
      </c>
      <c r="CE26" s="22">
        <f t="shared" si="7"/>
        <v>0.11765407564931771</v>
      </c>
      <c r="CF26" s="22">
        <f t="shared" si="7"/>
        <v>0.11915285777492701</v>
      </c>
      <c r="CG26" s="22">
        <f t="shared" si="7"/>
        <v>0.12071331397517743</v>
      </c>
      <c r="CH26" s="22">
        <f t="shared" si="7"/>
        <v>0.12233862551220442</v>
      </c>
      <c r="CI26" s="22">
        <f t="shared" si="7"/>
        <v>0.12403217293397294</v>
      </c>
      <c r="CJ26" s="22">
        <f t="shared" si="7"/>
        <v>0.12579755095524042</v>
      </c>
      <c r="CK26" s="22">
        <f t="shared" si="7"/>
        <v>0.12763858462225028</v>
      </c>
      <c r="CL26" s="22">
        <f t="shared" si="7"/>
        <v>0.12955934688612172</v>
      </c>
      <c r="CM26" s="22">
        <f t="shared" si="7"/>
        <v>0.13156417772342188</v>
      </c>
      <c r="CN26" s="22">
        <f t="shared" si="12"/>
        <v>0.13365770495753548</v>
      </c>
      <c r="CO26" s="22">
        <f t="shared" si="12"/>
        <v>0.13584486695139217</v>
      </c>
      <c r="CP26" s="22">
        <f t="shared" si="12"/>
        <v>0.13813093736111143</v>
      </c>
      <c r="CQ26" s="22">
        <f t="shared" si="12"/>
        <v>0.14052155216144824</v>
      </c>
      <c r="CR26" s="22">
        <f t="shared" si="12"/>
        <v>0.14302273917788433</v>
      </c>
      <c r="CS26" s="22">
        <f t="shared" si="12"/>
        <v>0.1456409503871561</v>
      </c>
      <c r="CT26" s="22">
        <f t="shared" si="12"/>
        <v>0.14838309727835886</v>
      </c>
      <c r="CU26" s="22">
        <f t="shared" si="12"/>
        <v>0.15125658960096991</v>
      </c>
      <c r="CV26" s="22">
        <f t="shared" si="12"/>
        <v>0.15426937786473843</v>
      </c>
      <c r="CW26" s="22">
        <f t="shared" si="12"/>
        <v>0.15743000000000143</v>
      </c>
    </row>
    <row r="27" spans="1:101">
      <c r="A27" s="22">
        <v>25</v>
      </c>
      <c r="B27" s="32" t="str">
        <f>データファイル用!$B28</f>
        <v>MEWS Regular Portland Stucco</v>
      </c>
      <c r="C27" s="32">
        <f>データファイル用!K28</f>
        <v>1</v>
      </c>
      <c r="D27" s="32">
        <f>データファイル用!L28</f>
        <v>0.11713</v>
      </c>
      <c r="E27" s="32">
        <f>データファイル用!M28</f>
        <v>1.0366</v>
      </c>
      <c r="F27" s="32">
        <f>データファイル用!N28</f>
        <v>-0.55191999999999997</v>
      </c>
      <c r="G27" s="32">
        <f>データファイル用!O28</f>
        <v>31.306000000000001</v>
      </c>
      <c r="H27" s="32">
        <f>データファイル用!P28</f>
        <v>0</v>
      </c>
      <c r="I27" s="35">
        <f>データファイル用!Q28</f>
        <v>0</v>
      </c>
      <c r="J27" s="32">
        <f t="shared" si="2"/>
        <v>8.8556998868036127E-2</v>
      </c>
      <c r="K27" s="32">
        <f t="shared" si="3"/>
        <v>0</v>
      </c>
      <c r="L27" s="53" t="str">
        <f t="shared" si="4"/>
        <v>N/A</v>
      </c>
      <c r="M27" s="22">
        <f t="shared" ref="M27:AB58" si="15">IF($C27=2,IF(M$2&lt;=$O$1,$D27*IF(AND(M$2=0,$E27=0),1,M$2^$E27)*EXP($F27*(1-IF(AND(M$2=0,$G27=0),1,M$2^$G27))),($H27-$I27)*(M$2-$O$1)/(1-$O$1)+$I27),$D27*IF(AND(M$2=0,$E27=0),1,M$2^$E27)*EXP($F27*(1-IF(AND(M$2=0,$G27=0),1,M$2^$G27))))</f>
        <v>0</v>
      </c>
      <c r="N27" s="22">
        <f t="shared" si="15"/>
        <v>1.1690148454181891E-3</v>
      </c>
      <c r="O27" s="22">
        <f t="shared" si="15"/>
        <v>2.3981023786039455E-3</v>
      </c>
      <c r="P27" s="22">
        <f t="shared" si="15"/>
        <v>3.6509334699477204E-3</v>
      </c>
      <c r="Q27" s="22">
        <f t="shared" si="15"/>
        <v>4.9194371147687549E-3</v>
      </c>
      <c r="R27" s="22">
        <f t="shared" si="15"/>
        <v>6.1997236698833943E-3</v>
      </c>
      <c r="S27" s="22">
        <f t="shared" si="15"/>
        <v>7.4894790880729702E-3</v>
      </c>
      <c r="T27" s="22">
        <f t="shared" si="15"/>
        <v>8.7871624349254666E-3</v>
      </c>
      <c r="U27" s="22">
        <f t="shared" si="15"/>
        <v>1.0091671540834245E-2</v>
      </c>
      <c r="V27" s="22">
        <f t="shared" si="15"/>
        <v>1.1402177871587454E-2</v>
      </c>
      <c r="W27" s="22">
        <f t="shared" si="15"/>
        <v>1.2718035307854455E-2</v>
      </c>
      <c r="X27" s="22">
        <f t="shared" si="15"/>
        <v>1.403872554652141E-2</v>
      </c>
      <c r="Y27" s="22">
        <f t="shared" si="15"/>
        <v>1.5363823381718744E-2</v>
      </c>
      <c r="Z27" s="22">
        <f t="shared" si="15"/>
        <v>1.6692973553740824E-2</v>
      </c>
      <c r="AA27" s="22">
        <f t="shared" si="15"/>
        <v>1.8025874708918491E-2</v>
      </c>
      <c r="AB27" s="22">
        <f t="shared" si="15"/>
        <v>1.9362267929717611E-2</v>
      </c>
      <c r="AC27" s="22">
        <f t="shared" si="13"/>
        <v>2.0701928312558793E-2</v>
      </c>
      <c r="AD27" s="22">
        <f t="shared" si="13"/>
        <v>2.2044658642293442E-2</v>
      </c>
      <c r="AE27" s="22">
        <f t="shared" si="13"/>
        <v>2.3390284547958655E-2</v>
      </c>
      <c r="AF27" s="22">
        <f t="shared" si="13"/>
        <v>2.4738650729430923E-2</v>
      </c>
      <c r="AG27" s="22">
        <f t="shared" si="13"/>
        <v>2.6089617974038824E-2</v>
      </c>
      <c r="AH27" s="22">
        <f t="shared" si="13"/>
        <v>2.7443060766340167E-2</v>
      </c>
      <c r="AI27" s="22">
        <f t="shared" si="13"/>
        <v>2.879886535039301E-2</v>
      </c>
      <c r="AJ27" s="22">
        <f t="shared" si="13"/>
        <v>3.0156928142169671E-2</v>
      </c>
      <c r="AK27" s="22">
        <f t="shared" si="8"/>
        <v>3.1517154416550161E-2</v>
      </c>
      <c r="AL27" s="22">
        <f t="shared" si="8"/>
        <v>3.287945721266964E-2</v>
      </c>
      <c r="AM27" s="22">
        <f t="shared" si="8"/>
        <v>3.4243756416359912E-2</v>
      </c>
      <c r="AN27" s="22">
        <f t="shared" si="8"/>
        <v>3.5609977992260206E-2</v>
      </c>
      <c r="AO27" s="22">
        <f t="shared" si="8"/>
        <v>3.6978053356197679E-2</v>
      </c>
      <c r="AP27" s="22">
        <f t="shared" si="8"/>
        <v>3.8347918912047377E-2</v>
      </c>
      <c r="AQ27" s="22">
        <f t="shared" si="8"/>
        <v>3.9719515852855922E-2</v>
      </c>
      <c r="AR27" s="22">
        <f t="shared" ref="AR27:BG81" si="16">IF($C27=2,IF(AR$2&lt;=$O$1,$D27*IF(AND(AR$2=0,$E27=0),1,AR$2^$E27)*EXP($F27*(1-IF(AND(AR$2=0,$G27=0),1,AR$2^$G27))),($H27-$I27)*(AR$2-$O$1)/(1-$O$1)+$I27),$D27*IF(AND(AR$2=0,$E27=0),1,AR$2^$E27)*EXP($F27*(1-IF(AND(AR$2=0,$G27=0),1,AR$2^$G27))))</f>
        <v>4.1092790504668249E-2</v>
      </c>
      <c r="AS27" s="22">
        <f t="shared" si="16"/>
        <v>4.2467695911863994E-2</v>
      </c>
      <c r="AT27" s="22">
        <f t="shared" si="16"/>
        <v>4.3844196331318405E-2</v>
      </c>
      <c r="AU27" s="22">
        <f t="shared" si="16"/>
        <v>4.5222278479409322E-2</v>
      </c>
      <c r="AV27" s="22">
        <f t="shared" si="16"/>
        <v>4.6601978147865382E-2</v>
      </c>
      <c r="AW27" s="22">
        <f t="shared" si="16"/>
        <v>4.7983441019673535E-2</v>
      </c>
      <c r="AX27" s="22">
        <f t="shared" si="16"/>
        <v>4.9367057897265552E-2</v>
      </c>
      <c r="AY27" s="22">
        <f t="shared" si="16"/>
        <v>5.0753758375445907E-2</v>
      </c>
      <c r="AZ27" s="22">
        <f t="shared" si="16"/>
        <v>5.214563508000606E-2</v>
      </c>
      <c r="BA27" s="22">
        <f t="shared" si="16"/>
        <v>5.3547244662991642E-2</v>
      </c>
      <c r="BB27" s="22">
        <f t="shared" si="16"/>
        <v>5.4968271041899337E-2</v>
      </c>
      <c r="BC27" s="22">
        <f t="shared" si="16"/>
        <v>5.6428892630798651E-2</v>
      </c>
      <c r="BD27" s="22">
        <f t="shared" si="16"/>
        <v>5.7970468606465625E-2</v>
      </c>
      <c r="BE27" s="22">
        <f t="shared" si="16"/>
        <v>5.9676685428080321E-2</v>
      </c>
      <c r="BF27" s="22">
        <f t="shared" si="16"/>
        <v>6.1715587977920795E-2</v>
      </c>
      <c r="BG27" s="22">
        <f t="shared" si="16"/>
        <v>6.4425032010170025E-2</v>
      </c>
      <c r="BH27" s="22">
        <f t="shared" si="14"/>
        <v>6.849563956057883E-2</v>
      </c>
      <c r="BI27" s="22">
        <f t="shared" si="14"/>
        <v>7.5400507701175207E-2</v>
      </c>
      <c r="BJ27" s="22">
        <f t="shared" si="14"/>
        <v>7.5867436463121024E-2</v>
      </c>
      <c r="BK27" s="22">
        <f t="shared" si="14"/>
        <v>7.6349631350057637E-2</v>
      </c>
      <c r="BL27" s="22">
        <f t="shared" si="14"/>
        <v>7.6847734571858103E-2</v>
      </c>
      <c r="BM27" s="22">
        <f t="shared" si="14"/>
        <v>7.7362419604799226E-2</v>
      </c>
      <c r="BN27" s="22">
        <f t="shared" si="14"/>
        <v>7.7894393003597823E-2</v>
      </c>
      <c r="BO27" s="22">
        <f t="shared" si="14"/>
        <v>7.8444396336955907E-2</v>
      </c>
      <c r="BP27" s="22">
        <f t="shared" si="14"/>
        <v>7.9013208256232495E-2</v>
      </c>
      <c r="BQ27" s="22">
        <f t="shared" si="14"/>
        <v>7.96016467076964E-2</v>
      </c>
      <c r="BR27" s="22">
        <f t="shared" si="14"/>
        <v>8.021057129973129E-2</v>
      </c>
      <c r="BS27" s="22">
        <f t="shared" si="14"/>
        <v>8.0840885837370188E-2</v>
      </c>
      <c r="BT27" s="22">
        <f t="shared" si="14"/>
        <v>8.1493541037640407E-2</v>
      </c>
      <c r="BU27" s="22">
        <f t="shared" si="14"/>
        <v>8.2169537440412097E-2</v>
      </c>
      <c r="BV27" s="22">
        <f t="shared" si="14"/>
        <v>8.2869928530776682E-2</v>
      </c>
      <c r="BW27" s="22">
        <f t="shared" si="14"/>
        <v>8.3595824090446552E-2</v>
      </c>
      <c r="BX27" s="22">
        <f t="shared" si="10"/>
        <v>8.4348393797282234E-2</v>
      </c>
      <c r="BY27" s="22">
        <f t="shared" si="7"/>
        <v>8.5128871093830341E-2</v>
      </c>
      <c r="BZ27" s="22">
        <f t="shared" si="7"/>
        <v>8.5938557347716465E-2</v>
      </c>
      <c r="CA27" s="22">
        <f t="shared" si="7"/>
        <v>8.6778826328899814E-2</v>
      </c>
      <c r="CB27" s="22">
        <f t="shared" si="7"/>
        <v>8.7651129031186353E-2</v>
      </c>
      <c r="CC27" s="22">
        <f t="shared" si="7"/>
        <v>8.855699886803664E-2</v>
      </c>
      <c r="CD27" s="22">
        <f t="shared" si="7"/>
        <v>8.9498057275626403E-2</v>
      </c>
      <c r="CE27" s="22">
        <f t="shared" si="7"/>
        <v>9.0476019759351739E-2</v>
      </c>
      <c r="CF27" s="22">
        <f t="shared" si="7"/>
        <v>9.1492702423554423E-2</v>
      </c>
      <c r="CG27" s="22">
        <f t="shared" si="7"/>
        <v>9.2550029028217282E-2</v>
      </c>
      <c r="CH27" s="22">
        <f t="shared" si="7"/>
        <v>9.3650038620793088E-2</v>
      </c>
      <c r="CI27" s="22">
        <f t="shared" si="7"/>
        <v>9.4794893796230323E-2</v>
      </c>
      <c r="CJ27" s="22">
        <f t="shared" si="7"/>
        <v>9.5986889643713519E-2</v>
      </c>
      <c r="CK27" s="22">
        <f t="shared" si="7"/>
        <v>9.7228463444702901E-2</v>
      </c>
      <c r="CL27" s="22">
        <f t="shared" si="7"/>
        <v>9.8522205193619636E-2</v>
      </c>
      <c r="CM27" s="22">
        <f t="shared" si="7"/>
        <v>9.9870869020064409E-2</v>
      </c>
      <c r="CN27" s="22">
        <f t="shared" si="12"/>
        <v>0.10127738559987384</v>
      </c>
      <c r="CO27" s="22">
        <f t="shared" si="12"/>
        <v>0.10274487565172624</v>
      </c>
      <c r="CP27" s="22">
        <f t="shared" si="12"/>
        <v>0.10427666462652925</v>
      </c>
      <c r="CQ27" s="22">
        <f t="shared" si="12"/>
        <v>0.10587629870860223</v>
      </c>
      <c r="CR27" s="22">
        <f t="shared" si="12"/>
        <v>0.10754756226087048</v>
      </c>
      <c r="CS27" s="22">
        <f t="shared" si="12"/>
        <v>0.10929449686110299</v>
      </c>
      <c r="CT27" s="22">
        <f t="shared" si="12"/>
        <v>0.11112142209286588</v>
      </c>
      <c r="CU27" s="22">
        <f t="shared" si="12"/>
        <v>0.11303295827357376</v>
      </c>
      <c r="CV27" s="22">
        <f t="shared" si="12"/>
        <v>0.11503405132308256</v>
      </c>
      <c r="CW27" s="22">
        <f t="shared" si="12"/>
        <v>0.11713000000000097</v>
      </c>
    </row>
    <row r="28" spans="1:101">
      <c r="A28" s="22">
        <v>26</v>
      </c>
      <c r="B28" s="32" t="str">
        <f>データファイル用!$B29</f>
        <v>MEWS Acrylic Stucco</v>
      </c>
      <c r="C28" s="32">
        <f>データファイル用!K29</f>
        <v>1</v>
      </c>
      <c r="D28" s="32">
        <f>データファイル用!L29</f>
        <v>0.15717999999999999</v>
      </c>
      <c r="E28" s="32">
        <f>データファイル用!M29</f>
        <v>0.87949999999999995</v>
      </c>
      <c r="F28" s="32">
        <f>データファイル用!N29</f>
        <v>-1.0481</v>
      </c>
      <c r="G28" s="32">
        <f>データファイル用!O29</f>
        <v>11.513</v>
      </c>
      <c r="H28" s="32">
        <f>データファイル用!P29</f>
        <v>0</v>
      </c>
      <c r="I28" s="35">
        <f>データファイル用!Q29</f>
        <v>0</v>
      </c>
      <c r="J28" s="32">
        <f t="shared" si="2"/>
        <v>0.12422778655854545</v>
      </c>
      <c r="K28" s="32">
        <f t="shared" si="3"/>
        <v>0</v>
      </c>
      <c r="L28" s="53" t="str">
        <f t="shared" si="4"/>
        <v>N/A</v>
      </c>
      <c r="M28" s="22">
        <f t="shared" si="15"/>
        <v>0</v>
      </c>
      <c r="N28" s="22">
        <f t="shared" si="15"/>
        <v>1.7659122496087539E-3</v>
      </c>
      <c r="O28" s="22">
        <f t="shared" si="15"/>
        <v>3.2488151396917954E-3</v>
      </c>
      <c r="P28" s="22">
        <f t="shared" si="15"/>
        <v>4.6408471269964949E-3</v>
      </c>
      <c r="Q28" s="22">
        <f t="shared" si="15"/>
        <v>5.9769673233942859E-3</v>
      </c>
      <c r="R28" s="22">
        <f t="shared" si="15"/>
        <v>7.2729941450961058E-3</v>
      </c>
      <c r="S28" s="22">
        <f t="shared" si="15"/>
        <v>8.5379408919765767E-3</v>
      </c>
      <c r="T28" s="22">
        <f t="shared" si="15"/>
        <v>9.7776130360370094E-3</v>
      </c>
      <c r="U28" s="22">
        <f t="shared" si="15"/>
        <v>1.0996051444780575E-2</v>
      </c>
      <c r="V28" s="22">
        <f t="shared" si="15"/>
        <v>1.2196224427978497E-2</v>
      </c>
      <c r="W28" s="22">
        <f t="shared" si="15"/>
        <v>1.3380400819328923E-2</v>
      </c>
      <c r="X28" s="22">
        <f t="shared" si="15"/>
        <v>1.455036868912876E-2</v>
      </c>
      <c r="Y28" s="22">
        <f t="shared" si="15"/>
        <v>1.5707571972776755E-2</v>
      </c>
      <c r="Z28" s="22">
        <f t="shared" si="15"/>
        <v>1.685320025369199E-2</v>
      </c>
      <c r="AA28" s="22">
        <f t="shared" si="15"/>
        <v>1.7988250341873277E-2</v>
      </c>
      <c r="AB28" s="22">
        <f t="shared" si="15"/>
        <v>1.9113570213940268E-2</v>
      </c>
      <c r="AC28" s="22">
        <f t="shared" si="13"/>
        <v>2.0229891707373434E-2</v>
      </c>
      <c r="AD28" s="22">
        <f t="shared" si="13"/>
        <v>2.1337856124514231E-2</v>
      </c>
      <c r="AE28" s="22">
        <f t="shared" si="13"/>
        <v>2.2438035700396611E-2</v>
      </c>
      <c r="AF28" s="22">
        <f t="shared" si="13"/>
        <v>2.3530953287491219E-2</v>
      </c>
      <c r="AG28" s="22">
        <f t="shared" si="13"/>
        <v>2.4617102392605981E-2</v>
      </c>
      <c r="AH28" s="22">
        <f t="shared" si="13"/>
        <v>2.5696969757913336E-2</v>
      </c>
      <c r="AI28" s="22">
        <f t="shared" si="13"/>
        <v>2.6771062958740283E-2</v>
      </c>
      <c r="AJ28" s="22">
        <f t="shared" si="13"/>
        <v>2.7839945978136132E-2</v>
      </c>
      <c r="AK28" s="22">
        <f t="shared" ref="AK28:AZ81" si="17">IF($C28=2,IF(AK$2&lt;=$O$1,$D28*IF(AND(AK$2=0,$E28=0),1,AK$2^$E28)*EXP($F28*(1-IF(AND(AK$2=0,$G28=0),1,AK$2^$G28))),($H28-$I28)*(AK$2-$O$1)/(1-$O$1)+$I28),$D28*IF(AND(AK$2=0,$E28=0),1,AK$2^$E28)*EXP($F28*(1-IF(AND(AK$2=0,$G28=0),1,AK$2^$G28))))</f>
        <v>2.8904286416655836E-2</v>
      </c>
      <c r="AL28" s="22">
        <f t="shared" si="17"/>
        <v>2.9964918926193022E-2</v>
      </c>
      <c r="AM28" s="22">
        <f t="shared" si="17"/>
        <v>3.1022930656215093E-2</v>
      </c>
      <c r="AN28" s="22">
        <f t="shared" si="17"/>
        <v>3.2079776026531746E-2</v>
      </c>
      <c r="AO28" s="22">
        <f t="shared" si="17"/>
        <v>3.3137430078781706E-2</v>
      </c>
      <c r="AP28" s="22">
        <f t="shared" si="17"/>
        <v>3.4198592140338609E-2</v>
      </c>
      <c r="AQ28" s="22">
        <f t="shared" si="17"/>
        <v>3.5266954763536293E-2</v>
      </c>
      <c r="AR28" s="22">
        <f t="shared" si="17"/>
        <v>3.6347557203470916E-2</v>
      </c>
      <c r="AS28" s="22">
        <f t="shared" si="17"/>
        <v>3.7447248587561384E-2</v>
      </c>
      <c r="AT28" s="22">
        <f t="shared" si="17"/>
        <v>3.8575294246236416E-2</v>
      </c>
      <c r="AU28" s="22">
        <f t="shared" si="17"/>
        <v>3.9744170772950539E-2</v>
      </c>
      <c r="AV28" s="22">
        <f t="shared" si="17"/>
        <v>4.0970613470827484E-2</v>
      </c>
      <c r="AW28" s="22">
        <f t="shared" si="17"/>
        <v>4.2277007534826827E-2</v>
      </c>
      <c r="AX28" s="22">
        <f t="shared" si="17"/>
        <v>4.3693257570707349E-2</v>
      </c>
      <c r="AY28" s="22">
        <f t="shared" si="17"/>
        <v>4.5259338808401023E-2</v>
      </c>
      <c r="AZ28" s="22">
        <f t="shared" si="17"/>
        <v>4.7028844483227042E-2</v>
      </c>
      <c r="BA28" s="22">
        <f t="shared" si="16"/>
        <v>4.9074026475519547E-2</v>
      </c>
      <c r="BB28" s="22">
        <f t="shared" si="16"/>
        <v>5.1493131993283807E-2</v>
      </c>
      <c r="BC28" s="22">
        <f t="shared" si="16"/>
        <v>5.4421361585782951E-2</v>
      </c>
      <c r="BD28" s="22">
        <f t="shared" si="16"/>
        <v>5.8047688481009288E-2</v>
      </c>
      <c r="BE28" s="22">
        <f t="shared" si="16"/>
        <v>6.2641424872310045E-2</v>
      </c>
      <c r="BF28" s="22">
        <f t="shared" si="16"/>
        <v>6.8595474117638625E-2</v>
      </c>
      <c r="BG28" s="22">
        <f t="shared" si="16"/>
        <v>7.6499071607267988E-2</v>
      </c>
      <c r="BH28" s="22">
        <f t="shared" si="14"/>
        <v>8.7264517036109907E-2</v>
      </c>
      <c r="BI28" s="22">
        <f t="shared" si="14"/>
        <v>0.10235675477843212</v>
      </c>
      <c r="BJ28" s="22">
        <f t="shared" si="14"/>
        <v>0.10326301377237661</v>
      </c>
      <c r="BK28" s="22">
        <f t="shared" si="14"/>
        <v>0.10418624982968995</v>
      </c>
      <c r="BL28" s="22">
        <f t="shared" si="14"/>
        <v>0.1051268651651359</v>
      </c>
      <c r="BM28" s="22">
        <f t="shared" si="14"/>
        <v>0.10608527339969046</v>
      </c>
      <c r="BN28" s="22">
        <f t="shared" si="14"/>
        <v>0.10706189993659258</v>
      </c>
      <c r="BO28" s="22">
        <f t="shared" si="14"/>
        <v>0.10805718235140878</v>
      </c>
      <c r="BP28" s="22">
        <f t="shared" si="14"/>
        <v>0.10907157079669091</v>
      </c>
      <c r="BQ28" s="22">
        <f t="shared" si="14"/>
        <v>0.11010552842183356</v>
      </c>
      <c r="BR28" s="22">
        <f t="shared" si="14"/>
        <v>0.11115953180876384</v>
      </c>
      <c r="BS28" s="22">
        <f t="shared" si="14"/>
        <v>0.11223407142412598</v>
      </c>
      <c r="BT28" s="22">
        <f t="shared" si="14"/>
        <v>0.11332965208865353</v>
      </c>
      <c r="BU28" s="22">
        <f t="shared" si="14"/>
        <v>0.1144467934644534</v>
      </c>
      <c r="BV28" s="22">
        <f t="shared" si="14"/>
        <v>0.11558603056095959</v>
      </c>
      <c r="BW28" s="22">
        <f t="shared" si="14"/>
        <v>0.11674791426034974</v>
      </c>
      <c r="BX28" s="22">
        <f t="shared" si="10"/>
        <v>0.11793301186325449</v>
      </c>
      <c r="BY28" s="22">
        <f t="shared" si="7"/>
        <v>0.11914190765562775</v>
      </c>
      <c r="BZ28" s="22">
        <f t="shared" si="7"/>
        <v>0.12037520349768764</v>
      </c>
      <c r="CA28" s="22">
        <f t="shared" si="7"/>
        <v>0.12163351943588002</v>
      </c>
      <c r="CB28" s="22">
        <f t="shared" si="7"/>
        <v>0.12291749433886152</v>
      </c>
      <c r="CC28" s="22">
        <f t="shared" si="7"/>
        <v>0.12422778655854616</v>
      </c>
      <c r="CD28" s="22">
        <f t="shared" si="7"/>
        <v>0.12556507461730981</v>
      </c>
      <c r="CE28" s="22">
        <f t="shared" si="7"/>
        <v>0.12693005792249815</v>
      </c>
      <c r="CF28" s="22">
        <f t="shared" si="7"/>
        <v>0.12832345750943933</v>
      </c>
      <c r="CG28" s="22">
        <f t="shared" si="7"/>
        <v>0.12974601681422018</v>
      </c>
      <c r="CH28" s="22">
        <f t="shared" si="7"/>
        <v>0.1311985024775453</v>
      </c>
      <c r="CI28" s="22">
        <f t="shared" si="7"/>
        <v>0.13268170518106281</v>
      </c>
      <c r="CJ28" s="22">
        <f t="shared" si="7"/>
        <v>0.13419644051760715</v>
      </c>
      <c r="CK28" s="22">
        <f t="shared" si="7"/>
        <v>0.13574354989688076</v>
      </c>
      <c r="CL28" s="22">
        <f t="shared" si="7"/>
        <v>0.13732390148817158</v>
      </c>
      <c r="CM28" s="22">
        <f t="shared" si="7"/>
        <v>0.13893839120177975</v>
      </c>
      <c r="CN28" s="22">
        <f t="shared" si="12"/>
        <v>0.14058794371091249</v>
      </c>
      <c r="CO28" s="22">
        <f t="shared" si="12"/>
        <v>0.14227351351589099</v>
      </c>
      <c r="CP28" s="22">
        <f t="shared" si="12"/>
        <v>0.14399608605260641</v>
      </c>
      <c r="CQ28" s="22">
        <f t="shared" si="12"/>
        <v>0.14575667884725793</v>
      </c>
      <c r="CR28" s="22">
        <f t="shared" si="12"/>
        <v>0.1475563427195086</v>
      </c>
      <c r="CS28" s="22">
        <f t="shared" si="12"/>
        <v>0.14939616303630163</v>
      </c>
      <c r="CT28" s="22">
        <f t="shared" si="12"/>
        <v>0.15127726101869415</v>
      </c>
      <c r="CU28" s="22">
        <f t="shared" si="12"/>
        <v>0.15320079510418325</v>
      </c>
      <c r="CV28" s="22">
        <f t="shared" si="12"/>
        <v>0.15516796236712793</v>
      </c>
      <c r="CW28" s="22">
        <f t="shared" si="12"/>
        <v>0.1571800000000009</v>
      </c>
    </row>
    <row r="29" spans="1:101">
      <c r="A29" s="22">
        <v>27</v>
      </c>
      <c r="B29" s="32" t="str">
        <f>データファイル用!$B30</f>
        <v>MEWS Fibreboard I - Paper Facer</v>
      </c>
      <c r="C29" s="32">
        <f>データファイル用!K30</f>
        <v>1</v>
      </c>
      <c r="D29" s="32">
        <f>データファイル用!L30</f>
        <v>0.65198999999999996</v>
      </c>
      <c r="E29" s="32">
        <f>データファイル用!M30</f>
        <v>2.0194999999999999</v>
      </c>
      <c r="F29" s="32">
        <f>データファイル用!N30</f>
        <v>-1.0612999999999999</v>
      </c>
      <c r="G29" s="32">
        <f>データファイル用!O30</f>
        <v>175.24</v>
      </c>
      <c r="H29" s="32">
        <f>データファイル用!P30</f>
        <v>0</v>
      </c>
      <c r="I29" s="35">
        <f>データファイル用!Q30</f>
        <v>0</v>
      </c>
      <c r="J29" s="32">
        <f t="shared" si="2"/>
        <v>0.22334368521832654</v>
      </c>
      <c r="K29" s="32">
        <f t="shared" si="3"/>
        <v>0</v>
      </c>
      <c r="L29" s="53" t="str">
        <f t="shared" si="4"/>
        <v>N/A</v>
      </c>
      <c r="M29" s="22">
        <f t="shared" si="15"/>
        <v>0</v>
      </c>
      <c r="N29" s="22">
        <f t="shared" si="15"/>
        <v>8.3609240301566465E-5</v>
      </c>
      <c r="O29" s="22">
        <f t="shared" si="15"/>
        <v>3.3898802255039675E-4</v>
      </c>
      <c r="P29" s="22">
        <f t="shared" si="15"/>
        <v>7.6877747696152887E-4</v>
      </c>
      <c r="Q29" s="22">
        <f t="shared" si="15"/>
        <v>1.3744040612993749E-3</v>
      </c>
      <c r="R29" s="22">
        <f t="shared" si="15"/>
        <v>2.1568711482865097E-3</v>
      </c>
      <c r="S29" s="22">
        <f t="shared" si="15"/>
        <v>3.1169564004708407E-3</v>
      </c>
      <c r="T29" s="22">
        <f t="shared" si="15"/>
        <v>4.2552959409262962E-3</v>
      </c>
      <c r="U29" s="22">
        <f t="shared" si="15"/>
        <v>5.5724285168080997E-3</v>
      </c>
      <c r="V29" s="22">
        <f t="shared" si="15"/>
        <v>7.0688216631512894E-3</v>
      </c>
      <c r="W29" s="22">
        <f t="shared" si="15"/>
        <v>8.7448885173036141E-3</v>
      </c>
      <c r="X29" s="22">
        <f t="shared" si="15"/>
        <v>1.060099927965071E-2</v>
      </c>
      <c r="Y29" s="22">
        <f t="shared" si="15"/>
        <v>1.2637489382278443E-2</v>
      </c>
      <c r="Z29" s="22">
        <f t="shared" si="15"/>
        <v>1.485466551971105E-2</v>
      </c>
      <c r="AA29" s="22">
        <f t="shared" si="15"/>
        <v>1.725281022980793E-2</v>
      </c>
      <c r="AB29" s="22">
        <f t="shared" si="15"/>
        <v>1.9832185456178004E-2</v>
      </c>
      <c r="AC29" s="22">
        <f t="shared" si="13"/>
        <v>2.2593035373876354E-2</v>
      </c>
      <c r="AD29" s="22">
        <f t="shared" si="13"/>
        <v>2.5535588668855688E-2</v>
      </c>
      <c r="AE29" s="22">
        <f t="shared" si="13"/>
        <v>2.8660060403732309E-2</v>
      </c>
      <c r="AF29" s="22">
        <f t="shared" si="13"/>
        <v>3.1966653564457277E-2</v>
      </c>
      <c r="AG29" s="22">
        <f t="shared" si="13"/>
        <v>3.5455560356872279E-2</v>
      </c>
      <c r="AH29" s="22">
        <f t="shared" si="13"/>
        <v>3.9126963304421579E-2</v>
      </c>
      <c r="AI29" s="22">
        <f t="shared" si="13"/>
        <v>4.2981036185777338E-2</v>
      </c>
      <c r="AJ29" s="22">
        <f t="shared" si="13"/>
        <v>4.7017944842119526E-2</v>
      </c>
      <c r="AK29" s="22">
        <f t="shared" si="17"/>
        <v>5.1237847877203466E-2</v>
      </c>
      <c r="AL29" s="22">
        <f t="shared" si="17"/>
        <v>5.5640897268427941E-2</v>
      </c>
      <c r="AM29" s="22">
        <f t="shared" si="17"/>
        <v>6.0227238903402355E-2</v>
      </c>
      <c r="AN29" s="22">
        <f t="shared" si="17"/>
        <v>6.4997013053671268E-2</v>
      </c>
      <c r="AO29" s="22">
        <f t="shared" si="17"/>
        <v>6.9950354795058248E-2</v>
      </c>
      <c r="AP29" s="22">
        <f t="shared" si="17"/>
        <v>7.5087394382371067E-2</v>
      </c>
      <c r="AQ29" s="22">
        <f t="shared" si="17"/>
        <v>8.0408257584856604E-2</v>
      </c>
      <c r="AR29" s="22">
        <f t="shared" si="17"/>
        <v>8.5913065987710577E-2</v>
      </c>
      <c r="AS29" s="22">
        <f t="shared" si="17"/>
        <v>9.160193726408046E-2</v>
      </c>
      <c r="AT29" s="22">
        <f t="shared" si="17"/>
        <v>9.7474985421296609E-2</v>
      </c>
      <c r="AU29" s="22">
        <f t="shared" si="17"/>
        <v>0.1035323210244925</v>
      </c>
      <c r="AV29" s="22">
        <f t="shared" si="17"/>
        <v>0.10977405140030526</v>
      </c>
      <c r="AW29" s="22">
        <f t="shared" si="17"/>
        <v>0.11620028082295741</v>
      </c>
      <c r="AX29" s="22">
        <f t="shared" si="17"/>
        <v>0.12281111068469883</v>
      </c>
      <c r="AY29" s="22">
        <f t="shared" si="17"/>
        <v>0.12960663965231548</v>
      </c>
      <c r="AZ29" s="22">
        <f t="shared" si="17"/>
        <v>0.13658696381118707</v>
      </c>
      <c r="BA29" s="22">
        <f t="shared" si="16"/>
        <v>0.14375217679818106</v>
      </c>
      <c r="BB29" s="22">
        <f t="shared" si="16"/>
        <v>0.15110236992451057</v>
      </c>
      <c r="BC29" s="22">
        <f t="shared" si="16"/>
        <v>0.15863763228955069</v>
      </c>
      <c r="BD29" s="22">
        <f t="shared" si="16"/>
        <v>0.16635805088700922</v>
      </c>
      <c r="BE29" s="22">
        <f t="shared" si="16"/>
        <v>0.17426371073482558</v>
      </c>
      <c r="BF29" s="22">
        <f t="shared" si="16"/>
        <v>0.18235469665421955</v>
      </c>
      <c r="BG29" s="22">
        <f t="shared" si="16"/>
        <v>0.19063117566769044</v>
      </c>
      <c r="BH29" s="22">
        <f t="shared" si="14"/>
        <v>0.19909708785190341</v>
      </c>
      <c r="BI29" s="22">
        <f t="shared" si="14"/>
        <v>0.20791288106610722</v>
      </c>
      <c r="BJ29" s="22">
        <f t="shared" si="14"/>
        <v>0.20838510107832711</v>
      </c>
      <c r="BK29" s="22">
        <f t="shared" si="14"/>
        <v>0.20886483367234746</v>
      </c>
      <c r="BL29" s="22">
        <f t="shared" si="14"/>
        <v>0.20935349149471388</v>
      </c>
      <c r="BM29" s="22">
        <f t="shared" si="14"/>
        <v>0.20985276918765217</v>
      </c>
      <c r="BN29" s="22">
        <f t="shared" si="14"/>
        <v>0.21036469965111929</v>
      </c>
      <c r="BO29" s="22">
        <f t="shared" si="14"/>
        <v>0.2108917216072963</v>
      </c>
      <c r="BP29" s="22">
        <f t="shared" si="14"/>
        <v>0.21143676078926499</v>
      </c>
      <c r="BQ29" s="22">
        <f t="shared" si="14"/>
        <v>0.21200332757777943</v>
      </c>
      <c r="BR29" s="22">
        <f t="shared" si="14"/>
        <v>0.21259563453197239</v>
      </c>
      <c r="BS29" s="22">
        <f t="shared" si="14"/>
        <v>0.21321873803456476</v>
      </c>
      <c r="BT29" s="22">
        <f t="shared" si="14"/>
        <v>0.21387870924356464</v>
      </c>
      <c r="BU29" s="22">
        <f t="shared" si="14"/>
        <v>0.21458284076925233</v>
      </c>
      <c r="BV29" s="22">
        <f t="shared" si="14"/>
        <v>0.21533989705684645</v>
      </c>
      <c r="BW29" s="22">
        <f t="shared" si="14"/>
        <v>0.21616041845989636</v>
      </c>
      <c r="BX29" s="22">
        <f t="shared" si="10"/>
        <v>0.21705709158625969</v>
      </c>
      <c r="BY29" s="22">
        <f t="shared" si="7"/>
        <v>0.21804520189468182</v>
      </c>
      <c r="BZ29" s="22">
        <f t="shared" si="7"/>
        <v>0.21914318900606991</v>
      </c>
      <c r="CA29" s="22">
        <f t="shared" si="7"/>
        <v>0.2203733311808341</v>
      </c>
      <c r="CB29" s="22">
        <f t="shared" si="7"/>
        <v>0.2217625934897523</v>
      </c>
      <c r="CC29" s="22">
        <f t="shared" si="7"/>
        <v>0.22334368521832748</v>
      </c>
      <c r="CD29" s="22">
        <f t="shared" si="7"/>
        <v>0.22515638722847772</v>
      </c>
      <c r="CE29" s="22">
        <f t="shared" si="7"/>
        <v>0.22724923117474347</v>
      </c>
      <c r="CF29" s="22">
        <f t="shared" si="7"/>
        <v>0.22968164234157309</v>
      </c>
      <c r="CG29" s="22">
        <f t="shared" si="7"/>
        <v>0.23252670051068058</v>
      </c>
      <c r="CH29" s="22">
        <f t="shared" si="7"/>
        <v>0.23587473490281516</v>
      </c>
      <c r="CI29" s="22">
        <f t="shared" si="7"/>
        <v>0.2398380594858657</v>
      </c>
      <c r="CJ29" s="22">
        <f t="shared" si="7"/>
        <v>0.24455728889821721</v>
      </c>
      <c r="CK29" s="22">
        <f t="shared" si="7"/>
        <v>0.2502098769756132</v>
      </c>
      <c r="CL29" s="22">
        <f t="shared" si="7"/>
        <v>0.25702182843745164</v>
      </c>
      <c r="CM29" s="22">
        <f t="shared" si="7"/>
        <v>0.26528401419082326</v>
      </c>
      <c r="CN29" s="22">
        <f t="shared" si="12"/>
        <v>0.27537528064369471</v>
      </c>
      <c r="CO29" s="22">
        <f t="shared" si="12"/>
        <v>0.28779577047647037</v>
      </c>
      <c r="CP29" s="22">
        <f t="shared" si="12"/>
        <v>0.30321589599901261</v>
      </c>
      <c r="CQ29" s="22">
        <f t="shared" si="12"/>
        <v>0.32254982129944038</v>
      </c>
      <c r="CR29" s="22">
        <f t="shared" si="12"/>
        <v>0.34706821853679465</v>
      </c>
      <c r="CS29" s="22">
        <f t="shared" si="12"/>
        <v>0.37857557104419581</v>
      </c>
      <c r="CT29" s="22">
        <f t="shared" si="12"/>
        <v>0.41969654427892278</v>
      </c>
      <c r="CU29" s="22">
        <f t="shared" si="12"/>
        <v>0.47435237553018911</v>
      </c>
      <c r="CV29" s="22">
        <f t="shared" si="12"/>
        <v>0.54857969423871478</v>
      </c>
      <c r="CW29" s="22">
        <f t="shared" si="12"/>
        <v>0.65199000000005425</v>
      </c>
    </row>
    <row r="30" spans="1:101">
      <c r="A30" s="22">
        <v>28</v>
      </c>
      <c r="B30" s="32" t="str">
        <f>データファイル用!$B31</f>
        <v>MEWS Fibreboard II - Plain</v>
      </c>
      <c r="C30" s="32">
        <f>データファイル用!K31</f>
        <v>1</v>
      </c>
      <c r="D30" s="32">
        <f>データファイル用!L31</f>
        <v>3.254</v>
      </c>
      <c r="E30" s="32">
        <f>データファイル用!M31</f>
        <v>1.3078000000000001</v>
      </c>
      <c r="F30" s="32">
        <f>データファイル用!N31</f>
        <v>-3.359</v>
      </c>
      <c r="G30" s="32">
        <f>データファイル用!O31</f>
        <v>17.555</v>
      </c>
      <c r="H30" s="32">
        <f>データファイル用!P31</f>
        <v>0</v>
      </c>
      <c r="I30" s="35">
        <f>データファイル用!Q31</f>
        <v>0</v>
      </c>
      <c r="J30" s="32">
        <f t="shared" si="2"/>
        <v>1.1624268046384265</v>
      </c>
      <c r="K30" s="32">
        <f t="shared" si="3"/>
        <v>0</v>
      </c>
      <c r="L30" s="53" t="str">
        <f t="shared" si="4"/>
        <v>N/A</v>
      </c>
      <c r="M30" s="22">
        <f t="shared" si="15"/>
        <v>0</v>
      </c>
      <c r="N30" s="22">
        <f t="shared" si="15"/>
        <v>6.7874932736861657E-4</v>
      </c>
      <c r="O30" s="22">
        <f t="shared" si="15"/>
        <v>1.6803371940446936E-3</v>
      </c>
      <c r="P30" s="22">
        <f t="shared" si="15"/>
        <v>2.8555422425161439E-3</v>
      </c>
      <c r="Q30" s="22">
        <f t="shared" si="15"/>
        <v>4.159905537787118E-3</v>
      </c>
      <c r="R30" s="22">
        <f t="shared" si="15"/>
        <v>5.5695791980636886E-3</v>
      </c>
      <c r="S30" s="22">
        <f t="shared" si="15"/>
        <v>7.0692870634106921E-3</v>
      </c>
      <c r="T30" s="22">
        <f t="shared" si="15"/>
        <v>8.6482578342577526E-3</v>
      </c>
      <c r="U30" s="22">
        <f t="shared" si="15"/>
        <v>1.0298417570379807E-2</v>
      </c>
      <c r="V30" s="22">
        <f t="shared" si="15"/>
        <v>1.2013450577414838E-2</v>
      </c>
      <c r="W30" s="22">
        <f t="shared" si="15"/>
        <v>1.3788258351552377E-2</v>
      </c>
      <c r="X30" s="22">
        <f t="shared" si="15"/>
        <v>1.5618623854960332E-2</v>
      </c>
      <c r="Y30" s="22">
        <f t="shared" si="15"/>
        <v>1.7500991175350838E-2</v>
      </c>
      <c r="Z30" s="22">
        <f t="shared" si="15"/>
        <v>1.9432314401590739E-2</v>
      </c>
      <c r="AA30" s="22">
        <f t="shared" si="15"/>
        <v>2.1409950222056637E-2</v>
      </c>
      <c r="AB30" s="22">
        <f t="shared" si="15"/>
        <v>2.3431579328606331E-2</v>
      </c>
      <c r="AC30" s="22">
        <f t="shared" si="13"/>
        <v>2.5495147479374439E-2</v>
      </c>
      <c r="AD30" s="22">
        <f t="shared" si="13"/>
        <v>2.7598820399197314E-2</v>
      </c>
      <c r="AE30" s="22">
        <f t="shared" si="13"/>
        <v>2.974094871557206E-2</v>
      </c>
      <c r="AF30" s="22">
        <f t="shared" si="13"/>
        <v>3.1920040432520357E-2</v>
      </c>
      <c r="AG30" s="22">
        <f t="shared" si="13"/>
        <v>3.4134739373395832E-2</v>
      </c>
      <c r="AH30" s="22">
        <f t="shared" si="13"/>
        <v>3.63838088029384E-2</v>
      </c>
      <c r="AI30" s="22">
        <f t="shared" si="13"/>
        <v>3.8666120260453872E-2</v>
      </c>
      <c r="AJ30" s="22">
        <f t="shared" si="13"/>
        <v>4.0980648710610718E-2</v>
      </c>
      <c r="AK30" s="22">
        <f t="shared" si="17"/>
        <v>4.3326476724398176E-2</v>
      </c>
      <c r="AL30" s="22">
        <f t="shared" si="17"/>
        <v>4.570281294138745E-2</v>
      </c>
      <c r="AM30" s="22">
        <f t="shared" si="17"/>
        <v>4.8109034129697768E-2</v>
      </c>
      <c r="AN30" s="22">
        <f t="shared" si="17"/>
        <v>5.0544766633834552E-2</v>
      </c>
      <c r="AO30" s="22">
        <f t="shared" si="17"/>
        <v>5.3010033183272992E-2</v>
      </c>
      <c r="AP30" s="22">
        <f t="shared" si="17"/>
        <v>5.5505506830306028E-2</v>
      </c>
      <c r="AQ30" s="22">
        <f t="shared" si="17"/>
        <v>5.8032937972927003E-2</v>
      </c>
      <c r="AR30" s="22">
        <f t="shared" si="17"/>
        <v>6.0595857071701398E-2</v>
      </c>
      <c r="AS30" s="22">
        <f t="shared" si="17"/>
        <v>6.3200710865347287E-2</v>
      </c>
      <c r="AT30" s="22">
        <f t="shared" si="17"/>
        <v>6.5858672997876191E-2</v>
      </c>
      <c r="AU30" s="22">
        <f t="shared" si="17"/>
        <v>6.8588496190451001E-2</v>
      </c>
      <c r="AV30" s="22">
        <f t="shared" si="17"/>
        <v>7.1420968705582524E-2</v>
      </c>
      <c r="AW30" s="22">
        <f t="shared" si="17"/>
        <v>7.440585145520745E-2</v>
      </c>
      <c r="AX30" s="22">
        <f t="shared" si="17"/>
        <v>7.7622699126957545E-2</v>
      </c>
      <c r="AY30" s="22">
        <f t="shared" si="17"/>
        <v>8.1197905931992859E-2</v>
      </c>
      <c r="AZ30" s="22">
        <f t="shared" si="17"/>
        <v>8.533208627129818E-2</v>
      </c>
      <c r="BA30" s="22">
        <f t="shared" si="16"/>
        <v>9.0345442777101589E-2</v>
      </c>
      <c r="BB30" s="22">
        <f t="shared" si="16"/>
        <v>9.6756268048319466E-2</v>
      </c>
      <c r="BC30" s="22">
        <f t="shared" si="16"/>
        <v>0.10542448210635876</v>
      </c>
      <c r="BD30" s="22">
        <f t="shared" si="16"/>
        <v>0.1178318947045331</v>
      </c>
      <c r="BE30" s="22">
        <f t="shared" si="16"/>
        <v>0.13667221974729191</v>
      </c>
      <c r="BF30" s="22">
        <f t="shared" si="16"/>
        <v>0.16720468451395756</v>
      </c>
      <c r="BG30" s="22">
        <f t="shared" si="16"/>
        <v>0.22068683172460965</v>
      </c>
      <c r="BH30" s="22">
        <f t="shared" si="14"/>
        <v>0.32419487093217608</v>
      </c>
      <c r="BI30" s="22">
        <f t="shared" si="14"/>
        <v>0.55322963689410865</v>
      </c>
      <c r="BJ30" s="22">
        <f t="shared" si="14"/>
        <v>0.57100280457774799</v>
      </c>
      <c r="BK30" s="22">
        <f t="shared" si="14"/>
        <v>0.5896560750487998</v>
      </c>
      <c r="BL30" s="22">
        <f t="shared" si="14"/>
        <v>0.60924331259480313</v>
      </c>
      <c r="BM30" s="22">
        <f t="shared" si="14"/>
        <v>0.62982225735291275</v>
      </c>
      <c r="BN30" s="22">
        <f t="shared" si="14"/>
        <v>0.65145484313809898</v>
      </c>
      <c r="BO30" s="22">
        <f t="shared" si="14"/>
        <v>0.67420754436759933</v>
      </c>
      <c r="BP30" s="22">
        <f t="shared" si="14"/>
        <v>0.69815175501278814</v>
      </c>
      <c r="BQ30" s="22">
        <f t="shared" si="14"/>
        <v>0.72336420283109426</v>
      </c>
      <c r="BR30" s="22">
        <f t="shared" si="14"/>
        <v>0.74992740249011491</v>
      </c>
      <c r="BS30" s="22">
        <f t="shared" si="14"/>
        <v>0.77793015159846857</v>
      </c>
      <c r="BT30" s="22">
        <f t="shared" si="14"/>
        <v>0.80746807410872989</v>
      </c>
      <c r="BU30" s="22">
        <f t="shared" si="14"/>
        <v>0.83864421606316419</v>
      </c>
      <c r="BV30" s="22">
        <f t="shared" si="14"/>
        <v>0.87156969922007244</v>
      </c>
      <c r="BW30" s="22">
        <f t="shared" si="14"/>
        <v>0.90636443873542916</v>
      </c>
      <c r="BX30" s="22">
        <f t="shared" si="10"/>
        <v>0.94315793179029517</v>
      </c>
      <c r="BY30" s="22">
        <f t="shared" si="7"/>
        <v>0.98209012485980041</v>
      </c>
      <c r="BZ30" s="22">
        <f t="shared" si="7"/>
        <v>1.0233123682261676</v>
      </c>
      <c r="CA30" s="22">
        <f t="shared" si="7"/>
        <v>1.0669884673600865</v>
      </c>
      <c r="CB30" s="22">
        <f t="shared" si="7"/>
        <v>1.113295841947296</v>
      </c>
      <c r="CC30" s="22">
        <f t="shared" si="7"/>
        <v>1.1624268046384543</v>
      </c>
      <c r="CD30" s="22">
        <f t="shared" si="7"/>
        <v>1.2145899730707972</v>
      </c>
      <c r="CE30" s="22">
        <f t="shared" si="7"/>
        <v>1.2700118303731665</v>
      </c>
      <c r="CF30" s="22">
        <f t="shared" si="7"/>
        <v>1.3289384512488778</v>
      </c>
      <c r="CG30" s="22">
        <f t="shared" si="7"/>
        <v>1.3916374128645068</v>
      </c>
      <c r="CH30" s="22">
        <f t="shared" si="7"/>
        <v>1.4583999121928479</v>
      </c>
      <c r="CI30" s="22">
        <f t="shared" ref="CI30:CW81" si="18">IF($C30=2,IF(CI$2&lt;=$O$1,$D30*IF(AND(CI$2=0,$E30=0),1,CI$2^$E30)*EXP($F30*(1-IF(AND(CI$2=0,$G30=0),1,CI$2^$G30))),($H30-$I30)*(CI$2-$O$1)/(1-$O$1)+$I30),$D30*IF(AND(CI$2=0,$E30=0),1,CI$2^$E30)*EXP($F30*(1-IF(AND(CI$2=0,$G30=0),1,CI$2^$G30))))</f>
        <v>1.5295431142060718</v>
      </c>
      <c r="CJ30" s="22">
        <f t="shared" si="18"/>
        <v>1.6054127584380014</v>
      </c>
      <c r="CK30" s="22">
        <f t="shared" si="18"/>
        <v>1.6863860549870453</v>
      </c>
      <c r="CL30" s="22">
        <f t="shared" si="18"/>
        <v>1.7728749050770054</v>
      </c>
      <c r="CM30" s="22">
        <f t="shared" si="18"/>
        <v>1.8653294859046654</v>
      </c>
      <c r="CN30" s="22">
        <f t="shared" si="18"/>
        <v>1.9642422447655288</v>
      </c>
      <c r="CO30" s="22">
        <f t="shared" si="18"/>
        <v>2.0701523534602115</v>
      </c>
      <c r="CP30" s="22">
        <f t="shared" si="18"/>
        <v>2.1836506808577147</v>
      </c>
      <c r="CQ30" s="22">
        <f t="shared" si="18"/>
        <v>2.30538534936007</v>
      </c>
      <c r="CR30" s="22">
        <f t="shared" si="18"/>
        <v>2.4360679500294493</v>
      </c>
      <c r="CS30" s="22">
        <f t="shared" si="18"/>
        <v>2.5764805014824224</v>
      </c>
      <c r="CT30" s="22">
        <f t="shared" si="18"/>
        <v>2.7274832495351968</v>
      </c>
      <c r="CU30" s="22">
        <f t="shared" si="18"/>
        <v>2.8900234182413604</v>
      </c>
      <c r="CV30" s="22">
        <f t="shared" si="18"/>
        <v>3.0651450386841073</v>
      </c>
      <c r="CW30" s="22">
        <f t="shared" si="18"/>
        <v>3.2540000000000875</v>
      </c>
    </row>
    <row r="31" spans="1:101">
      <c r="A31" s="22">
        <v>29</v>
      </c>
      <c r="B31" s="32" t="str">
        <f>データファイル用!$B32</f>
        <v>MEWS Fibreboard III - Foil Facer</v>
      </c>
      <c r="C31" s="32">
        <f>データファイル用!K32</f>
        <v>1</v>
      </c>
      <c r="D31" s="32">
        <f>データファイル用!L32</f>
        <v>0</v>
      </c>
      <c r="E31" s="32">
        <f>データファイル用!M32</f>
        <v>0</v>
      </c>
      <c r="F31" s="32">
        <f>データファイル用!N32</f>
        <v>0</v>
      </c>
      <c r="G31" s="32">
        <f>データファイル用!O32</f>
        <v>0</v>
      </c>
      <c r="H31" s="32">
        <f>データファイル用!P32</f>
        <v>0</v>
      </c>
      <c r="I31" s="35">
        <f>データファイル用!Q32</f>
        <v>0</v>
      </c>
      <c r="J31" s="32">
        <f t="shared" si="2"/>
        <v>0</v>
      </c>
      <c r="K31" s="32">
        <f t="shared" si="3"/>
        <v>0</v>
      </c>
      <c r="L31" s="53" t="str">
        <f t="shared" si="4"/>
        <v>N/A</v>
      </c>
      <c r="M31" s="22">
        <f t="shared" si="15"/>
        <v>0</v>
      </c>
      <c r="N31" s="22">
        <f t="shared" si="15"/>
        <v>0</v>
      </c>
      <c r="O31" s="22">
        <f t="shared" si="15"/>
        <v>0</v>
      </c>
      <c r="P31" s="22">
        <f t="shared" si="15"/>
        <v>0</v>
      </c>
      <c r="Q31" s="22">
        <f t="shared" si="15"/>
        <v>0</v>
      </c>
      <c r="R31" s="22">
        <f t="shared" si="15"/>
        <v>0</v>
      </c>
      <c r="S31" s="22">
        <f t="shared" si="15"/>
        <v>0</v>
      </c>
      <c r="T31" s="22">
        <f t="shared" si="15"/>
        <v>0</v>
      </c>
      <c r="U31" s="22">
        <f t="shared" si="15"/>
        <v>0</v>
      </c>
      <c r="V31" s="22">
        <f t="shared" si="15"/>
        <v>0</v>
      </c>
      <c r="W31" s="22">
        <f t="shared" si="15"/>
        <v>0</v>
      </c>
      <c r="X31" s="22">
        <f t="shared" si="15"/>
        <v>0</v>
      </c>
      <c r="Y31" s="22">
        <f t="shared" si="15"/>
        <v>0</v>
      </c>
      <c r="Z31" s="22">
        <f t="shared" si="15"/>
        <v>0</v>
      </c>
      <c r="AA31" s="22">
        <f t="shared" si="15"/>
        <v>0</v>
      </c>
      <c r="AB31" s="22">
        <f t="shared" si="15"/>
        <v>0</v>
      </c>
      <c r="AC31" s="22">
        <f t="shared" si="13"/>
        <v>0</v>
      </c>
      <c r="AD31" s="22">
        <f t="shared" si="13"/>
        <v>0</v>
      </c>
      <c r="AE31" s="22">
        <f t="shared" si="13"/>
        <v>0</v>
      </c>
      <c r="AF31" s="22">
        <f t="shared" si="13"/>
        <v>0</v>
      </c>
      <c r="AG31" s="22">
        <f t="shared" si="13"/>
        <v>0</v>
      </c>
      <c r="AH31" s="22">
        <f t="shared" si="13"/>
        <v>0</v>
      </c>
      <c r="AI31" s="22">
        <f t="shared" si="13"/>
        <v>0</v>
      </c>
      <c r="AJ31" s="22">
        <f t="shared" si="13"/>
        <v>0</v>
      </c>
      <c r="AK31" s="22">
        <f t="shared" si="17"/>
        <v>0</v>
      </c>
      <c r="AL31" s="22">
        <f t="shared" si="17"/>
        <v>0</v>
      </c>
      <c r="AM31" s="22">
        <f t="shared" si="17"/>
        <v>0</v>
      </c>
      <c r="AN31" s="22">
        <f t="shared" si="17"/>
        <v>0</v>
      </c>
      <c r="AO31" s="22">
        <f t="shared" si="17"/>
        <v>0</v>
      </c>
      <c r="AP31" s="22">
        <f t="shared" si="17"/>
        <v>0</v>
      </c>
      <c r="AQ31" s="22">
        <f t="shared" si="17"/>
        <v>0</v>
      </c>
      <c r="AR31" s="22">
        <f t="shared" si="17"/>
        <v>0</v>
      </c>
      <c r="AS31" s="22">
        <f t="shared" si="17"/>
        <v>0</v>
      </c>
      <c r="AT31" s="22">
        <f t="shared" si="17"/>
        <v>0</v>
      </c>
      <c r="AU31" s="22">
        <f t="shared" si="17"/>
        <v>0</v>
      </c>
      <c r="AV31" s="22">
        <f t="shared" si="17"/>
        <v>0</v>
      </c>
      <c r="AW31" s="22">
        <f t="shared" si="17"/>
        <v>0</v>
      </c>
      <c r="AX31" s="22">
        <f t="shared" si="17"/>
        <v>0</v>
      </c>
      <c r="AY31" s="22">
        <f t="shared" si="17"/>
        <v>0</v>
      </c>
      <c r="AZ31" s="22">
        <f t="shared" si="17"/>
        <v>0</v>
      </c>
      <c r="BA31" s="22">
        <f t="shared" si="16"/>
        <v>0</v>
      </c>
      <c r="BB31" s="22">
        <f t="shared" si="16"/>
        <v>0</v>
      </c>
      <c r="BC31" s="22">
        <f t="shared" si="16"/>
        <v>0</v>
      </c>
      <c r="BD31" s="22">
        <f t="shared" si="16"/>
        <v>0</v>
      </c>
      <c r="BE31" s="22">
        <f t="shared" si="16"/>
        <v>0</v>
      </c>
      <c r="BF31" s="22">
        <f t="shared" si="16"/>
        <v>0</v>
      </c>
      <c r="BG31" s="22">
        <f t="shared" si="16"/>
        <v>0</v>
      </c>
      <c r="BH31" s="22">
        <f t="shared" si="14"/>
        <v>0</v>
      </c>
      <c r="BI31" s="22">
        <f t="shared" si="14"/>
        <v>0</v>
      </c>
      <c r="BJ31" s="22">
        <f t="shared" si="14"/>
        <v>0</v>
      </c>
      <c r="BK31" s="22">
        <f t="shared" si="14"/>
        <v>0</v>
      </c>
      <c r="BL31" s="22">
        <f t="shared" si="14"/>
        <v>0</v>
      </c>
      <c r="BM31" s="22">
        <f t="shared" si="14"/>
        <v>0</v>
      </c>
      <c r="BN31" s="22">
        <f t="shared" si="14"/>
        <v>0</v>
      </c>
      <c r="BO31" s="22">
        <f t="shared" si="14"/>
        <v>0</v>
      </c>
      <c r="BP31" s="22">
        <f t="shared" si="14"/>
        <v>0</v>
      </c>
      <c r="BQ31" s="22">
        <f t="shared" si="14"/>
        <v>0</v>
      </c>
      <c r="BR31" s="22">
        <f t="shared" si="14"/>
        <v>0</v>
      </c>
      <c r="BS31" s="22">
        <f t="shared" si="14"/>
        <v>0</v>
      </c>
      <c r="BT31" s="22">
        <f t="shared" si="14"/>
        <v>0</v>
      </c>
      <c r="BU31" s="22">
        <f t="shared" si="14"/>
        <v>0</v>
      </c>
      <c r="BV31" s="22">
        <f t="shared" si="14"/>
        <v>0</v>
      </c>
      <c r="BW31" s="22">
        <f t="shared" si="14"/>
        <v>0</v>
      </c>
      <c r="BX31" s="22">
        <f t="shared" si="10"/>
        <v>0</v>
      </c>
      <c r="BY31" s="22">
        <f t="shared" ref="BY31:CN81" si="19">IF($C31=2,IF(BY$2&lt;=$O$1,$D31*IF(AND(BY$2=0,$E31=0),1,BY$2^$E31)*EXP($F31*(1-IF(AND(BY$2=0,$G31=0),1,BY$2^$G31))),($H31-$I31)*(BY$2-$O$1)/(1-$O$1)+$I31),$D31*IF(AND(BY$2=0,$E31=0),1,BY$2^$E31)*EXP($F31*(1-IF(AND(BY$2=0,$G31=0),1,BY$2^$G31))))</f>
        <v>0</v>
      </c>
      <c r="BZ31" s="22">
        <f t="shared" si="19"/>
        <v>0</v>
      </c>
      <c r="CA31" s="22">
        <f t="shared" si="19"/>
        <v>0</v>
      </c>
      <c r="CB31" s="22">
        <f t="shared" si="19"/>
        <v>0</v>
      </c>
      <c r="CC31" s="22">
        <f t="shared" si="19"/>
        <v>0</v>
      </c>
      <c r="CD31" s="22">
        <f t="shared" si="19"/>
        <v>0</v>
      </c>
      <c r="CE31" s="22">
        <f t="shared" si="19"/>
        <v>0</v>
      </c>
      <c r="CF31" s="22">
        <f t="shared" si="19"/>
        <v>0</v>
      </c>
      <c r="CG31" s="22">
        <f t="shared" si="19"/>
        <v>0</v>
      </c>
      <c r="CH31" s="22">
        <f t="shared" si="19"/>
        <v>0</v>
      </c>
      <c r="CI31" s="22">
        <f t="shared" si="19"/>
        <v>0</v>
      </c>
      <c r="CJ31" s="22">
        <f t="shared" si="19"/>
        <v>0</v>
      </c>
      <c r="CK31" s="22">
        <f t="shared" si="19"/>
        <v>0</v>
      </c>
      <c r="CL31" s="22">
        <f t="shared" si="19"/>
        <v>0</v>
      </c>
      <c r="CM31" s="22">
        <f t="shared" si="19"/>
        <v>0</v>
      </c>
      <c r="CN31" s="22">
        <f t="shared" si="19"/>
        <v>0</v>
      </c>
      <c r="CO31" s="22">
        <f t="shared" si="18"/>
        <v>0</v>
      </c>
      <c r="CP31" s="22">
        <f t="shared" si="18"/>
        <v>0</v>
      </c>
      <c r="CQ31" s="22">
        <f t="shared" si="18"/>
        <v>0</v>
      </c>
      <c r="CR31" s="22">
        <f t="shared" si="18"/>
        <v>0</v>
      </c>
      <c r="CS31" s="22">
        <f t="shared" si="18"/>
        <v>0</v>
      </c>
      <c r="CT31" s="22">
        <f t="shared" si="18"/>
        <v>0</v>
      </c>
      <c r="CU31" s="22">
        <f t="shared" si="18"/>
        <v>0</v>
      </c>
      <c r="CV31" s="22">
        <f t="shared" si="18"/>
        <v>0</v>
      </c>
      <c r="CW31" s="22">
        <f t="shared" si="18"/>
        <v>0</v>
      </c>
    </row>
    <row r="32" spans="1:101">
      <c r="A32" s="22">
        <v>30</v>
      </c>
      <c r="B32" s="32" t="str">
        <f>データファイル用!$B33</f>
        <v>MEWS Fibreboard IV - Plain</v>
      </c>
      <c r="C32" s="32">
        <f>データファイル用!K33</f>
        <v>1</v>
      </c>
      <c r="D32" s="32">
        <f>データファイル用!L33</f>
        <v>0.68171999999999999</v>
      </c>
      <c r="E32" s="32">
        <f>データファイル用!M33</f>
        <v>1.0412999999999999</v>
      </c>
      <c r="F32" s="32">
        <f>データファイル用!N33</f>
        <v>-1.423</v>
      </c>
      <c r="G32" s="32">
        <f>データファイル用!O33</f>
        <v>93.081000000000003</v>
      </c>
      <c r="H32" s="32">
        <f>データファイル用!P33</f>
        <v>0</v>
      </c>
      <c r="I32" s="35">
        <f>データファイル用!Q33</f>
        <v>0</v>
      </c>
      <c r="J32" s="32">
        <f t="shared" si="2"/>
        <v>0.19985891207251719</v>
      </c>
      <c r="K32" s="32">
        <f t="shared" si="3"/>
        <v>0</v>
      </c>
      <c r="L32" s="53" t="str">
        <f t="shared" si="4"/>
        <v>N/A</v>
      </c>
      <c r="M32" s="22">
        <f t="shared" si="15"/>
        <v>0</v>
      </c>
      <c r="N32" s="22">
        <f t="shared" si="15"/>
        <v>2.7955516594167793E-3</v>
      </c>
      <c r="O32" s="22">
        <f t="shared" si="15"/>
        <v>5.7534726976383377E-3</v>
      </c>
      <c r="P32" s="22">
        <f t="shared" si="15"/>
        <v>8.7759448344294118E-3</v>
      </c>
      <c r="Q32" s="22">
        <f t="shared" si="15"/>
        <v>1.1841114783539979E-2</v>
      </c>
      <c r="R32" s="22">
        <f t="shared" si="15"/>
        <v>1.4938431073392234E-2</v>
      </c>
      <c r="S32" s="22">
        <f t="shared" si="15"/>
        <v>1.8061608280708262E-2</v>
      </c>
      <c r="T32" s="22">
        <f t="shared" si="15"/>
        <v>2.1206456750612768E-2</v>
      </c>
      <c r="U32" s="22">
        <f t="shared" si="15"/>
        <v>2.4369977348553819E-2</v>
      </c>
      <c r="V32" s="22">
        <f t="shared" si="15"/>
        <v>2.7549913977628303E-2</v>
      </c>
      <c r="W32" s="22">
        <f t="shared" si="15"/>
        <v>3.0744506200341571E-2</v>
      </c>
      <c r="X32" s="22">
        <f t="shared" si="15"/>
        <v>3.3952341081402861E-2</v>
      </c>
      <c r="Y32" s="22">
        <f t="shared" si="15"/>
        <v>3.7172258923726387E-2</v>
      </c>
      <c r="Z32" s="22">
        <f t="shared" si="15"/>
        <v>4.0403290381182365E-2</v>
      </c>
      <c r="AA32" s="22">
        <f t="shared" si="15"/>
        <v>4.3644612868199768E-2</v>
      </c>
      <c r="AB32" s="22">
        <f t="shared" si="15"/>
        <v>4.6895519376796924E-2</v>
      </c>
      <c r="AC32" s="22">
        <f t="shared" si="13"/>
        <v>5.0155395570912399E-2</v>
      </c>
      <c r="AD32" s="22">
        <f t="shared" si="13"/>
        <v>5.3423702577086805E-2</v>
      </c>
      <c r="AE32" s="22">
        <f t="shared" si="13"/>
        <v>5.6699963800932882E-2</v>
      </c>
      <c r="AF32" s="22">
        <f t="shared" si="13"/>
        <v>5.998375465497463E-2</v>
      </c>
      <c r="AG32" s="22">
        <f t="shared" si="13"/>
        <v>6.3274694434708081E-2</v>
      </c>
      <c r="AH32" s="22">
        <f t="shared" si="13"/>
        <v>6.6572439808147726E-2</v>
      </c>
      <c r="AI32" s="22">
        <f t="shared" si="13"/>
        <v>6.9876679536485284E-2</v>
      </c>
      <c r="AJ32" s="22">
        <f t="shared" si="13"/>
        <v>7.3187130147449153E-2</v>
      </c>
      <c r="AK32" s="22">
        <f t="shared" si="17"/>
        <v>7.6503532355335302E-2</v>
      </c>
      <c r="AL32" s="22">
        <f t="shared" si="17"/>
        <v>7.9825648072998426E-2</v>
      </c>
      <c r="AM32" s="22">
        <f t="shared" si="17"/>
        <v>8.3153257898079119E-2</v>
      </c>
      <c r="AN32" s="22">
        <f t="shared" si="17"/>
        <v>8.6486158982797129E-2</v>
      </c>
      <c r="AO32" s="22">
        <f t="shared" si="17"/>
        <v>8.9824163216704639E-2</v>
      </c>
      <c r="AP32" s="22">
        <f t="shared" si="17"/>
        <v>9.3167095666854646E-2</v>
      </c>
      <c r="AQ32" s="22">
        <f t="shared" si="17"/>
        <v>9.6514793231279525E-2</v>
      </c>
      <c r="AR32" s="22">
        <f t="shared" si="17"/>
        <v>9.986710347045416E-2</v>
      </c>
      <c r="AS32" s="22">
        <f t="shared" si="17"/>
        <v>0.10322388358822089</v>
      </c>
      <c r="AT32" s="22">
        <f t="shared" si="17"/>
        <v>0.10658499953897678</v>
      </c>
      <c r="AU32" s="22">
        <f t="shared" si="17"/>
        <v>0.10995032524211884</v>
      </c>
      <c r="AV32" s="22">
        <f t="shared" si="17"/>
        <v>0.11331974188808036</v>
      </c>
      <c r="AW32" s="22">
        <f t="shared" si="17"/>
        <v>0.11669313732296821</v>
      </c>
      <c r="AX32" s="22">
        <f t="shared" si="17"/>
        <v>0.12007040550102503</v>
      </c>
      <c r="AY32" s="22">
        <f t="shared" si="17"/>
        <v>0.12345144599659727</v>
      </c>
      <c r="AZ32" s="22">
        <f t="shared" si="17"/>
        <v>0.12683616357648123</v>
      </c>
      <c r="BA32" s="22">
        <f t="shared" si="16"/>
        <v>0.13022446791472628</v>
      </c>
      <c r="BB32" s="22">
        <f t="shared" si="16"/>
        <v>0.13361627431005729</v>
      </c>
      <c r="BC32" s="22">
        <f t="shared" si="16"/>
        <v>0.13701151339638989</v>
      </c>
      <c r="BD32" s="22">
        <f t="shared" si="16"/>
        <v>0.14041021980443699</v>
      </c>
      <c r="BE32" s="22">
        <f t="shared" si="16"/>
        <v>0.14381328127717494</v>
      </c>
      <c r="BF32" s="22">
        <f t="shared" si="16"/>
        <v>0.14722845024400441</v>
      </c>
      <c r="BG32" s="22">
        <f t="shared" si="16"/>
        <v>0.15071638723722289</v>
      </c>
      <c r="BH32" s="22">
        <f t="shared" si="14"/>
        <v>0.1547289338025836</v>
      </c>
      <c r="BI32" s="22">
        <f t="shared" si="14"/>
        <v>0.16254462431457226</v>
      </c>
      <c r="BJ32" s="22">
        <f t="shared" si="14"/>
        <v>0.16324904034994261</v>
      </c>
      <c r="BK32" s="22">
        <f t="shared" si="14"/>
        <v>0.16400975424249209</v>
      </c>
      <c r="BL32" s="22">
        <f t="shared" si="14"/>
        <v>0.16483286008642575</v>
      </c>
      <c r="BM32" s="22">
        <f t="shared" si="14"/>
        <v>0.16572515243713232</v>
      </c>
      <c r="BN32" s="22">
        <f t="shared" si="14"/>
        <v>0.16669421608783241</v>
      </c>
      <c r="BO32" s="22">
        <f t="shared" si="14"/>
        <v>0.16774852929632628</v>
      </c>
      <c r="BP32" s="22">
        <f t="shared" si="14"/>
        <v>0.16889758285565615</v>
      </c>
      <c r="BQ32" s="22">
        <f t="shared" si="14"/>
        <v>0.17015201789879747</v>
      </c>
      <c r="BR32" s="22">
        <f t="shared" si="14"/>
        <v>0.17152378594021811</v>
      </c>
      <c r="BS32" s="22">
        <f t="shared" si="14"/>
        <v>0.17302633541664422</v>
      </c>
      <c r="BT32" s="22">
        <f t="shared" si="14"/>
        <v>0.1746748299347034</v>
      </c>
      <c r="BU32" s="22">
        <f t="shared" si="14"/>
        <v>0.17648640461481105</v>
      </c>
      <c r="BV32" s="22">
        <f t="shared" si="14"/>
        <v>0.17848046840442333</v>
      </c>
      <c r="BW32" s="22">
        <f t="shared" si="14"/>
        <v>0.18067906210546408</v>
      </c>
      <c r="BX32" s="22">
        <f t="shared" si="10"/>
        <v>0.183107284233192</v>
      </c>
      <c r="BY32" s="22">
        <f t="shared" si="19"/>
        <v>0.18579379984614547</v>
      </c>
      <c r="BZ32" s="22">
        <f t="shared" si="19"/>
        <v>0.18877145135736229</v>
      </c>
      <c r="CA32" s="22">
        <f t="shared" si="19"/>
        <v>0.19207799532102438</v>
      </c>
      <c r="CB32" s="22">
        <f t="shared" si="19"/>
        <v>0.19575699564303484</v>
      </c>
      <c r="CC32" s="22">
        <f t="shared" si="19"/>
        <v>0.19985891207251955</v>
      </c>
      <c r="CD32" s="22">
        <f t="shared" si="19"/>
        <v>0.20444243385386779</v>
      </c>
      <c r="CE32" s="22">
        <f t="shared" si="19"/>
        <v>0.20957612296254499</v>
      </c>
      <c r="CF32" s="22">
        <f t="shared" si="19"/>
        <v>0.21534045066796939</v>
      </c>
      <c r="CG32" s="22">
        <f t="shared" si="19"/>
        <v>0.22183033701461255</v>
      </c>
      <c r="CH32" s="22">
        <f t="shared" si="19"/>
        <v>0.22915833765120069</v>
      </c>
      <c r="CI32" s="22">
        <f t="shared" si="19"/>
        <v>0.2374586697604627</v>
      </c>
      <c r="CJ32" s="22">
        <f t="shared" si="19"/>
        <v>0.24689233364557645</v>
      </c>
      <c r="CK32" s="22">
        <f t="shared" si="19"/>
        <v>0.25765367602931027</v>
      </c>
      <c r="CL32" s="22">
        <f t="shared" si="19"/>
        <v>0.26997886583482394</v>
      </c>
      <c r="CM32" s="22">
        <f t="shared" si="19"/>
        <v>0.28415692862719721</v>
      </c>
      <c r="CN32" s="22">
        <f t="shared" si="19"/>
        <v>0.30054423503866917</v>
      </c>
      <c r="CO32" s="22">
        <f t="shared" si="18"/>
        <v>0.31958369602916481</v>
      </c>
      <c r="CP32" s="22">
        <f t="shared" si="18"/>
        <v>0.34183043646958844</v>
      </c>
      <c r="CQ32" s="22">
        <f t="shared" si="18"/>
        <v>0.3679864794708253</v>
      </c>
      <c r="CR32" s="22">
        <f t="shared" si="18"/>
        <v>0.39894810374405143</v>
      </c>
      <c r="CS32" s="22">
        <f t="shared" si="18"/>
        <v>0.43587123520114546</v>
      </c>
      <c r="CT32" s="22">
        <f t="shared" si="18"/>
        <v>0.48026282275284632</v>
      </c>
      <c r="CU32" s="22">
        <f t="shared" si="18"/>
        <v>0.53411014857514838</v>
      </c>
      <c r="CV32" s="22">
        <f t="shared" si="18"/>
        <v>0.60006629689846425</v>
      </c>
      <c r="CW32" s="22">
        <f t="shared" si="18"/>
        <v>0.6817200000000404</v>
      </c>
    </row>
    <row r="33" spans="1:101">
      <c r="A33" s="22">
        <v>31</v>
      </c>
      <c r="B33" s="32" t="str">
        <f>データファイル用!$B34</f>
        <v>MEWS Fibreboard V - Black Coat</v>
      </c>
      <c r="C33" s="32">
        <f>データファイル用!K34</f>
        <v>1</v>
      </c>
      <c r="D33" s="32">
        <f>データファイル用!L34</f>
        <v>0.72548999999999997</v>
      </c>
      <c r="E33" s="32">
        <f>データファイル用!M34</f>
        <v>2.2164000000000001</v>
      </c>
      <c r="F33" s="32">
        <f>データファイル用!N34</f>
        <v>-1.1870000000000001</v>
      </c>
      <c r="G33" s="32">
        <f>データファイル用!O34</f>
        <v>140.69999999999999</v>
      </c>
      <c r="H33" s="32">
        <f>データファイル用!P34</f>
        <v>0</v>
      </c>
      <c r="I33" s="35">
        <f>データファイル用!Q34</f>
        <v>0</v>
      </c>
      <c r="J33" s="32">
        <f t="shared" si="2"/>
        <v>0.22684039508854403</v>
      </c>
      <c r="K33" s="32">
        <f t="shared" si="3"/>
        <v>0</v>
      </c>
      <c r="L33" s="53" t="str">
        <f t="shared" si="4"/>
        <v>N/A</v>
      </c>
      <c r="M33" s="22">
        <f t="shared" si="15"/>
        <v>0</v>
      </c>
      <c r="N33" s="22">
        <f t="shared" si="15"/>
        <v>3.797753415254465E-5</v>
      </c>
      <c r="O33" s="22">
        <f t="shared" si="15"/>
        <v>1.76493877851145E-4</v>
      </c>
      <c r="P33" s="22">
        <f t="shared" si="15"/>
        <v>4.3352915765574457E-4</v>
      </c>
      <c r="Q33" s="22">
        <f t="shared" si="15"/>
        <v>8.2022410390874905E-4</v>
      </c>
      <c r="R33" s="22">
        <f t="shared" si="15"/>
        <v>1.3450049435107516E-3</v>
      </c>
      <c r="S33" s="22">
        <f t="shared" si="15"/>
        <v>2.0147501385651676E-3</v>
      </c>
      <c r="T33" s="22">
        <f t="shared" si="15"/>
        <v>2.8353198530669285E-3</v>
      </c>
      <c r="U33" s="22">
        <f t="shared" si="15"/>
        <v>3.8118465570818462E-3</v>
      </c>
      <c r="V33" s="22">
        <f t="shared" si="15"/>
        <v>4.9489134756029477E-3</v>
      </c>
      <c r="W33" s="22">
        <f t="shared" si="15"/>
        <v>6.2506727597338423E-3</v>
      </c>
      <c r="X33" s="22">
        <f t="shared" si="15"/>
        <v>7.7209281387052037E-3</v>
      </c>
      <c r="Y33" s="22">
        <f t="shared" si="15"/>
        <v>9.3631951834522078E-3</v>
      </c>
      <c r="Z33" s="22">
        <f t="shared" si="15"/>
        <v>1.1180746709761871E-2</v>
      </c>
      <c r="AA33" s="22">
        <f t="shared" si="15"/>
        <v>1.3176647904682093E-2</v>
      </c>
      <c r="AB33" s="22">
        <f t="shared" si="15"/>
        <v>1.5353784104594323E-2</v>
      </c>
      <c r="AC33" s="22">
        <f t="shared" si="13"/>
        <v>1.771488317094522E-2</v>
      </c>
      <c r="AD33" s="22">
        <f t="shared" si="13"/>
        <v>2.0262533800009582E-2</v>
      </c>
      <c r="AE33" s="22">
        <f t="shared" si="13"/>
        <v>2.2999200710360677E-2</v>
      </c>
      <c r="AF33" s="22">
        <f t="shared" si="13"/>
        <v>2.5927237390589376E-2</v>
      </c>
      <c r="AG33" s="22">
        <f t="shared" si="13"/>
        <v>2.9048896911334218E-2</v>
      </c>
      <c r="AH33" s="22">
        <f t="shared" si="13"/>
        <v>3.236634118074655E-2</v>
      </c>
      <c r="AI33" s="22">
        <f t="shared" si="13"/>
        <v>3.5881648933196987E-2</v>
      </c>
      <c r="AJ33" s="22">
        <f t="shared" si="13"/>
        <v>3.959682267597231E-2</v>
      </c>
      <c r="AK33" s="22">
        <f t="shared" si="17"/>
        <v>4.3513794770530585E-2</v>
      </c>
      <c r="AL33" s="22">
        <f t="shared" si="17"/>
        <v>4.7634432788658219E-2</v>
      </c>
      <c r="AM33" s="22">
        <f t="shared" si="17"/>
        <v>5.1960544256270058E-2</v>
      </c>
      <c r="AN33" s="22">
        <f t="shared" si="17"/>
        <v>5.6493880876295699E-2</v>
      </c>
      <c r="AO33" s="22">
        <f t="shared" si="17"/>
        <v>6.1236142305481495E-2</v>
      </c>
      <c r="AP33" s="22">
        <f t="shared" si="17"/>
        <v>6.6188979546838556E-2</v>
      </c>
      <c r="AQ33" s="22">
        <f t="shared" si="17"/>
        <v>7.1353998009045336E-2</v>
      </c>
      <c r="AR33" s="22">
        <f t="shared" si="17"/>
        <v>7.6732760275746048E-2</v>
      </c>
      <c r="AS33" s="22">
        <f t="shared" si="17"/>
        <v>8.2326788620914651E-2</v>
      </c>
      <c r="AT33" s="22">
        <f t="shared" si="17"/>
        <v>8.8137567300933542E-2</v>
      </c>
      <c r="AU33" s="22">
        <f t="shared" si="17"/>
        <v>9.416654464950211E-2</v>
      </c>
      <c r="AV33" s="22">
        <f t="shared" si="17"/>
        <v>0.10041513499774381</v>
      </c>
      <c r="AW33" s="22">
        <f t="shared" si="17"/>
        <v>0.10688472043876442</v>
      </c>
      <c r="AX33" s="22">
        <f t="shared" si="17"/>
        <v>0.11357665245330914</v>
      </c>
      <c r="AY33" s="22">
        <f t="shared" si="17"/>
        <v>0.12049225341097379</v>
      </c>
      <c r="AZ33" s="22">
        <f t="shared" si="17"/>
        <v>0.12763281795957596</v>
      </c>
      <c r="BA33" s="22">
        <f t="shared" si="16"/>
        <v>0.13499961431372026</v>
      </c>
      <c r="BB33" s="22">
        <f t="shared" si="16"/>
        <v>0.1425938854523523</v>
      </c>
      <c r="BC33" s="22">
        <f t="shared" si="16"/>
        <v>0.15041685023699336</v>
      </c>
      <c r="BD33" s="22">
        <f t="shared" si="16"/>
        <v>0.15846970454738518</v>
      </c>
      <c r="BE33" s="22">
        <f t="shared" si="16"/>
        <v>0.16675362477610894</v>
      </c>
      <c r="BF33" s="22">
        <f t="shared" si="16"/>
        <v>0.175269830431072</v>
      </c>
      <c r="BG33" s="22">
        <f t="shared" si="16"/>
        <v>0.18402099001607974</v>
      </c>
      <c r="BH33" s="22">
        <f t="shared" si="14"/>
        <v>0.19304112015463945</v>
      </c>
      <c r="BI33" s="22">
        <f t="shared" si="14"/>
        <v>0.20299298657715631</v>
      </c>
      <c r="BJ33" s="22">
        <f t="shared" si="14"/>
        <v>0.20358401688374325</v>
      </c>
      <c r="BK33" s="22">
        <f t="shared" si="14"/>
        <v>0.2041954403726996</v>
      </c>
      <c r="BL33" s="22">
        <f t="shared" si="14"/>
        <v>0.20483041415988734</v>
      </c>
      <c r="BM33" s="22">
        <f t="shared" si="14"/>
        <v>0.20549260033519268</v>
      </c>
      <c r="BN33" s="22">
        <f t="shared" si="14"/>
        <v>0.20618624802726707</v>
      </c>
      <c r="BO33" s="22">
        <f t="shared" si="14"/>
        <v>0.20691628935119519</v>
      </c>
      <c r="BP33" s="22">
        <f t="shared" si="14"/>
        <v>0.20768845178451151</v>
      </c>
      <c r="BQ33" s="22">
        <f t="shared" si="14"/>
        <v>0.20850939004860961</v>
      </c>
      <c r="BR33" s="22">
        <f t="shared" si="14"/>
        <v>0.20938684123491025</v>
      </c>
      <c r="BS33" s="22">
        <f t="shared" si="14"/>
        <v>0.21032980774575433</v>
      </c>
      <c r="BT33" s="22">
        <f t="shared" si="14"/>
        <v>0.21134877366863189</v>
      </c>
      <c r="BU33" s="22">
        <f t="shared" si="14"/>
        <v>0.21245596153545018</v>
      </c>
      <c r="BV33" s="22">
        <f t="shared" si="14"/>
        <v>0.2136656381251133</v>
      </c>
      <c r="BW33" s="22">
        <f t="shared" si="14"/>
        <v>0.21499448016796593</v>
      </c>
      <c r="BX33" s="22">
        <f t="shared" si="10"/>
        <v>0.21646201366800918</v>
      </c>
      <c r="BY33" s="22">
        <f t="shared" si="19"/>
        <v>0.21809114429678228</v>
      </c>
      <c r="BZ33" s="22">
        <f t="shared" si="19"/>
        <v>0.21990880123949993</v>
      </c>
      <c r="CA33" s="22">
        <f t="shared" si="19"/>
        <v>0.2219467234172855</v>
      </c>
      <c r="CB33" s="22">
        <f t="shared" si="19"/>
        <v>0.22424242576807174</v>
      </c>
      <c r="CC33" s="22">
        <f t="shared" si="19"/>
        <v>0.22684039508854559</v>
      </c>
      <c r="CD33" s="22">
        <f t="shared" si="19"/>
        <v>0.22979358102508174</v>
      </c>
      <c r="CE33" s="22">
        <f t="shared" si="19"/>
        <v>0.23316526988575811</v>
      </c>
      <c r="CF33" s="22">
        <f t="shared" si="19"/>
        <v>0.23703145954624588</v>
      </c>
      <c r="CG33" s="22">
        <f t="shared" si="19"/>
        <v>0.24148389653827265</v>
      </c>
      <c r="CH33" s="22">
        <f t="shared" si="19"/>
        <v>0.24663399693600871</v>
      </c>
      <c r="CI33" s="22">
        <f t="shared" si="19"/>
        <v>0.2526179591583041</v>
      </c>
      <c r="CJ33" s="22">
        <f t="shared" si="19"/>
        <v>0.25960350187484837</v>
      </c>
      <c r="CK33" s="22">
        <f t="shared" si="19"/>
        <v>0.26779884328822878</v>
      </c>
      <c r="CL33" s="22">
        <f t="shared" si="19"/>
        <v>0.27746480963092768</v>
      </c>
      <c r="CM33" s="22">
        <f t="shared" si="19"/>
        <v>0.28893136924538626</v>
      </c>
      <c r="CN33" s="22">
        <f t="shared" si="19"/>
        <v>0.30262051250560951</v>
      </c>
      <c r="CO33" s="22">
        <f t="shared" si="18"/>
        <v>0.31907836609056256</v>
      </c>
      <c r="CP33" s="22">
        <f t="shared" si="18"/>
        <v>0.33902095894291845</v>
      </c>
      <c r="CQ33" s="22">
        <f t="shared" si="18"/>
        <v>0.36340051621756192</v>
      </c>
      <c r="CR33" s="22">
        <f t="shared" si="18"/>
        <v>0.39350319179252286</v>
      </c>
      <c r="CS33" s="22">
        <f t="shared" si="18"/>
        <v>0.43109591132114383</v>
      </c>
      <c r="CT33" s="22">
        <f t="shared" si="18"/>
        <v>0.47865159308705402</v>
      </c>
      <c r="CU33" s="22">
        <f t="shared" si="18"/>
        <v>0.53970239767718242</v>
      </c>
      <c r="CV33" s="22">
        <f t="shared" si="18"/>
        <v>0.61940746343186714</v>
      </c>
      <c r="CW33" s="22">
        <f t="shared" si="18"/>
        <v>0.72549000000005448</v>
      </c>
    </row>
    <row r="34" spans="1:101">
      <c r="A34" s="22">
        <v>32</v>
      </c>
      <c r="B34" s="32" t="str">
        <f>データファイル用!$B35</f>
        <v>MEWS Fibreboard VI - Black Coat</v>
      </c>
      <c r="C34" s="32">
        <f>データファイル用!K35</f>
        <v>1</v>
      </c>
      <c r="D34" s="32">
        <f>データファイル用!L35</f>
        <v>0.67049000000000003</v>
      </c>
      <c r="E34" s="32">
        <f>データファイル用!M35</f>
        <v>2.21</v>
      </c>
      <c r="F34" s="32">
        <f>データファイル用!N35</f>
        <v>-1.0942000000000001</v>
      </c>
      <c r="G34" s="32">
        <f>データファイル用!O35</f>
        <v>135.93</v>
      </c>
      <c r="H34" s="32">
        <f>データファイル用!P35</f>
        <v>0</v>
      </c>
      <c r="I34" s="35">
        <f>データファイル用!Q35</f>
        <v>0</v>
      </c>
      <c r="J34" s="32">
        <f t="shared" si="2"/>
        <v>0.23029940326814213</v>
      </c>
      <c r="K34" s="32">
        <f t="shared" si="3"/>
        <v>0</v>
      </c>
      <c r="L34" s="53" t="str">
        <f t="shared" si="4"/>
        <v>N/A</v>
      </c>
      <c r="M34" s="22">
        <f t="shared" si="15"/>
        <v>0</v>
      </c>
      <c r="N34" s="22">
        <f t="shared" si="15"/>
        <v>3.948785772777325E-5</v>
      </c>
      <c r="O34" s="22">
        <f t="shared" si="15"/>
        <v>1.8270055376579352E-4</v>
      </c>
      <c r="P34" s="22">
        <f t="shared" si="15"/>
        <v>4.4761181987201364E-4</v>
      </c>
      <c r="Q34" s="22">
        <f t="shared" si="15"/>
        <v>8.4531028693538381E-4</v>
      </c>
      <c r="R34" s="22">
        <f t="shared" si="15"/>
        <v>1.38416314952214E-3</v>
      </c>
      <c r="S34" s="22">
        <f t="shared" si="15"/>
        <v>2.0709892120892009E-3</v>
      </c>
      <c r="T34" s="22">
        <f t="shared" si="15"/>
        <v>2.9115901515922144E-3</v>
      </c>
      <c r="U34" s="22">
        <f t="shared" si="15"/>
        <v>3.9110416825269842E-3</v>
      </c>
      <c r="V34" s="22">
        <f t="shared" si="15"/>
        <v>5.0738721424286948E-3</v>
      </c>
      <c r="W34" s="22">
        <f t="shared" si="15"/>
        <v>6.4041806385975427E-3</v>
      </c>
      <c r="X34" s="22">
        <f t="shared" si="15"/>
        <v>7.9057196137891552E-3</v>
      </c>
      <c r="Y34" s="22">
        <f t="shared" si="15"/>
        <v>9.581955002475601E-3</v>
      </c>
      <c r="Z34" s="22">
        <f t="shared" si="15"/>
        <v>1.1436111523285221E-2</v>
      </c>
      <c r="AA34" s="22">
        <f t="shared" si="15"/>
        <v>1.3471207698886878E-2</v>
      </c>
      <c r="AB34" s="22">
        <f t="shared" si="15"/>
        <v>1.5690083534757544E-2</v>
      </c>
      <c r="AC34" s="22">
        <f t="shared" si="13"/>
        <v>1.8095422803760079E-2</v>
      </c>
      <c r="AD34" s="22">
        <f t="shared" si="13"/>
        <v>2.068977127285903E-2</v>
      </c>
      <c r="AE34" s="22">
        <f t="shared" si="13"/>
        <v>2.3475551815173919E-2</v>
      </c>
      <c r="AF34" s="22">
        <f t="shared" si="13"/>
        <v>2.6455077089266674E-2</v>
      </c>
      <c r="AG34" s="22">
        <f t="shared" si="13"/>
        <v>2.9630560289043196E-2</v>
      </c>
      <c r="AH34" s="22">
        <f t="shared" si="13"/>
        <v>3.3004124342734212E-2</v>
      </c>
      <c r="AI34" s="22">
        <f t="shared" si="13"/>
        <v>3.6577809850152798E-2</v>
      </c>
      <c r="AJ34" s="22">
        <f t="shared" si="13"/>
        <v>4.0353581982429373E-2</v>
      </c>
      <c r="AK34" s="22">
        <f t="shared" si="17"/>
        <v>4.4333336520302781E-2</v>
      </c>
      <c r="AL34" s="22">
        <f t="shared" si="17"/>
        <v>4.8518905170880505E-2</v>
      </c>
      <c r="AM34" s="22">
        <f t="shared" si="17"/>
        <v>5.2912060275228497E-2</v>
      </c>
      <c r="AN34" s="22">
        <f t="shared" si="17"/>
        <v>5.7514518997900964E-2</v>
      </c>
      <c r="AO34" s="22">
        <f t="shared" si="17"/>
        <v>6.2327947072945623E-2</v>
      </c>
      <c r="AP34" s="22">
        <f t="shared" si="17"/>
        <v>6.7353962167857689E-2</v>
      </c>
      <c r="AQ34" s="22">
        <f t="shared" si="17"/>
        <v>7.2594136916563898E-2</v>
      </c>
      <c r="AR34" s="22">
        <f t="shared" si="17"/>
        <v>7.8050001664177651E-2</v>
      </c>
      <c r="AS34" s="22">
        <f t="shared" si="17"/>
        <v>8.3723046959518335E-2</v>
      </c>
      <c r="AT34" s="22">
        <f t="shared" si="17"/>
        <v>8.9614725825887323E-2</v>
      </c>
      <c r="AU34" s="22">
        <f t="shared" si="17"/>
        <v>9.572645583607646E-2</v>
      </c>
      <c r="AV34" s="22">
        <f t="shared" si="17"/>
        <v>0.10205962101385421</v>
      </c>
      <c r="AW34" s="22">
        <f t="shared" si="17"/>
        <v>0.108615573581072</v>
      </c>
      <c r="AX34" s="22">
        <f t="shared" si="17"/>
        <v>0.11539563556693895</v>
      </c>
      <c r="AY34" s="22">
        <f t="shared" si="17"/>
        <v>0.1224011002938331</v>
      </c>
      <c r="AZ34" s="22">
        <f t="shared" si="17"/>
        <v>0.12963323375217423</v>
      </c>
      <c r="BA34" s="22">
        <f t="shared" si="16"/>
        <v>0.13709327587532824</v>
      </c>
      <c r="BB34" s="22">
        <f t="shared" si="16"/>
        <v>0.14478244172440852</v>
      </c>
      <c r="BC34" s="22">
        <f t="shared" si="16"/>
        <v>0.15270192259804197</v>
      </c>
      <c r="BD34" s="22">
        <f t="shared" si="16"/>
        <v>0.16085288724078936</v>
      </c>
      <c r="BE34" s="22">
        <f t="shared" si="16"/>
        <v>0.16923648704885511</v>
      </c>
      <c r="BF34" s="22">
        <f t="shared" si="16"/>
        <v>0.1778539500869798</v>
      </c>
      <c r="BG34" s="22">
        <f t="shared" si="16"/>
        <v>0.18670848890715624</v>
      </c>
      <c r="BH34" s="22">
        <f t="shared" si="14"/>
        <v>0.19584187462918798</v>
      </c>
      <c r="BI34" s="22">
        <f t="shared" si="14"/>
        <v>0.20599468638743335</v>
      </c>
      <c r="BJ34" s="22">
        <f t="shared" si="14"/>
        <v>0.20660290247607521</v>
      </c>
      <c r="BK34" s="22">
        <f t="shared" si="14"/>
        <v>0.20723263931118943</v>
      </c>
      <c r="BL34" s="22">
        <f t="shared" si="14"/>
        <v>0.20788711540278373</v>
      </c>
      <c r="BM34" s="22">
        <f t="shared" si="14"/>
        <v>0.20857004632526482</v>
      </c>
      <c r="BN34" s="22">
        <f t="shared" si="14"/>
        <v>0.20928572287026626</v>
      </c>
      <c r="BO34" s="22">
        <f t="shared" si="14"/>
        <v>0.2100391020383256</v>
      </c>
      <c r="BP34" s="22">
        <f t="shared" si="14"/>
        <v>0.21083591316768058</v>
      </c>
      <c r="BQ34" s="22">
        <f t="shared" si="14"/>
        <v>0.21168278196937712</v>
      </c>
      <c r="BR34" s="22">
        <f t="shared" si="14"/>
        <v>0.21258737582247911</v>
      </c>
      <c r="BS34" s="22">
        <f t="shared" si="14"/>
        <v>0.21355857441341014</v>
      </c>
      <c r="BT34" s="22">
        <f t="shared" si="14"/>
        <v>0.21460667072144735</v>
      </c>
      <c r="BU34" s="22">
        <f t="shared" si="14"/>
        <v>0.21574360851389449</v>
      </c>
      <c r="BV34" s="22">
        <f t="shared" si="14"/>
        <v>0.21698326399378534</v>
      </c>
      <c r="BW34" s="22">
        <f t="shared" si="14"/>
        <v>0.21834178113968228</v>
      </c>
      <c r="BX34" s="22">
        <f t="shared" si="10"/>
        <v>0.21983797272555022</v>
      </c>
      <c r="BY34" s="22">
        <f t="shared" si="19"/>
        <v>0.22149380219110498</v>
      </c>
      <c r="BZ34" s="22">
        <f t="shared" si="19"/>
        <v>0.22333496569864958</v>
      </c>
      <c r="CA34" s="22">
        <f t="shared" si="19"/>
        <v>0.22539159920428306</v>
      </c>
      <c r="CB34" s="22">
        <f t="shared" si="19"/>
        <v>0.22769914266539898</v>
      </c>
      <c r="CC34" s="22">
        <f t="shared" si="19"/>
        <v>0.23029940326814372</v>
      </c>
      <c r="CD34" s="22">
        <f t="shared" si="19"/>
        <v>0.23324187272672964</v>
      </c>
      <c r="CE34" s="22">
        <f t="shared" si="19"/>
        <v>0.23658537161735985</v>
      </c>
      <c r="CF34" s="22">
        <f t="shared" si="19"/>
        <v>0.24040011828312677</v>
      </c>
      <c r="CG34" s="22">
        <f t="shared" si="19"/>
        <v>0.24477035387007856</v>
      </c>
      <c r="CH34" s="22">
        <f t="shared" si="19"/>
        <v>0.24979770261903278</v>
      </c>
      <c r="CI34" s="22">
        <f t="shared" si="19"/>
        <v>0.25560551371347784</v>
      </c>
      <c r="CJ34" s="22">
        <f t="shared" si="19"/>
        <v>0.26234452689019572</v>
      </c>
      <c r="CK34" s="22">
        <f t="shared" si="19"/>
        <v>0.27020034252946695</v>
      </c>
      <c r="CL34" s="22">
        <f t="shared" si="19"/>
        <v>0.27940337944785543</v>
      </c>
      <c r="CM34" s="22">
        <f t="shared" si="19"/>
        <v>0.29024230357655834</v>
      </c>
      <c r="CN34" s="22">
        <f t="shared" si="19"/>
        <v>0.30308236124680099</v>
      </c>
      <c r="CO34" s="22">
        <f t="shared" si="18"/>
        <v>0.31839073763227532</v>
      </c>
      <c r="CP34" s="22">
        <f t="shared" si="18"/>
        <v>0.33677212467410356</v>
      </c>
      <c r="CQ34" s="22">
        <f t="shared" si="18"/>
        <v>0.3590193585717204</v>
      </c>
      <c r="CR34" s="22">
        <f t="shared" si="18"/>
        <v>0.38618667504294563</v>
      </c>
      <c r="CS34" s="22">
        <f t="shared" si="18"/>
        <v>0.41969752725012355</v>
      </c>
      <c r="CT34" s="22">
        <f t="shared" si="18"/>
        <v>0.46150625410485452</v>
      </c>
      <c r="CU34" s="22">
        <f t="shared" si="18"/>
        <v>0.51434542784921256</v>
      </c>
      <c r="CV34" s="22">
        <f t="shared" si="18"/>
        <v>0.58211265328785811</v>
      </c>
      <c r="CW34" s="22">
        <f t="shared" si="18"/>
        <v>0.67049000000004499</v>
      </c>
    </row>
    <row r="35" spans="1:101">
      <c r="A35" s="22">
        <v>33</v>
      </c>
      <c r="B35" s="32" t="str">
        <f>データファイル用!$B36</f>
        <v>MEWS Fibreboard VII - Black Coat</v>
      </c>
      <c r="C35" s="32">
        <f>データファイル用!K36</f>
        <v>1</v>
      </c>
      <c r="D35" s="32">
        <f>データファイル用!L36</f>
        <v>0.78298000000000001</v>
      </c>
      <c r="E35" s="32">
        <f>データファイル用!M36</f>
        <v>2.6097999999999999</v>
      </c>
      <c r="F35" s="32">
        <f>データファイル用!N36</f>
        <v>-1.3952</v>
      </c>
      <c r="G35" s="32">
        <f>データファイル用!O36</f>
        <v>104.63</v>
      </c>
      <c r="H35" s="32">
        <f>データファイル用!P36</f>
        <v>0</v>
      </c>
      <c r="I35" s="35">
        <f>データファイル用!Q36</f>
        <v>0</v>
      </c>
      <c r="J35" s="32">
        <f t="shared" si="2"/>
        <v>0.21782461523192076</v>
      </c>
      <c r="K35" s="32">
        <f t="shared" si="3"/>
        <v>0</v>
      </c>
      <c r="L35" s="53" t="str">
        <f t="shared" si="4"/>
        <v>N/A</v>
      </c>
      <c r="M35" s="22">
        <f t="shared" si="15"/>
        <v>0</v>
      </c>
      <c r="N35" s="22">
        <f t="shared" si="15"/>
        <v>7.1425138362743239E-6</v>
      </c>
      <c r="O35" s="22">
        <f t="shared" si="15"/>
        <v>4.3599265510407721E-5</v>
      </c>
      <c r="P35" s="22">
        <f t="shared" si="15"/>
        <v>1.2561518460486014E-4</v>
      </c>
      <c r="Q35" s="22">
        <f t="shared" si="15"/>
        <v>2.6613822480721529E-4</v>
      </c>
      <c r="R35" s="22">
        <f t="shared" si="15"/>
        <v>4.764562274196738E-4</v>
      </c>
      <c r="S35" s="22">
        <f t="shared" si="15"/>
        <v>7.6677902364175737E-4</v>
      </c>
      <c r="T35" s="22">
        <f t="shared" si="15"/>
        <v>1.1465366851505876E-3</v>
      </c>
      <c r="U35" s="22">
        <f t="shared" si="15"/>
        <v>1.6245584386422307E-3</v>
      </c>
      <c r="V35" s="22">
        <f t="shared" si="15"/>
        <v>2.2091906246196097E-3</v>
      </c>
      <c r="W35" s="22">
        <f t="shared" si="15"/>
        <v>2.9083796040909301E-3</v>
      </c>
      <c r="X35" s="22">
        <f t="shared" si="15"/>
        <v>3.7297328020967869E-3</v>
      </c>
      <c r="Y35" s="22">
        <f t="shared" si="15"/>
        <v>4.6805652751813762E-3</v>
      </c>
      <c r="Z35" s="22">
        <f t="shared" si="15"/>
        <v>5.7679362433866342E-3</v>
      </c>
      <c r="AA35" s="22">
        <f t="shared" si="15"/>
        <v>6.9986784063939501E-3</v>
      </c>
      <c r="AB35" s="22">
        <f t="shared" si="15"/>
        <v>8.3794219143825226E-3</v>
      </c>
      <c r="AC35" s="22">
        <f t="shared" si="13"/>
        <v>9.9166142799496492E-3</v>
      </c>
      <c r="AD35" s="22">
        <f t="shared" si="13"/>
        <v>1.161653714264195E-2</v>
      </c>
      <c r="AE35" s="22">
        <f t="shared" si="13"/>
        <v>1.348532054872934E-2</v>
      </c>
      <c r="AF35" s="22">
        <f t="shared" si="13"/>
        <v>1.5528955238584901E-2</v>
      </c>
      <c r="AG35" s="22">
        <f t="shared" si="13"/>
        <v>1.7753303314559331E-2</v>
      </c>
      <c r="AH35" s="22">
        <f t="shared" si="13"/>
        <v>2.0164107576522445E-2</v>
      </c>
      <c r="AI35" s="22">
        <f t="shared" si="13"/>
        <v>2.2766999749533178E-2</v>
      </c>
      <c r="AJ35" s="22">
        <f t="shared" si="13"/>
        <v>2.5567507781416282E-2</v>
      </c>
      <c r="AK35" s="22">
        <f t="shared" si="17"/>
        <v>2.8571062352729559E-2</v>
      </c>
      <c r="AL35" s="22">
        <f t="shared" si="17"/>
        <v>3.1783002714545781E-2</v>
      </c>
      <c r="AM35" s="22">
        <f t="shared" si="17"/>
        <v>3.52085819484661E-2</v>
      </c>
      <c r="AN35" s="22">
        <f t="shared" si="17"/>
        <v>3.8852971726782447E-2</v>
      </c>
      <c r="AO35" s="22">
        <f t="shared" si="17"/>
        <v>4.272126663761458E-2</v>
      </c>
      <c r="AP35" s="22">
        <f t="shared" si="17"/>
        <v>4.6818488129356489E-2</v>
      </c>
      <c r="AQ35" s="22">
        <f t="shared" si="17"/>
        <v>5.1149588120288372E-2</v>
      </c>
      <c r="AR35" s="22">
        <f t="shared" si="17"/>
        <v>5.5719452312299987E-2</v>
      </c>
      <c r="AS35" s="22">
        <f t="shared" si="17"/>
        <v>6.0532903241997962E-2</v>
      </c>
      <c r="AT35" s="22">
        <f t="shared" si="17"/>
        <v>6.5594703097778706E-2</v>
      </c>
      <c r="AU35" s="22">
        <f t="shared" si="17"/>
        <v>7.0909556327544351E-2</v>
      </c>
      <c r="AV35" s="22">
        <f t="shared" si="17"/>
        <v>7.6482112058470289E-2</v>
      </c>
      <c r="AW35" s="22">
        <f t="shared" si="17"/>
        <v>8.2316966347480619E-2</v>
      </c>
      <c r="AX35" s="22">
        <f t="shared" si="17"/>
        <v>8.8418664278758496E-2</v>
      </c>
      <c r="AY35" s="22">
        <f t="shared" si="17"/>
        <v>9.4791701922664007E-2</v>
      </c>
      <c r="AZ35" s="22">
        <f t="shared" si="17"/>
        <v>0.1014405281691682</v>
      </c>
      <c r="BA35" s="22">
        <f t="shared" si="16"/>
        <v>0.10836954645373312</v>
      </c>
      <c r="BB35" s="22">
        <f t="shared" si="16"/>
        <v>0.11558311647744242</v>
      </c>
      <c r="BC35" s="22">
        <f t="shared" si="16"/>
        <v>0.12308555710471082</v>
      </c>
      <c r="BD35" s="22">
        <f t="shared" si="16"/>
        <v>0.1308811645655886</v>
      </c>
      <c r="BE35" s="22">
        <f t="shared" si="16"/>
        <v>0.13897440603214067</v>
      </c>
      <c r="BF35" s="22">
        <f t="shared" si="16"/>
        <v>0.14737200431186623</v>
      </c>
      <c r="BG35" s="22">
        <f t="shared" si="16"/>
        <v>0.15610434928493669</v>
      </c>
      <c r="BH35" s="22">
        <f t="shared" si="14"/>
        <v>0.16543486043099767</v>
      </c>
      <c r="BI35" s="22">
        <f t="shared" si="14"/>
        <v>0.17783458093413337</v>
      </c>
      <c r="BJ35" s="22">
        <f t="shared" si="14"/>
        <v>0.17871873830103122</v>
      </c>
      <c r="BK35" s="22">
        <f t="shared" si="14"/>
        <v>0.17965264737311551</v>
      </c>
      <c r="BL35" s="22">
        <f t="shared" si="14"/>
        <v>0.180642237300983</v>
      </c>
      <c r="BM35" s="22">
        <f t="shared" si="14"/>
        <v>0.1816941818198016</v>
      </c>
      <c r="BN35" s="22">
        <f t="shared" si="14"/>
        <v>0.18281600006183885</v>
      </c>
      <c r="BO35" s="22">
        <f t="shared" si="14"/>
        <v>0.18401617283248367</v>
      </c>
      <c r="BP35" s="22">
        <f t="shared" si="14"/>
        <v>0.18530427713916411</v>
      </c>
      <c r="BQ35" s="22">
        <f t="shared" si="14"/>
        <v>0.1866911423550047</v>
      </c>
      <c r="BR35" s="22">
        <f t="shared" si="14"/>
        <v>0.18818903213580654</v>
      </c>
      <c r="BS35" s="22">
        <f t="shared" si="14"/>
        <v>0.1898118571292392</v>
      </c>
      <c r="BT35" s="22">
        <f t="shared" si="14"/>
        <v>0.19157542467004873</v>
      </c>
      <c r="BU35" s="22">
        <f t="shared" si="14"/>
        <v>0.19349773311132235</v>
      </c>
      <c r="BV35" s="22">
        <f t="shared" si="14"/>
        <v>0.19559932028703947</v>
      </c>
      <c r="BW35" s="22">
        <f t="shared" si="14"/>
        <v>0.19790367795109925</v>
      </c>
      <c r="BX35" s="22">
        <f t="shared" si="10"/>
        <v>0.20043774704666259</v>
      </c>
      <c r="BY35" s="22">
        <f t="shared" si="19"/>
        <v>0.20323251253286798</v>
      </c>
      <c r="BZ35" s="22">
        <f t="shared" si="19"/>
        <v>0.20632372151089926</v>
      </c>
      <c r="CA35" s="22">
        <f t="shared" si="19"/>
        <v>0.20975275492359133</v>
      </c>
      <c r="CB35" s="22">
        <f t="shared" si="19"/>
        <v>0.21356769166485046</v>
      </c>
      <c r="CC35" s="22">
        <f t="shared" si="19"/>
        <v>0.2178246152319232</v>
      </c>
      <c r="CD35" s="22">
        <f t="shared" si="19"/>
        <v>0.222589228061401</v>
      </c>
      <c r="CE35" s="22">
        <f t="shared" si="19"/>
        <v>0.22793885877250111</v>
      </c>
      <c r="CF35" s="22">
        <f t="shared" si="19"/>
        <v>0.23396497461914831</v>
      </c>
      <c r="CG35" s="22">
        <f t="shared" si="19"/>
        <v>0.24077634825415412</v>
      </c>
      <c r="CH35" s="22">
        <f t="shared" si="19"/>
        <v>0.24850307834614857</v>
      </c>
      <c r="CI35" s="22">
        <f t="shared" si="19"/>
        <v>0.2573017333250725</v>
      </c>
      <c r="CJ35" s="22">
        <f t="shared" si="19"/>
        <v>0.26736198484318729</v>
      </c>
      <c r="CK35" s="22">
        <f t="shared" si="19"/>
        <v>0.27891523465607126</v>
      </c>
      <c r="CL35" s="22">
        <f t="shared" si="19"/>
        <v>0.29224593382104525</v>
      </c>
      <c r="CM35" s="22">
        <f t="shared" si="19"/>
        <v>0.30770657398517337</v>
      </c>
      <c r="CN35" s="22">
        <f t="shared" si="19"/>
        <v>0.32573773931626576</v>
      </c>
      <c r="CO35" s="22">
        <f t="shared" si="18"/>
        <v>0.3468952097322493</v>
      </c>
      <c r="CP35" s="22">
        <f t="shared" si="18"/>
        <v>0.37188700421696563</v>
      </c>
      <c r="CQ35" s="22">
        <f t="shared" si="18"/>
        <v>0.4016246107460244</v>
      </c>
      <c r="CR35" s="22">
        <f t="shared" si="18"/>
        <v>0.43729473110888906</v>
      </c>
      <c r="CS35" s="22">
        <f t="shared" si="18"/>
        <v>0.48046110896780647</v>
      </c>
      <c r="CT35" s="22">
        <f t="shared" si="18"/>
        <v>0.53321113305423595</v>
      </c>
      <c r="CU35" s="22">
        <f t="shared" si="18"/>
        <v>0.59837014718106074</v>
      </c>
      <c r="CV35" s="22">
        <f t="shared" si="18"/>
        <v>0.67981988976891339</v>
      </c>
      <c r="CW35" s="22">
        <f t="shared" si="18"/>
        <v>0.78298000000005163</v>
      </c>
    </row>
    <row r="36" spans="1:101">
      <c r="A36" s="22">
        <v>34</v>
      </c>
      <c r="B36" s="32" t="str">
        <f>データファイル用!$B37</f>
        <v>MEWS Fibreboard VIII - Black Coat</v>
      </c>
      <c r="C36" s="32">
        <f>データファイル用!K37</f>
        <v>1</v>
      </c>
      <c r="D36" s="32">
        <f>データファイル用!L37</f>
        <v>0.68698999999999999</v>
      </c>
      <c r="E36" s="32">
        <f>データファイル用!M37</f>
        <v>2.3963999999999999</v>
      </c>
      <c r="F36" s="32">
        <f>データファイル用!N37</f>
        <v>-1.278</v>
      </c>
      <c r="G36" s="32">
        <f>データファイル用!O37</f>
        <v>118.74</v>
      </c>
      <c r="H36" s="32">
        <f>データファイル用!P37</f>
        <v>0</v>
      </c>
      <c r="I36" s="35">
        <f>データファイル用!Q37</f>
        <v>0</v>
      </c>
      <c r="J36" s="32">
        <f t="shared" si="2"/>
        <v>0.20478786898009618</v>
      </c>
      <c r="K36" s="32">
        <f t="shared" si="3"/>
        <v>0</v>
      </c>
      <c r="L36" s="53" t="str">
        <f t="shared" si="4"/>
        <v>N/A</v>
      </c>
      <c r="M36" s="22">
        <f t="shared" si="15"/>
        <v>0</v>
      </c>
      <c r="N36" s="22">
        <f t="shared" si="15"/>
        <v>1.6237170428421288E-5</v>
      </c>
      <c r="O36" s="22">
        <f t="shared" si="15"/>
        <v>8.5486715392436955E-5</v>
      </c>
      <c r="P36" s="22">
        <f t="shared" si="15"/>
        <v>2.2588309200425441E-4</v>
      </c>
      <c r="Q36" s="22">
        <f t="shared" si="15"/>
        <v>4.5007709568631104E-4</v>
      </c>
      <c r="R36" s="22">
        <f t="shared" si="15"/>
        <v>7.6828449304534516E-4</v>
      </c>
      <c r="S36" s="22">
        <f t="shared" si="15"/>
        <v>1.1892468384966518E-3</v>
      </c>
      <c r="T36" s="22">
        <f t="shared" si="15"/>
        <v>1.7206926049408244E-3</v>
      </c>
      <c r="U36" s="22">
        <f t="shared" si="15"/>
        <v>2.3696008336676162E-3</v>
      </c>
      <c r="V36" s="22">
        <f t="shared" si="15"/>
        <v>3.1423683996130445E-3</v>
      </c>
      <c r="W36" s="22">
        <f t="shared" si="15"/>
        <v>4.0449238422987843E-3</v>
      </c>
      <c r="X36" s="22">
        <f t="shared" si="15"/>
        <v>5.0828088784060149E-3</v>
      </c>
      <c r="Y36" s="22">
        <f t="shared" si="15"/>
        <v>6.2612390786984714E-3</v>
      </c>
      <c r="Z36" s="22">
        <f t="shared" si="15"/>
        <v>7.5851504369811055E-3</v>
      </c>
      <c r="AA36" s="22">
        <f t="shared" si="15"/>
        <v>9.0592360069690382E-3</v>
      </c>
      <c r="AB36" s="22">
        <f t="shared" si="15"/>
        <v>1.0687975321379731E-2</v>
      </c>
      <c r="AC36" s="22">
        <f t="shared" si="13"/>
        <v>1.2475658425488374E-2</v>
      </c>
      <c r="AD36" s="22">
        <f t="shared" si="13"/>
        <v>1.4426405801621705E-2</v>
      </c>
      <c r="AE36" s="22">
        <f t="shared" si="13"/>
        <v>1.6544185098020563E-2</v>
      </c>
      <c r="AF36" s="22">
        <f t="shared" si="13"/>
        <v>1.8832825330940304E-2</v>
      </c>
      <c r="AG36" s="22">
        <f t="shared" si="13"/>
        <v>2.1296029059682593E-2</v>
      </c>
      <c r="AH36" s="22">
        <f t="shared" si="13"/>
        <v>2.3937382914485959E-2</v>
      </c>
      <c r="AI36" s="22">
        <f t="shared" si="13"/>
        <v>2.6760366770671E-2</v>
      </c>
      <c r="AJ36" s="22">
        <f t="shared" si="13"/>
        <v>2.9768361798777513E-2</v>
      </c>
      <c r="AK36" s="22">
        <f t="shared" si="17"/>
        <v>3.2964657572836849E-2</v>
      </c>
      <c r="AL36" s="22">
        <f t="shared" si="17"/>
        <v>3.6352458382820134E-2</v>
      </c>
      <c r="AM36" s="22">
        <f t="shared" si="17"/>
        <v>3.9934888869554624E-2</v>
      </c>
      <c r="AN36" s="22">
        <f t="shared" si="17"/>
        <v>4.3714999078818449E-2</v>
      </c>
      <c r="AO36" s="22">
        <f t="shared" si="17"/>
        <v>4.7695769014353885E-2</v>
      </c>
      <c r="AP36" s="22">
        <f t="shared" si="17"/>
        <v>5.188011275606199E-2</v>
      </c>
      <c r="AQ36" s="22">
        <f t="shared" si="17"/>
        <v>5.6270882198839765E-2</v>
      </c>
      <c r="AR36" s="22">
        <f t="shared" si="17"/>
        <v>6.0870870458790083E-2</v>
      </c>
      <c r="AS36" s="22">
        <f t="shared" si="17"/>
        <v>6.5682814986421076E-2</v>
      </c>
      <c r="AT36" s="22">
        <f t="shared" si="17"/>
        <v>7.0709400420616131E-2</v>
      </c>
      <c r="AU36" s="22">
        <f t="shared" si="17"/>
        <v>7.5953261212332063E-2</v>
      </c>
      <c r="AV36" s="22">
        <f t="shared" si="17"/>
        <v>8.1416984042974636E-2</v>
      </c>
      <c r="AW36" s="22">
        <f t="shared" si="17"/>
        <v>8.7103110059046862E-2</v>
      </c>
      <c r="AX36" s="22">
        <f t="shared" si="17"/>
        <v>9.3014136941846029E-2</v>
      </c>
      <c r="AY36" s="22">
        <f t="shared" si="17"/>
        <v>9.915252082860096E-2</v>
      </c>
      <c r="AZ36" s="22">
        <f t="shared" si="17"/>
        <v>0.10552067809943158</v>
      </c>
      <c r="BA36" s="22">
        <f t="shared" si="16"/>
        <v>0.11212098704308528</v>
      </c>
      <c r="BB36" s="22">
        <f t="shared" si="16"/>
        <v>0.11895578941876696</v>
      </c>
      <c r="BC36" s="22">
        <f t="shared" si="16"/>
        <v>0.12602739203488769</v>
      </c>
      <c r="BD36" s="22">
        <f t="shared" si="16"/>
        <v>0.13333807021750496</v>
      </c>
      <c r="BE36" s="22">
        <f t="shared" si="16"/>
        <v>0.14089010248560244</v>
      </c>
      <c r="BF36" s="22">
        <f t="shared" si="16"/>
        <v>0.14868626904663812</v>
      </c>
      <c r="BG36" s="22">
        <f t="shared" si="16"/>
        <v>0.15673682496507169</v>
      </c>
      <c r="BH36" s="22">
        <f t="shared" si="14"/>
        <v>0.16515181613676311</v>
      </c>
      <c r="BI36" s="22">
        <f t="shared" si="14"/>
        <v>0.17530487321440477</v>
      </c>
      <c r="BJ36" s="22">
        <f t="shared" si="14"/>
        <v>0.17597496409729144</v>
      </c>
      <c r="BK36" s="22">
        <f t="shared" si="14"/>
        <v>0.17667755658707768</v>
      </c>
      <c r="BL36" s="22">
        <f t="shared" si="14"/>
        <v>0.17741696091906811</v>
      </c>
      <c r="BM36" s="22">
        <f t="shared" si="14"/>
        <v>0.17819808046338712</v>
      </c>
      <c r="BN36" s="22">
        <f t="shared" si="14"/>
        <v>0.17902649699080178</v>
      </c>
      <c r="BO36" s="22">
        <f t="shared" si="14"/>
        <v>0.17990856929082741</v>
      </c>
      <c r="BP36" s="22">
        <f t="shared" si="14"/>
        <v>0.18085154753476163</v>
      </c>
      <c r="BQ36" s="22">
        <f t="shared" si="14"/>
        <v>0.18186370628173296</v>
      </c>
      <c r="BR36" s="22">
        <f t="shared" si="14"/>
        <v>0.18295449965608462</v>
      </c>
      <c r="BS36" s="22">
        <f t="shared" si="14"/>
        <v>0.18413474301435748</v>
      </c>
      <c r="BT36" s="22">
        <f t="shared" si="14"/>
        <v>0.18541682641553789</v>
      </c>
      <c r="BU36" s="22">
        <f t="shared" si="14"/>
        <v>0.18681496646931811</v>
      </c>
      <c r="BV36" s="22">
        <f t="shared" si="14"/>
        <v>0.18834550474361975</v>
      </c>
      <c r="BW36" s="22">
        <f t="shared" si="14"/>
        <v>0.19002726297073361</v>
      </c>
      <c r="BX36" s="22">
        <f t="shared" si="10"/>
        <v>0.19188196794342113</v>
      </c>
      <c r="BY36" s="22">
        <f t="shared" si="19"/>
        <v>0.19393476243008356</v>
      </c>
      <c r="BZ36" s="22">
        <f t="shared" si="19"/>
        <v>0.19621482292216802</v>
      </c>
      <c r="CA36" s="22">
        <f t="shared" si="19"/>
        <v>0.19875611091364426</v>
      </c>
      <c r="CB36" s="22">
        <f t="shared" si="19"/>
        <v>0.20159829219255648</v>
      </c>
      <c r="CC36" s="22">
        <f t="shared" si="19"/>
        <v>0.20478786898009807</v>
      </c>
      <c r="CD36" s="22">
        <f t="shared" si="19"/>
        <v>0.20837958363804596</v>
      </c>
      <c r="CE36" s="22">
        <f t="shared" si="19"/>
        <v>0.21243817142927168</v>
      </c>
      <c r="CF36" s="22">
        <f t="shared" si="19"/>
        <v>0.21704056538080455</v>
      </c>
      <c r="CG36" s="22">
        <f t="shared" si="19"/>
        <v>0.22227869143137438</v>
      </c>
      <c r="CH36" s="22">
        <f t="shared" si="19"/>
        <v>0.22826304076802928</v>
      </c>
      <c r="CI36" s="22">
        <f t="shared" si="19"/>
        <v>0.23512727447953549</v>
      </c>
      <c r="CJ36" s="22">
        <f t="shared" si="19"/>
        <v>0.24303421215880647</v>
      </c>
      <c r="CK36" s="22">
        <f t="shared" si="19"/>
        <v>0.25218369407205032</v>
      </c>
      <c r="CL36" s="22">
        <f t="shared" si="19"/>
        <v>0.26282300606580322</v>
      </c>
      <c r="CM36" s="22">
        <f t="shared" si="19"/>
        <v>0.27526084847253568</v>
      </c>
      <c r="CN36" s="22">
        <f t="shared" si="19"/>
        <v>0.28988626330205297</v>
      </c>
      <c r="CO36" s="22">
        <f t="shared" si="18"/>
        <v>0.30719458471906996</v>
      </c>
      <c r="CP36" s="22">
        <f t="shared" si="18"/>
        <v>0.32782346978556903</v>
      </c>
      <c r="CQ36" s="22">
        <f t="shared" si="18"/>
        <v>0.35260360192063883</v>
      </c>
      <c r="CR36" s="22">
        <f t="shared" si="18"/>
        <v>0.38263107517976142</v>
      </c>
      <c r="CS36" s="22">
        <f t="shared" si="18"/>
        <v>0.41937233411900238</v>
      </c>
      <c r="CT36" s="22">
        <f t="shared" si="18"/>
        <v>0.46481884851826322</v>
      </c>
      <c r="CU36" s="22">
        <f t="shared" si="18"/>
        <v>0.52171918620776958</v>
      </c>
      <c r="CV36" s="22">
        <f t="shared" si="18"/>
        <v>0.59393395292566808</v>
      </c>
      <c r="CW36" s="22">
        <f t="shared" si="18"/>
        <v>0.68699000000004695</v>
      </c>
    </row>
    <row r="37" spans="1:101">
      <c r="A37" s="22">
        <v>35</v>
      </c>
      <c r="B37" s="32" t="str">
        <f>データファイル用!$B38</f>
        <v>MEWS Siding I - OSB</v>
      </c>
      <c r="C37" s="32">
        <f>データファイル用!K38</f>
        <v>1</v>
      </c>
      <c r="D37" s="32">
        <f>データファイル用!L38</f>
        <v>0.99795999999999996</v>
      </c>
      <c r="E37" s="32">
        <f>データファイル用!M38</f>
        <v>1.7485999999999999</v>
      </c>
      <c r="F37" s="32">
        <f>データファイル用!N38</f>
        <v>-2.6455000000000002</v>
      </c>
      <c r="G37" s="32">
        <f>データファイル用!O38</f>
        <v>3.3677999999999999</v>
      </c>
      <c r="H37" s="32">
        <f>データファイル用!P38</f>
        <v>0</v>
      </c>
      <c r="I37" s="35">
        <f>データファイル用!Q38</f>
        <v>0</v>
      </c>
      <c r="J37" s="32">
        <f t="shared" si="2"/>
        <v>0.80946799109019218</v>
      </c>
      <c r="K37" s="32">
        <f t="shared" si="3"/>
        <v>0</v>
      </c>
      <c r="L37" s="53" t="str">
        <f t="shared" si="4"/>
        <v>N/A</v>
      </c>
      <c r="M37" s="22">
        <f t="shared" si="15"/>
        <v>0</v>
      </c>
      <c r="N37" s="22">
        <f t="shared" si="15"/>
        <v>7.5747850457421858E-5</v>
      </c>
      <c r="O37" s="22">
        <f t="shared" si="15"/>
        <v>2.5454917270309219E-4</v>
      </c>
      <c r="P37" s="22">
        <f t="shared" si="15"/>
        <v>5.173095962558331E-4</v>
      </c>
      <c r="Q37" s="22">
        <f t="shared" si="15"/>
        <v>8.5578086351383628E-4</v>
      </c>
      <c r="R37" s="22">
        <f t="shared" si="15"/>
        <v>1.2649684094099252E-3</v>
      </c>
      <c r="S37" s="22">
        <f t="shared" si="15"/>
        <v>1.7416210097281329E-3</v>
      </c>
      <c r="T37" s="22">
        <f t="shared" si="15"/>
        <v>2.2836856416794688E-3</v>
      </c>
      <c r="U37" s="22">
        <f t="shared" si="15"/>
        <v>2.8900790101587018E-3</v>
      </c>
      <c r="V37" s="22">
        <f t="shared" si="15"/>
        <v>3.5605962362770418E-3</v>
      </c>
      <c r="W37" s="22">
        <f t="shared" si="15"/>
        <v>4.2958909587019357E-3</v>
      </c>
      <c r="X37" s="22">
        <f t="shared" si="15"/>
        <v>5.0974989229234831E-3</v>
      </c>
      <c r="Y37" s="22">
        <f t="shared" si="15"/>
        <v>5.9678924725096857E-3</v>
      </c>
      <c r="Z37" s="22">
        <f t="shared" si="15"/>
        <v>6.9105606090624173E-3</v>
      </c>
      <c r="AA37" s="22">
        <f t="shared" si="15"/>
        <v>7.930113243508459E-3</v>
      </c>
      <c r="AB37" s="22">
        <f t="shared" si="15"/>
        <v>9.0324107753692699E-3</v>
      </c>
      <c r="AC37" s="22">
        <f t="shared" si="13"/>
        <v>1.0224722024070656E-2</v>
      </c>
      <c r="AD37" s="22">
        <f t="shared" si="13"/>
        <v>1.1515915204190397E-2</v>
      </c>
      <c r="AE37" s="22">
        <f t="shared" si="13"/>
        <v>1.291668832163188E-2</v>
      </c>
      <c r="AF37" s="22">
        <f t="shared" si="13"/>
        <v>1.4439847237050557E-2</v>
      </c>
      <c r="AG37" s="22">
        <f t="shared" si="13"/>
        <v>1.6100641841306617E-2</v>
      </c>
      <c r="AH37" s="22">
        <f t="shared" si="13"/>
        <v>1.7917173464654979E-2</v>
      </c>
      <c r="AI37" s="22">
        <f t="shared" si="13"/>
        <v>1.9910889969386732E-2</v>
      </c>
      <c r="AJ37" s="22">
        <f t="shared" si="13"/>
        <v>2.2107189167240388E-2</v>
      </c>
      <c r="AK37" s="22">
        <f t="shared" si="17"/>
        <v>2.453615652897314E-2</v>
      </c>
      <c r="AL37" s="22">
        <f t="shared" si="17"/>
        <v>2.7233469965801834E-2</v>
      </c>
      <c r="AM37" s="22">
        <f t="shared" si="17"/>
        <v>3.0241513223131684E-2</v>
      </c>
      <c r="AN37" s="22">
        <f t="shared" si="17"/>
        <v>3.3610750748031E-2</v>
      </c>
      <c r="AO37" s="22">
        <f t="shared" si="17"/>
        <v>3.7401431588687799E-2</v>
      </c>
      <c r="AP37" s="22">
        <f t="shared" si="17"/>
        <v>4.1685709049055206E-2</v>
      </c>
      <c r="AQ37" s="22">
        <f t="shared" si="17"/>
        <v>4.6550287926238387E-2</v>
      </c>
      <c r="AR37" s="22">
        <f t="shared" si="17"/>
        <v>5.2099744192969102E-2</v>
      </c>
      <c r="AS37" s="22">
        <f t="shared" si="17"/>
        <v>5.8460705660881969E-2</v>
      </c>
      <c r="AT37" s="22">
        <f t="shared" si="17"/>
        <v>6.5787140174109748E-2</v>
      </c>
      <c r="AU37" s="22">
        <f t="shared" si="17"/>
        <v>7.4267075322954221E-2</v>
      </c>
      <c r="AV37" s="22">
        <f t="shared" si="17"/>
        <v>8.4131177557922127E-2</v>
      </c>
      <c r="AW37" s="22">
        <f t="shared" si="17"/>
        <v>9.5663758676582708E-2</v>
      </c>
      <c r="AX37" s="22">
        <f t="shared" si="17"/>
        <v>0.1092169675605177</v>
      </c>
      <c r="AY37" s="22">
        <f t="shared" si="17"/>
        <v>0.12522918386031345</v>
      </c>
      <c r="AZ37" s="22">
        <f t="shared" si="17"/>
        <v>0.14424898502589667</v>
      </c>
      <c r="BA37" s="22">
        <f t="shared" si="16"/>
        <v>0.166966546933138</v>
      </c>
      <c r="BB37" s="22">
        <f t="shared" si="16"/>
        <v>0.19425501602102827</v>
      </c>
      <c r="BC37" s="22">
        <f t="shared" si="16"/>
        <v>0.22722533584285565</v>
      </c>
      <c r="BD37" s="22">
        <f t="shared" si="16"/>
        <v>0.26729933673898792</v>
      </c>
      <c r="BE37" s="22">
        <f t="shared" si="16"/>
        <v>0.31630776903434532</v>
      </c>
      <c r="BF37" s="22">
        <f t="shared" si="16"/>
        <v>0.37662261941302988</v>
      </c>
      <c r="BG37" s="22">
        <f t="shared" si="16"/>
        <v>0.45133685304288024</v>
      </c>
      <c r="BH37" s="22">
        <f t="shared" si="14"/>
        <v>0.54451019893670438</v>
      </c>
      <c r="BI37" s="22">
        <f t="shared" si="14"/>
        <v>0.66150753215963098</v>
      </c>
      <c r="BJ37" s="22">
        <f t="shared" si="14"/>
        <v>0.66810176664541399</v>
      </c>
      <c r="BK37" s="22">
        <f t="shared" si="14"/>
        <v>0.67477393912697681</v>
      </c>
      <c r="BL37" s="22">
        <f t="shared" si="14"/>
        <v>0.68152509256153293</v>
      </c>
      <c r="BM37" s="22">
        <f t="shared" si="14"/>
        <v>0.68835628530019699</v>
      </c>
      <c r="BN37" s="22">
        <f t="shared" si="14"/>
        <v>0.69526859133467123</v>
      </c>
      <c r="BO37" s="22">
        <f t="shared" si="14"/>
        <v>0.70226310054817587</v>
      </c>
      <c r="BP37" s="22">
        <f t="shared" si="14"/>
        <v>0.70934091897070073</v>
      </c>
      <c r="BQ37" s="22">
        <f t="shared" si="14"/>
        <v>0.71650316903865774</v>
      </c>
      <c r="BR37" s="22">
        <f t="shared" si="14"/>
        <v>0.72375098985901631</v>
      </c>
      <c r="BS37" s="22">
        <f t="shared" si="14"/>
        <v>0.7310855374780012</v>
      </c>
      <c r="BT37" s="22">
        <f t="shared" si="14"/>
        <v>0.7385079851544406</v>
      </c>
      <c r="BU37" s="22">
        <f t="shared" si="14"/>
        <v>0.74601952363784563</v>
      </c>
      <c r="BV37" s="22">
        <f t="shared" si="14"/>
        <v>0.75362136145131209</v>
      </c>
      <c r="BW37" s="22">
        <f t="shared" si="14"/>
        <v>0.76131472517933296</v>
      </c>
      <c r="BX37" s="22">
        <f t="shared" si="10"/>
        <v>0.76910085976060938</v>
      </c>
      <c r="BY37" s="22">
        <f t="shared" si="19"/>
        <v>0.77698102878595565</v>
      </c>
      <c r="BZ37" s="22">
        <f t="shared" si="19"/>
        <v>0.78495651480139195</v>
      </c>
      <c r="CA37" s="22">
        <f t="shared" si="19"/>
        <v>0.79302861961652094</v>
      </c>
      <c r="CB37" s="22">
        <f t="shared" si="19"/>
        <v>0.80119866461828315</v>
      </c>
      <c r="CC37" s="22">
        <f t="shared" si="19"/>
        <v>0.80946799109019685</v>
      </c>
      <c r="CD37" s="22">
        <f t="shared" si="19"/>
        <v>0.81783796053717939</v>
      </c>
      <c r="CE37" s="22">
        <f t="shared" si="19"/>
        <v>0.82630995501605564</v>
      </c>
      <c r="CF37" s="22">
        <f t="shared" si="19"/>
        <v>0.83488537747186098</v>
      </c>
      <c r="CG37" s="22">
        <f t="shared" si="19"/>
        <v>0.84356565208004164</v>
      </c>
      <c r="CH37" s="22">
        <f t="shared" si="19"/>
        <v>0.85235222459467064</v>
      </c>
      <c r="CI37" s="22">
        <f t="shared" si="19"/>
        <v>0.86124656270278521</v>
      </c>
      <c r="CJ37" s="22">
        <f t="shared" si="19"/>
        <v>0.87025015638496017</v>
      </c>
      <c r="CK37" s="22">
        <f t="shared" si="19"/>
        <v>0.87936451828224005</v>
      </c>
      <c r="CL37" s="22">
        <f t="shared" si="19"/>
        <v>0.88859118406954074</v>
      </c>
      <c r="CM37" s="22">
        <f t="shared" si="19"/>
        <v>0.89793171283565143</v>
      </c>
      <c r="CN37" s="22">
        <f t="shared" si="19"/>
        <v>0.90738768746995035</v>
      </c>
      <c r="CO37" s="22">
        <f t="shared" si="18"/>
        <v>0.91696071505596921</v>
      </c>
      <c r="CP37" s="22">
        <f t="shared" si="18"/>
        <v>0.92665242727193298</v>
      </c>
      <c r="CQ37" s="22">
        <f t="shared" si="18"/>
        <v>0.93646448079840072</v>
      </c>
      <c r="CR37" s="22">
        <f t="shared" si="18"/>
        <v>0.94639855773315229</v>
      </c>
      <c r="CS37" s="22">
        <f t="shared" si="18"/>
        <v>0.95645636601344541</v>
      </c>
      <c r="CT37" s="22">
        <f t="shared" si="18"/>
        <v>0.96663963984579415</v>
      </c>
      <c r="CU37" s="22">
        <f t="shared" si="18"/>
        <v>0.97695014014340009</v>
      </c>
      <c r="CV37" s="22">
        <f t="shared" si="18"/>
        <v>0.98738965497139031</v>
      </c>
      <c r="CW37" s="22">
        <f t="shared" si="18"/>
        <v>0.99796000000000484</v>
      </c>
    </row>
    <row r="38" spans="1:101">
      <c r="A38" s="22">
        <v>36</v>
      </c>
      <c r="B38" s="32" t="str">
        <f>データファイル用!$B39</f>
        <v>MEWS Siding II - Plywood</v>
      </c>
      <c r="C38" s="32">
        <f>データファイル用!K39</f>
        <v>1</v>
      </c>
      <c r="D38" s="32">
        <f>データファイル用!L39</f>
        <v>0.98992999999999998</v>
      </c>
      <c r="E38" s="32">
        <f>データファイル用!M39</f>
        <v>4.7110000000000003</v>
      </c>
      <c r="F38" s="32">
        <f>データファイル用!N39</f>
        <v>-0.71889999999999998</v>
      </c>
      <c r="G38" s="32">
        <f>データファイル用!O39</f>
        <v>18.73</v>
      </c>
      <c r="H38" s="32">
        <f>データファイル用!P39</f>
        <v>0</v>
      </c>
      <c r="I38" s="35">
        <f>データファイル用!Q39</f>
        <v>0</v>
      </c>
      <c r="J38" s="32">
        <f t="shared" si="2"/>
        <v>0.71764577795034656</v>
      </c>
      <c r="K38" s="32">
        <f t="shared" si="3"/>
        <v>0</v>
      </c>
      <c r="L38" s="53" t="str">
        <f t="shared" si="4"/>
        <v>N/A</v>
      </c>
      <c r="M38" s="22">
        <f t="shared" si="15"/>
        <v>0</v>
      </c>
      <c r="N38" s="22">
        <f t="shared" si="15"/>
        <v>4.7812614480361472E-9</v>
      </c>
      <c r="O38" s="22">
        <f t="shared" si="15"/>
        <v>1.2522608461906581E-7</v>
      </c>
      <c r="P38" s="22">
        <f t="shared" si="15"/>
        <v>8.4578645024656652E-7</v>
      </c>
      <c r="Q38" s="22">
        <f t="shared" si="15"/>
        <v>3.279798111743597E-6</v>
      </c>
      <c r="R38" s="22">
        <f t="shared" si="15"/>
        <v>9.3840471837534612E-6</v>
      </c>
      <c r="S38" s="22">
        <f t="shared" si="15"/>
        <v>2.2152004599484758E-5</v>
      </c>
      <c r="T38" s="22">
        <f t="shared" si="15"/>
        <v>4.5793027711943621E-5</v>
      </c>
      <c r="U38" s="22">
        <f t="shared" si="15"/>
        <v>8.5901237641659162E-5</v>
      </c>
      <c r="V38" s="22">
        <f t="shared" si="15"/>
        <v>1.4961631510749515E-4</v>
      </c>
      <c r="W38" s="22">
        <f t="shared" si="15"/>
        <v>2.4577770939189199E-4</v>
      </c>
      <c r="X38" s="22">
        <f t="shared" si="15"/>
        <v>3.8507332246721926E-4</v>
      </c>
      <c r="Y38" s="22">
        <f t="shared" si="15"/>
        <v>5.8018345840537948E-4</v>
      </c>
      <c r="Z38" s="22">
        <f t="shared" si="15"/>
        <v>8.4592064669787549E-4</v>
      </c>
      <c r="AA38" s="22">
        <f t="shared" si="15"/>
        <v>1.1993658212847999E-3</v>
      </c>
      <c r="AB38" s="22">
        <f t="shared" si="15"/>
        <v>1.6600012452092615E-3</v>
      </c>
      <c r="AC38" s="22">
        <f t="shared" si="13"/>
        <v>2.2498405023181141E-3</v>
      </c>
      <c r="AD38" s="22">
        <f t="shared" si="13"/>
        <v>2.9935558252765057E-3</v>
      </c>
      <c r="AE38" s="22">
        <f t="shared" si="13"/>
        <v>3.9186029891002559E-3</v>
      </c>
      <c r="AF38" s="22">
        <f t="shared" si="13"/>
        <v>5.0553439693192441E-3</v>
      </c>
      <c r="AG38" s="22">
        <f t="shared" si="13"/>
        <v>6.4371675440051488E-3</v>
      </c>
      <c r="AH38" s="22">
        <f t="shared" si="13"/>
        <v>8.1006080131684061E-3</v>
      </c>
      <c r="AI38" s="22">
        <f t="shared" si="13"/>
        <v>1.0085462228309958E-2</v>
      </c>
      <c r="AJ38" s="22">
        <f t="shared" si="13"/>
        <v>1.2434905193530544E-2</v>
      </c>
      <c r="AK38" s="22">
        <f t="shared" si="17"/>
        <v>1.5195604667855276E-2</v>
      </c>
      <c r="AL38" s="22">
        <f t="shared" si="17"/>
        <v>1.8417835565496022E-2</v>
      </c>
      <c r="AM38" s="22">
        <f t="shared" si="17"/>
        <v>2.2155595705319761E-2</v>
      </c>
      <c r="AN38" s="22">
        <f t="shared" si="17"/>
        <v>2.6466725951099314E-2</v>
      </c>
      <c r="AO38" s="22">
        <f t="shared" si="17"/>
        <v>3.1413040636207916E-2</v>
      </c>
      <c r="AP38" s="22">
        <f t="shared" si="17"/>
        <v>3.706047947871044E-2</v>
      </c>
      <c r="AQ38" s="22">
        <f t="shared" si="17"/>
        <v>4.3479301850936923E-2</v>
      </c>
      <c r="AR38" s="22">
        <f t="shared" si="17"/>
        <v>5.0744361445037661E-2</v>
      </c>
      <c r="AS38" s="22">
        <f t="shared" si="17"/>
        <v>5.8935529319816347E-2</v>
      </c>
      <c r="AT38" s="22">
        <f t="shared" si="17"/>
        <v>6.81383845687899E-2</v>
      </c>
      <c r="AU38" s="22">
        <f t="shared" si="17"/>
        <v>7.8445378160772683E-2</v>
      </c>
      <c r="AV38" s="22">
        <f t="shared" si="17"/>
        <v>8.9957818811233603E-2</v>
      </c>
      <c r="AW38" s="22">
        <f t="shared" si="17"/>
        <v>0.10278926499267892</v>
      </c>
      <c r="AX38" s="22">
        <f t="shared" si="17"/>
        <v>0.11707129041583259</v>
      </c>
      <c r="AY38" s="22">
        <f t="shared" si="17"/>
        <v>0.13296321294073349</v>
      </c>
      <c r="AZ38" s="22">
        <f t="shared" si="17"/>
        <v>0.15066839279097702</v>
      </c>
      <c r="BA38" s="22">
        <f t="shared" si="16"/>
        <v>0.17046138583481785</v>
      </c>
      <c r="BB38" s="22">
        <f t="shared" si="16"/>
        <v>0.19273308410555479</v>
      </c>
      <c r="BC38" s="22">
        <f t="shared" si="16"/>
        <v>0.21806597699599797</v>
      </c>
      <c r="BD38" s="22">
        <f t="shared" si="16"/>
        <v>0.24736087796422815</v>
      </c>
      <c r="BE38" s="22">
        <f t="shared" si="16"/>
        <v>0.28205438494855167</v>
      </c>
      <c r="BF38" s="22">
        <f t="shared" si="16"/>
        <v>0.32450334446671164</v>
      </c>
      <c r="BG38" s="22">
        <f t="shared" si="16"/>
        <v>0.37869382893522169</v>
      </c>
      <c r="BH38" s="22">
        <f t="shared" si="14"/>
        <v>0.45162244135617868</v>
      </c>
      <c r="BI38" s="22">
        <f t="shared" si="14"/>
        <v>0.55617643411761253</v>
      </c>
      <c r="BJ38" s="22">
        <f t="shared" si="14"/>
        <v>0.56260646383045598</v>
      </c>
      <c r="BK38" s="22">
        <f t="shared" si="14"/>
        <v>0.56917776961554978</v>
      </c>
      <c r="BL38" s="22">
        <f t="shared" si="14"/>
        <v>0.57589480292556694</v>
      </c>
      <c r="BM38" s="22">
        <f t="shared" si="14"/>
        <v>0.58276218423242032</v>
      </c>
      <c r="BN38" s="22">
        <f t="shared" si="14"/>
        <v>0.58978471051803139</v>
      </c>
      <c r="BO38" s="22">
        <f t="shared" si="14"/>
        <v>0.59696736314532128</v>
      </c>
      <c r="BP38" s="22">
        <f t="shared" si="14"/>
        <v>0.60431531613107847</v>
      </c>
      <c r="BQ38" s="22">
        <f t="shared" si="14"/>
        <v>0.61183394484371534</v>
      </c>
      <c r="BR38" s="22">
        <f t="shared" si="14"/>
        <v>0.6195288351503907</v>
      </c>
      <c r="BS38" s="22">
        <f t="shared" si="14"/>
        <v>0.62740579303952104</v>
      </c>
      <c r="BT38" s="22">
        <f t="shared" si="14"/>
        <v>0.63547085474637599</v>
      </c>
      <c r="BU38" s="22">
        <f t="shared" si="14"/>
        <v>0.64373029741123111</v>
      </c>
      <c r="BV38" s="22">
        <f t="shared" si="14"/>
        <v>0.65219065030145584</v>
      </c>
      <c r="BW38" s="22">
        <f t="shared" si="14"/>
        <v>0.66085870663095869</v>
      </c>
      <c r="BX38" s="22">
        <f t="shared" si="10"/>
        <v>0.66974153601259245</v>
      </c>
      <c r="BY38" s="22">
        <f t="shared" si="19"/>
        <v>0.67884649758146887</v>
      </c>
      <c r="BZ38" s="22">
        <f t="shared" si="19"/>
        <v>0.68818125382963646</v>
      </c>
      <c r="CA38" s="22">
        <f t="shared" si="19"/>
        <v>0.69775378519527032</v>
      </c>
      <c r="CB38" s="22">
        <f t="shared" si="19"/>
        <v>0.70757240545240707</v>
      </c>
      <c r="CC38" s="22">
        <f t="shared" si="19"/>
        <v>0.71764577795035234</v>
      </c>
      <c r="CD38" s="22">
        <f t="shared" si="19"/>
        <v>0.72798293275521853</v>
      </c>
      <c r="CE38" s="22">
        <f t="shared" si="19"/>
        <v>0.73859328474961194</v>
      </c>
      <c r="CF38" s="22">
        <f t="shared" si="19"/>
        <v>0.74948665275033</v>
      </c>
      <c r="CG38" s="22">
        <f t="shared" si="19"/>
        <v>0.7606732797080451</v>
      </c>
      <c r="CH38" s="22">
        <f t="shared" si="19"/>
        <v>0.77216385405738375</v>
      </c>
      <c r="CI38" s="22">
        <f t="shared" si="19"/>
        <v>0.78396953229057231</v>
      </c>
      <c r="CJ38" s="22">
        <f t="shared" si="19"/>
        <v>0.79610196283295154</v>
      </c>
      <c r="CK38" s="22">
        <f t="shared" si="19"/>
        <v>0.80857331130417254</v>
      </c>
      <c r="CL38" s="22">
        <f t="shared" si="19"/>
        <v>0.82139628725483371</v>
      </c>
      <c r="CM38" s="22">
        <f t="shared" si="19"/>
        <v>0.83458417247472072</v>
      </c>
      <c r="CN38" s="22">
        <f t="shared" si="19"/>
        <v>0.84815085097570009</v>
      </c>
      <c r="CO38" s="22">
        <f t="shared" si="18"/>
        <v>0.86211084075976663</v>
      </c>
      <c r="CP38" s="22">
        <f t="shared" si="18"/>
        <v>0.87647932749075785</v>
      </c>
      <c r="CQ38" s="22">
        <f t="shared" si="18"/>
        <v>0.89127220019690812</v>
      </c>
      <c r="CR38" s="22">
        <f t="shared" si="18"/>
        <v>0.90650608914075936</v>
      </c>
      <c r="CS38" s="22">
        <f t="shared" si="18"/>
        <v>0.92219840600304048</v>
      </c>
      <c r="CT38" s="22">
        <f t="shared" si="18"/>
        <v>0.93836738653802843</v>
      </c>
      <c r="CU38" s="22">
        <f t="shared" si="18"/>
        <v>0.95503213586969449</v>
      </c>
      <c r="CV38" s="22">
        <f t="shared" si="18"/>
        <v>0.97221267661068933</v>
      </c>
      <c r="CW38" s="22">
        <f t="shared" si="18"/>
        <v>0.98993000000000786</v>
      </c>
    </row>
    <row r="39" spans="1:101">
      <c r="A39" s="22">
        <v>37</v>
      </c>
      <c r="B39" s="32" t="str">
        <f>データファイル用!$B40</f>
        <v>MEWS Siding III - Fibreboard</v>
      </c>
      <c r="C39" s="32">
        <f>データファイル用!K40</f>
        <v>1</v>
      </c>
      <c r="D39" s="32">
        <f>データファイル用!L40</f>
        <v>0.82313000000000003</v>
      </c>
      <c r="E39" s="32">
        <f>データファイル用!M40</f>
        <v>4.0998000000000001</v>
      </c>
      <c r="F39" s="32">
        <f>データファイル用!N40</f>
        <v>-0.96506999999999998</v>
      </c>
      <c r="G39" s="32">
        <f>データファイル用!O40</f>
        <v>19.744</v>
      </c>
      <c r="H39" s="32">
        <f>データファイル用!P40</f>
        <v>0</v>
      </c>
      <c r="I39" s="35">
        <f>データファイル用!Q40</f>
        <v>0</v>
      </c>
      <c r="J39" s="32">
        <f t="shared" si="2"/>
        <v>0.5516127914205804</v>
      </c>
      <c r="K39" s="32">
        <f t="shared" si="3"/>
        <v>0</v>
      </c>
      <c r="L39" s="53" t="str">
        <f t="shared" si="4"/>
        <v>N/A</v>
      </c>
      <c r="M39" s="22">
        <f t="shared" si="15"/>
        <v>0</v>
      </c>
      <c r="N39" s="22">
        <f t="shared" si="15"/>
        <v>3.3955226434251069E-8</v>
      </c>
      <c r="O39" s="22">
        <f t="shared" si="15"/>
        <v>5.8219625457316367E-7</v>
      </c>
      <c r="P39" s="22">
        <f t="shared" si="15"/>
        <v>3.0690810032188218E-6</v>
      </c>
      <c r="Q39" s="22">
        <f t="shared" si="15"/>
        <v>9.982335988698154E-6</v>
      </c>
      <c r="R39" s="22">
        <f t="shared" si="15"/>
        <v>2.4919759964153686E-5</v>
      </c>
      <c r="S39" s="22">
        <f t="shared" si="15"/>
        <v>5.2622457650680453E-5</v>
      </c>
      <c r="T39" s="22">
        <f t="shared" si="15"/>
        <v>9.9000998635940428E-5</v>
      </c>
      <c r="U39" s="22">
        <f t="shared" si="15"/>
        <v>1.7115711584973103E-4</v>
      </c>
      <c r="V39" s="22">
        <f t="shared" si="15"/>
        <v>2.7740230867131892E-4</v>
      </c>
      <c r="W39" s="22">
        <f t="shared" si="15"/>
        <v>4.2727416187565562E-4</v>
      </c>
      <c r="X39" s="22">
        <f t="shared" si="15"/>
        <v>6.3155090464381649E-4</v>
      </c>
      <c r="Y39" s="22">
        <f t="shared" si="15"/>
        <v>9.0226456919676519E-4</v>
      </c>
      <c r="Z39" s="22">
        <f t="shared" si="15"/>
        <v>1.2527130069666717E-3</v>
      </c>
      <c r="AA39" s="22">
        <f t="shared" si="15"/>
        <v>1.6974709539083815E-3</v>
      </c>
      <c r="AB39" s="22">
        <f t="shared" si="15"/>
        <v>2.2524002913764203E-3</v>
      </c>
      <c r="AC39" s="22">
        <f t="shared" si="13"/>
        <v>2.93465961714402E-3</v>
      </c>
      <c r="AD39" s="22">
        <f t="shared" si="13"/>
        <v>3.7627132181311859E-3</v>
      </c>
      <c r="AE39" s="22">
        <f t="shared" si="13"/>
        <v>4.7563395196831811E-3</v>
      </c>
      <c r="AF39" s="22">
        <f t="shared" si="13"/>
        <v>5.9366390746627695E-3</v>
      </c>
      <c r="AG39" s="22">
        <f t="shared" si="13"/>
        <v>7.3260421496220288E-3</v>
      </c>
      <c r="AH39" s="22">
        <f t="shared" si="13"/>
        <v>8.9483159678910643E-3</v>
      </c>
      <c r="AI39" s="22">
        <f t="shared" si="13"/>
        <v>1.0828571688500445E-2</v>
      </c>
      <c r="AJ39" s="22">
        <f t="shared" si="13"/>
        <v>1.2993271253304513E-2</v>
      </c>
      <c r="AK39" s="22">
        <f t="shared" si="17"/>
        <v>1.5470234359956274E-2</v>
      </c>
      <c r="AL39" s="22">
        <f t="shared" si="17"/>
        <v>1.8288646090635505E-2</v>
      </c>
      <c r="AM39" s="22">
        <f t="shared" si="17"/>
        <v>2.1479066291140162E-2</v>
      </c>
      <c r="AN39" s="22">
        <f t="shared" si="17"/>
        <v>2.5073442925419825E-2</v>
      </c>
      <c r="AO39" s="22">
        <f t="shared" si="17"/>
        <v>2.9105133826500925E-2</v>
      </c>
      <c r="AP39" s="22">
        <f t="shared" si="17"/>
        <v>3.3608945417170993E-2</v>
      </c>
      <c r="AQ39" s="22">
        <f t="shared" si="17"/>
        <v>3.8621204636782834E-2</v>
      </c>
      <c r="AR39" s="22">
        <f t="shared" si="17"/>
        <v>4.4179894139242316E-2</v>
      </c>
      <c r="AS39" s="22">
        <f t="shared" si="17"/>
        <v>5.032490527580577E-2</v>
      </c>
      <c r="AT39" s="22">
        <f t="shared" si="17"/>
        <v>5.7098505799666181E-2</v>
      </c>
      <c r="AU39" s="22">
        <f t="shared" si="17"/>
        <v>6.4546191620565421E-2</v>
      </c>
      <c r="AV39" s="22">
        <f t="shared" si="17"/>
        <v>7.2718213696882514E-2</v>
      </c>
      <c r="AW39" s="22">
        <f t="shared" si="17"/>
        <v>8.1672273618858593E-2</v>
      </c>
      <c r="AX39" s="22">
        <f t="shared" si="17"/>
        <v>9.1478215657077339E-2</v>
      </c>
      <c r="AY39" s="22">
        <f t="shared" si="17"/>
        <v>0.1022260939735645</v>
      </c>
      <c r="AZ39" s="22">
        <f t="shared" si="17"/>
        <v>0.11403990802784736</v>
      </c>
      <c r="BA39" s="22">
        <f t="shared" si="16"/>
        <v>0.12710084394158383</v>
      </c>
      <c r="BB39" s="22">
        <f t="shared" si="16"/>
        <v>0.14168655193270044</v>
      </c>
      <c r="BC39" s="22">
        <f t="shared" si="16"/>
        <v>0.15823789904533744</v>
      </c>
      <c r="BD39" s="22">
        <f t="shared" si="16"/>
        <v>0.17747411156345932</v>
      </c>
      <c r="BE39" s="22">
        <f t="shared" si="16"/>
        <v>0.20059672429971187</v>
      </c>
      <c r="BF39" s="22">
        <f t="shared" si="16"/>
        <v>0.22966570859113253</v>
      </c>
      <c r="BG39" s="22">
        <f t="shared" si="16"/>
        <v>0.26833263328895002</v>
      </c>
      <c r="BH39" s="22">
        <f t="shared" si="14"/>
        <v>0.32337424490095662</v>
      </c>
      <c r="BI39" s="22">
        <f t="shared" si="14"/>
        <v>0.4081874751674392</v>
      </c>
      <c r="BJ39" s="22">
        <f t="shared" si="14"/>
        <v>0.41361980141560295</v>
      </c>
      <c r="BK39" s="22">
        <f t="shared" si="14"/>
        <v>0.41919647058929133</v>
      </c>
      <c r="BL39" s="22">
        <f t="shared" si="14"/>
        <v>0.4249227584222845</v>
      </c>
      <c r="BM39" s="22">
        <f t="shared" si="14"/>
        <v>0.43080417248558417</v>
      </c>
      <c r="BN39" s="22">
        <f t="shared" si="14"/>
        <v>0.43684646410959072</v>
      </c>
      <c r="BO39" s="22">
        <f t="shared" si="14"/>
        <v>0.44305564100701433</v>
      </c>
      <c r="BP39" s="22">
        <f t="shared" si="14"/>
        <v>0.44943798064263246</v>
      </c>
      <c r="BQ39" s="22">
        <f t="shared" si="14"/>
        <v>0.45600004439935349</v>
      </c>
      <c r="BR39" s="22">
        <f t="shared" si="14"/>
        <v>0.46274869259366758</v>
      </c>
      <c r="BS39" s="22">
        <f t="shared" si="14"/>
        <v>0.46969110039745809</v>
      </c>
      <c r="BT39" s="22">
        <f t="shared" si="14"/>
        <v>0.47683477472737218</v>
      </c>
      <c r="BU39" s="22">
        <f t="shared" si="14"/>
        <v>0.48418757216750297</v>
      </c>
      <c r="BV39" s="22">
        <f t="shared" si="14"/>
        <v>0.49175771799605744</v>
      </c>
      <c r="BW39" s="22">
        <f t="shared" si="14"/>
        <v>0.49955382639202456</v>
      </c>
      <c r="BX39" s="22">
        <f t="shared" si="10"/>
        <v>0.50758492190361526</v>
      </c>
      <c r="BY39" s="22">
        <f t="shared" si="19"/>
        <v>0.51586046226649984</v>
      </c>
      <c r="BZ39" s="22">
        <f t="shared" si="19"/>
        <v>0.52439036266663042</v>
      </c>
      <c r="CA39" s="22">
        <f t="shared" si="19"/>
        <v>0.53318502154977276</v>
      </c>
      <c r="CB39" s="22">
        <f t="shared" si="19"/>
        <v>0.54225534808781839</v>
      </c>
      <c r="CC39" s="22">
        <f t="shared" si="19"/>
        <v>0.55161279142058572</v>
      </c>
      <c r="CD39" s="22">
        <f t="shared" si="19"/>
        <v>0.56126937180116954</v>
      </c>
      <c r="CE39" s="22">
        <f t="shared" si="19"/>
        <v>0.5712377137830833</v>
      </c>
      <c r="CF39" s="22">
        <f t="shared" si="19"/>
        <v>0.58153108159847378</v>
      </c>
      <c r="CG39" s="22">
        <f t="shared" si="19"/>
        <v>0.5921634168887151</v>
      </c>
      <c r="CH39" s="22">
        <f t="shared" si="19"/>
        <v>0.60314937896174103</v>
      </c>
      <c r="CI39" s="22">
        <f t="shared" si="19"/>
        <v>0.61450438776470329</v>
      </c>
      <c r="CJ39" s="22">
        <f t="shared" si="19"/>
        <v>0.62624466977602067</v>
      </c>
      <c r="CK39" s="22">
        <f t="shared" si="19"/>
        <v>0.63838730703774849</v>
      </c>
      <c r="CL39" s="22">
        <f t="shared" si="19"/>
        <v>0.65095028956758327</v>
      </c>
      <c r="CM39" s="22">
        <f t="shared" si="19"/>
        <v>0.6639525714098653</v>
      </c>
      <c r="CN39" s="22">
        <f t="shared" si="19"/>
        <v>0.67741413060681732</v>
      </c>
      <c r="CO39" s="22">
        <f t="shared" si="18"/>
        <v>0.69135603339514351</v>
      </c>
      <c r="CP39" s="22">
        <f t="shared" si="18"/>
        <v>0.70580050295920227</v>
      </c>
      <c r="CQ39" s="22">
        <f t="shared" si="18"/>
        <v>0.7207709931004892</v>
      </c>
      <c r="CR39" s="22">
        <f t="shared" si="18"/>
        <v>0.73629226721435392</v>
      </c>
      <c r="CS39" s="22">
        <f t="shared" si="18"/>
        <v>0.75239048299900579</v>
      </c>
      <c r="CT39" s="22">
        <f t="shared" si="18"/>
        <v>0.76909328335923632</v>
      </c>
      <c r="CU39" s="22">
        <f t="shared" si="18"/>
        <v>0.78642989400823193</v>
      </c>
      <c r="CV39" s="22">
        <f t="shared" si="18"/>
        <v>0.80443122831572988</v>
      </c>
      <c r="CW39" s="22">
        <f t="shared" si="18"/>
        <v>0.82313000000000847</v>
      </c>
    </row>
    <row r="40" spans="1:101">
      <c r="A40" s="22">
        <v>38</v>
      </c>
      <c r="B40" s="32" t="str">
        <f>データファイル用!$B41</f>
        <v>MEWS Siding IV - Fibreboard</v>
      </c>
      <c r="C40" s="32">
        <f>データファイル用!K41</f>
        <v>1</v>
      </c>
      <c r="D40" s="32">
        <f>データファイル用!L41</f>
        <v>0.63500000000000001</v>
      </c>
      <c r="E40" s="32">
        <f>データファイル用!M41</f>
        <v>2.5972</v>
      </c>
      <c r="F40" s="32">
        <f>データファイル用!N41</f>
        <v>-1.1225000000000001</v>
      </c>
      <c r="G40" s="32">
        <f>データファイル用!O41</f>
        <v>15.878</v>
      </c>
      <c r="H40" s="32">
        <f>データファイル用!P41</f>
        <v>0</v>
      </c>
      <c r="I40" s="35">
        <f>データファイル用!Q41</f>
        <v>0</v>
      </c>
      <c r="J40" s="32">
        <f t="shared" si="2"/>
        <v>0.44280187740689475</v>
      </c>
      <c r="K40" s="32">
        <f t="shared" si="3"/>
        <v>0</v>
      </c>
      <c r="L40" s="53" t="str">
        <f t="shared" si="4"/>
        <v>N/A</v>
      </c>
      <c r="M40" s="22">
        <f t="shared" si="15"/>
        <v>0</v>
      </c>
      <c r="N40" s="22">
        <f t="shared" si="15"/>
        <v>7.99306370073083E-6</v>
      </c>
      <c r="O40" s="22">
        <f t="shared" si="15"/>
        <v>4.8366914029189485E-5</v>
      </c>
      <c r="P40" s="22">
        <f t="shared" si="15"/>
        <v>1.3864129197808185E-4</v>
      </c>
      <c r="Q40" s="22">
        <f t="shared" si="15"/>
        <v>2.9267355550952387E-4</v>
      </c>
      <c r="R40" s="22">
        <f t="shared" si="15"/>
        <v>5.2249022438382686E-4</v>
      </c>
      <c r="S40" s="22">
        <f t="shared" si="15"/>
        <v>8.389338182537621E-4</v>
      </c>
      <c r="T40" s="22">
        <f t="shared" si="15"/>
        <v>1.2519930084049268E-3</v>
      </c>
      <c r="U40" s="22">
        <f t="shared" si="15"/>
        <v>1.7710001105903511E-3</v>
      </c>
      <c r="V40" s="22">
        <f t="shared" si="15"/>
        <v>2.4047609979170534E-3</v>
      </c>
      <c r="W40" s="22">
        <f t="shared" si="15"/>
        <v>3.1616462360709117E-3</v>
      </c>
      <c r="X40" s="22">
        <f t="shared" si="15"/>
        <v>4.0496580754812855E-3</v>
      </c>
      <c r="Y40" s="22">
        <f t="shared" si="15"/>
        <v>5.0764814831286229E-3</v>
      </c>
      <c r="Z40" s="22">
        <f t="shared" si="15"/>
        <v>6.2495241257577152E-3</v>
      </c>
      <c r="AA40" s="22">
        <f t="shared" si="15"/>
        <v>7.5759484201846326E-3</v>
      </c>
      <c r="AB40" s="22">
        <f t="shared" si="15"/>
        <v>9.0626977179316826E-3</v>
      </c>
      <c r="AC40" s="22">
        <f t="shared" si="13"/>
        <v>1.0716518050832364E-2</v>
      </c>
      <c r="AD40" s="22">
        <f t="shared" si="13"/>
        <v>1.2543976462488211E-2</v>
      </c>
      <c r="AE40" s="22">
        <f t="shared" si="13"/>
        <v>1.4551476701756744E-2</v>
      </c>
      <c r="AF40" s="22">
        <f t="shared" si="13"/>
        <v>1.6745272919190202E-2</v>
      </c>
      <c r="AG40" s="22">
        <f t="shared" si="13"/>
        <v>1.9131481977173206E-2</v>
      </c>
      <c r="AH40" s="22">
        <f t="shared" si="13"/>
        <v>2.1716095078923959E-2</v>
      </c>
      <c r="AI40" s="22">
        <f t="shared" si="13"/>
        <v>2.4504989692032096E-2</v>
      </c>
      <c r="AJ40" s="22">
        <f t="shared" si="13"/>
        <v>2.7503943283043647E-2</v>
      </c>
      <c r="AK40" s="22">
        <f t="shared" si="17"/>
        <v>3.0718651345597561E-2</v>
      </c>
      <c r="AL40" s="22">
        <f t="shared" si="17"/>
        <v>3.4154753837776837E-2</v>
      </c>
      <c r="AM40" s="22">
        <f t="shared" si="17"/>
        <v>3.7817876811657374E-2</v>
      </c>
      <c r="AN40" s="22">
        <f t="shared" si="17"/>
        <v>4.1713700264124222E-2</v>
      </c>
      <c r="AO40" s="22">
        <f t="shared" si="17"/>
        <v>4.5848069857607004E-2</v>
      </c>
      <c r="AP40" s="22">
        <f t="shared" si="17"/>
        <v>5.0227180297431111E-2</v>
      </c>
      <c r="AQ40" s="22">
        <f t="shared" si="17"/>
        <v>5.4857873444470268E-2</v>
      </c>
      <c r="AR40" s="22">
        <f t="shared" si="17"/>
        <v>5.9748117016415733E-2</v>
      </c>
      <c r="AS40" s="22">
        <f t="shared" si="17"/>
        <v>6.4907763317501851E-2</v>
      </c>
      <c r="AT40" s="22">
        <f t="shared" si="17"/>
        <v>7.0349736659861703E-2</v>
      </c>
      <c r="AU40" s="22">
        <f t="shared" si="17"/>
        <v>7.6091870170245796E-2</v>
      </c>
      <c r="AV40" s="22">
        <f t="shared" si="17"/>
        <v>8.2159718571370041E-2</v>
      </c>
      <c r="AW40" s="22">
        <f t="shared" si="17"/>
        <v>8.8590831148243149E-2</v>
      </c>
      <c r="AX40" s="22">
        <f t="shared" si="17"/>
        <v>9.5441208788790491E-2</v>
      </c>
      <c r="AY40" s="22">
        <f t="shared" si="17"/>
        <v>0.10279504476185358</v>
      </c>
      <c r="AZ40" s="22">
        <f t="shared" si="17"/>
        <v>0.11077946111078835</v>
      </c>
      <c r="BA40" s="22">
        <f t="shared" si="16"/>
        <v>0.11958699413209603</v>
      </c>
      <c r="BB40" s="22">
        <f t="shared" si="16"/>
        <v>0.12951043581300362</v>
      </c>
      <c r="BC40" s="22">
        <f t="shared" si="16"/>
        <v>0.1409980844922723</v>
      </c>
      <c r="BD40" s="22">
        <f t="shared" si="16"/>
        <v>0.15474414698968916</v>
      </c>
      <c r="BE40" s="22">
        <f t="shared" si="16"/>
        <v>0.17184258922274298</v>
      </c>
      <c r="BF40" s="22">
        <f t="shared" si="16"/>
        <v>0.19406149417796786</v>
      </c>
      <c r="BG40" s="22">
        <f t="shared" si="16"/>
        <v>0.22435925275212878</v>
      </c>
      <c r="BH40" s="22">
        <f t="shared" si="14"/>
        <v>0.26791634881206811</v>
      </c>
      <c r="BI40" s="22">
        <f t="shared" si="14"/>
        <v>0.33434416548004381</v>
      </c>
      <c r="BJ40" s="22">
        <f t="shared" si="14"/>
        <v>0.3385461381506184</v>
      </c>
      <c r="BK40" s="22">
        <f t="shared" si="14"/>
        <v>0.34285229744124629</v>
      </c>
      <c r="BL40" s="22">
        <f t="shared" si="14"/>
        <v>0.34726604037012909</v>
      </c>
      <c r="BM40" s="22">
        <f t="shared" si="14"/>
        <v>0.351790896652452</v>
      </c>
      <c r="BN40" s="22">
        <f t="shared" si="14"/>
        <v>0.35643053474000663</v>
      </c>
      <c r="BO40" s="22">
        <f t="shared" si="14"/>
        <v>0.36118876817287393</v>
      </c>
      <c r="BP40" s="22">
        <f t="shared" si="14"/>
        <v>0.36606956226112353</v>
      </c>
      <c r="BQ40" s="22">
        <f t="shared" si="14"/>
        <v>0.37107704111562223</v>
      </c>
      <c r="BR40" s="22">
        <f t="shared" si="14"/>
        <v>0.37621549504825569</v>
      </c>
      <c r="BS40" s="22">
        <f t="shared" si="14"/>
        <v>0.38148938836316931</v>
      </c>
      <c r="BT40" s="22">
        <f t="shared" si="14"/>
        <v>0.38690336756201621</v>
      </c>
      <c r="BU40" s="22">
        <f t="shared" si="14"/>
        <v>0.39246226998769124</v>
      </c>
      <c r="BV40" s="22">
        <f t="shared" si="14"/>
        <v>0.3981711329326133</v>
      </c>
      <c r="BW40" s="22">
        <f t="shared" si="14"/>
        <v>0.40403520323932435</v>
      </c>
      <c r="BX40" s="22">
        <f t="shared" si="10"/>
        <v>0.41005994742299101</v>
      </c>
      <c r="BY40" s="22">
        <f t="shared" si="19"/>
        <v>0.41625106234734971</v>
      </c>
      <c r="BZ40" s="22">
        <f t="shared" si="19"/>
        <v>0.42261448648772731</v>
      </c>
      <c r="CA40" s="22">
        <f t="shared" si="19"/>
        <v>0.42915641181700964</v>
      </c>
      <c r="CB40" s="22">
        <f t="shared" si="19"/>
        <v>0.43588329635283907</v>
      </c>
      <c r="CC40" s="22">
        <f t="shared" si="19"/>
        <v>0.44280187740689869</v>
      </c>
      <c r="CD40" s="22">
        <f t="shared" si="19"/>
        <v>0.44991918557991262</v>
      </c>
      <c r="CE40" s="22">
        <f t="shared" si="19"/>
        <v>0.45724255954896287</v>
      </c>
      <c r="CF40" s="22">
        <f t="shared" si="19"/>
        <v>0.46477966169691731</v>
      </c>
      <c r="CG40" s="22">
        <f t="shared" si="19"/>
        <v>0.47253849463719266</v>
      </c>
      <c r="CH40" s="22">
        <f t="shared" si="19"/>
        <v>0.4805274186907641</v>
      </c>
      <c r="CI40" s="22">
        <f t="shared" si="19"/>
        <v>0.48875517037629795</v>
      </c>
      <c r="CJ40" s="22">
        <f t="shared" si="19"/>
        <v>0.49723088197854559</v>
      </c>
      <c r="CK40" s="22">
        <f t="shared" si="19"/>
        <v>0.50596410226472577</v>
      </c>
      <c r="CL40" s="22">
        <f t="shared" si="19"/>
        <v>0.51496481842356345</v>
      </c>
      <c r="CM40" s="22">
        <f t="shared" si="19"/>
        <v>0.52424347930696569</v>
      </c>
      <c r="CN40" s="22">
        <f t="shared" si="19"/>
        <v>0.53381102006005032</v>
      </c>
      <c r="CO40" s="22">
        <f t="shared" si="18"/>
        <v>0.54367888823141319</v>
      </c>
      <c r="CP40" s="22">
        <f t="shared" si="18"/>
        <v>0.55385907146217395</v>
      </c>
      <c r="CQ40" s="22">
        <f t="shared" si="18"/>
        <v>0.56436412685952675</v>
      </c>
      <c r="CR40" s="22">
        <f t="shared" si="18"/>
        <v>0.57520721216825821</v>
      </c>
      <c r="CS40" s="22">
        <f t="shared" si="18"/>
        <v>0.58640211886206328</v>
      </c>
      <c r="CT40" s="22">
        <f t="shared" si="18"/>
        <v>0.59796330728551583</v>
      </c>
      <c r="CU40" s="22">
        <f t="shared" si="18"/>
        <v>0.60990594398730047</v>
      </c>
      <c r="CV40" s="22">
        <f t="shared" si="18"/>
        <v>0.62224594139586031</v>
      </c>
      <c r="CW40" s="22">
        <f t="shared" si="18"/>
        <v>0.63500000000000578</v>
      </c>
    </row>
    <row r="41" spans="1:101">
      <c r="A41" s="22">
        <v>39</v>
      </c>
      <c r="B41" s="32" t="str">
        <f>データファイル用!$B42</f>
        <v>MEWS Siding V - Fibreboard</v>
      </c>
      <c r="C41" s="32">
        <f>データファイル用!K42</f>
        <v>1</v>
      </c>
      <c r="D41" s="32">
        <f>データファイル用!L42</f>
        <v>0.87953000000000003</v>
      </c>
      <c r="E41" s="32">
        <f>データファイル用!M42</f>
        <v>2.9842</v>
      </c>
      <c r="F41" s="32">
        <f>データファイル用!N42</f>
        <v>-1.4372</v>
      </c>
      <c r="G41" s="32">
        <f>データファイル用!O42</f>
        <v>20.605</v>
      </c>
      <c r="H41" s="32">
        <f>データファイル用!P42</f>
        <v>0</v>
      </c>
      <c r="I41" s="35">
        <f>データファイル用!Q42</f>
        <v>0</v>
      </c>
      <c r="J41" s="32">
        <f t="shared" si="2"/>
        <v>0.50761782866085581</v>
      </c>
      <c r="K41" s="32">
        <f t="shared" si="3"/>
        <v>0</v>
      </c>
      <c r="L41" s="53" t="str">
        <f t="shared" si="4"/>
        <v>N/A</v>
      </c>
      <c r="M41" s="22">
        <f t="shared" si="15"/>
        <v>0</v>
      </c>
      <c r="N41" s="22">
        <f t="shared" si="15"/>
        <v>1.7783463222983854E-6</v>
      </c>
      <c r="O41" s="22">
        <f t="shared" si="15"/>
        <v>1.4071812968334983E-5</v>
      </c>
      <c r="P41" s="22">
        <f t="shared" si="15"/>
        <v>4.7189088589368939E-5</v>
      </c>
      <c r="Q41" s="22">
        <f t="shared" si="15"/>
        <v>1.1134834521988871E-4</v>
      </c>
      <c r="R41" s="22">
        <f t="shared" si="15"/>
        <v>2.1671183426956461E-4</v>
      </c>
      <c r="S41" s="22">
        <f t="shared" si="15"/>
        <v>3.7340085024472084E-4</v>
      </c>
      <c r="T41" s="22">
        <f t="shared" si="15"/>
        <v>5.9150430818328257E-4</v>
      </c>
      <c r="U41" s="22">
        <f t="shared" si="15"/>
        <v>8.8108433583555248E-4</v>
      </c>
      <c r="V41" s="22">
        <f t="shared" si="15"/>
        <v>1.2521802159532784E-3</v>
      </c>
      <c r="W41" s="22">
        <f t="shared" si="15"/>
        <v>1.7148113174743356E-3</v>
      </c>
      <c r="X41" s="22">
        <f t="shared" si="15"/>
        <v>2.2789793612609799E-3</v>
      </c>
      <c r="Y41" s="22">
        <f t="shared" si="15"/>
        <v>2.9546702242290333E-3</v>
      </c>
      <c r="Z41" s="22">
        <f t="shared" si="15"/>
        <v>3.7518554100153278E-3</v>
      </c>
      <c r="AA41" s="22">
        <f t="shared" si="15"/>
        <v>4.6804932708554327E-3</v>
      </c>
      <c r="AB41" s="22">
        <f t="shared" si="15"/>
        <v>5.7505300389080211E-3</v>
      </c>
      <c r="AC41" s="22">
        <f t="shared" si="13"/>
        <v>6.9719007084723082E-3</v>
      </c>
      <c r="AD41" s="22">
        <f t="shared" si="13"/>
        <v>8.354529799606606E-3</v>
      </c>
      <c r="AE41" s="22">
        <f t="shared" si="13"/>
        <v>9.9083320266975857E-3</v>
      </c>
      <c r="AF41" s="22">
        <f t="shared" si="13"/>
        <v>1.1643212892052605E-2</v>
      </c>
      <c r="AG41" s="22">
        <f t="shared" si="13"/>
        <v>1.3569069225694482E-2</v>
      </c>
      <c r="AH41" s="22">
        <f t="shared" si="13"/>
        <v>1.5695789702085319E-2</v>
      </c>
      <c r="AI41" s="22">
        <f t="shared" si="13"/>
        <v>1.8033255391776762E-2</v>
      </c>
      <c r="AJ41" s="22">
        <f t="shared" si="13"/>
        <v>2.0591340471122387E-2</v>
      </c>
      <c r="AK41" s="22">
        <f t="shared" si="17"/>
        <v>2.3379913357590987E-2</v>
      </c>
      <c r="AL41" s="22">
        <f t="shared" si="17"/>
        <v>2.6408838843684845E-2</v>
      </c>
      <c r="AM41" s="22">
        <f t="shared" si="17"/>
        <v>2.9687982425376874E-2</v>
      </c>
      <c r="AN41" s="22">
        <f t="shared" si="17"/>
        <v>3.3227219251686133E-2</v>
      </c>
      <c r="AO41" s="22">
        <f t="shared" si="17"/>
        <v>3.7036452485521863E-2</v>
      </c>
      <c r="AP41" s="22">
        <f t="shared" si="17"/>
        <v>4.1125650288886158E-2</v>
      </c>
      <c r="AQ41" s="22">
        <f t="shared" si="17"/>
        <v>4.5504918727870367E-2</v>
      </c>
      <c r="AR41" s="22">
        <f t="shared" si="17"/>
        <v>5.0184642342541358E-2</v>
      </c>
      <c r="AS41" s="22">
        <f t="shared" si="17"/>
        <v>5.5175749447088952E-2</v>
      </c>
      <c r="AT41" s="22">
        <f t="shared" si="17"/>
        <v>6.0490202795914882E-2</v>
      </c>
      <c r="AU41" s="22">
        <f t="shared" si="17"/>
        <v>6.6141890034905351E-2</v>
      </c>
      <c r="AV41" s="22">
        <f t="shared" si="17"/>
        <v>7.2148211655657518E-2</v>
      </c>
      <c r="AW41" s="22">
        <f t="shared" si="17"/>
        <v>7.8532868259256622E-2</v>
      </c>
      <c r="AX41" s="22">
        <f t="shared" si="17"/>
        <v>8.533068538579619E-2</v>
      </c>
      <c r="AY41" s="22">
        <f t="shared" si="17"/>
        <v>9.2595871022389614E-2</v>
      </c>
      <c r="AZ41" s="22">
        <f t="shared" si="17"/>
        <v>0.10041603675077046</v>
      </c>
      <c r="BA41" s="22">
        <f t="shared" si="16"/>
        <v>0.10893593406977749</v>
      </c>
      <c r="BB41" s="22">
        <f t="shared" si="16"/>
        <v>0.11839779676493231</v>
      </c>
      <c r="BC41" s="22">
        <f t="shared" si="16"/>
        <v>0.12921084665635443</v>
      </c>
      <c r="BD41" s="22">
        <f t="shared" si="16"/>
        <v>0.14207423996212598</v>
      </c>
      <c r="BE41" s="22">
        <f t="shared" si="16"/>
        <v>0.15820383120017151</v>
      </c>
      <c r="BF41" s="22">
        <f t="shared" si="16"/>
        <v>0.17977579934205054</v>
      </c>
      <c r="BG41" s="22">
        <f t="shared" si="16"/>
        <v>0.21086312801417437</v>
      </c>
      <c r="BH41" s="22">
        <f t="shared" si="14"/>
        <v>0.25960475373734743</v>
      </c>
      <c r="BI41" s="22">
        <f t="shared" si="14"/>
        <v>0.34381917470889112</v>
      </c>
      <c r="BJ41" s="22">
        <f t="shared" si="14"/>
        <v>0.34955520659939016</v>
      </c>
      <c r="BK41" s="22">
        <f t="shared" si="14"/>
        <v>0.35548423201000406</v>
      </c>
      <c r="BL41" s="22">
        <f t="shared" si="14"/>
        <v>0.36161475778760493</v>
      </c>
      <c r="BM41" s="22">
        <f t="shared" si="14"/>
        <v>0.36795574217843724</v>
      </c>
      <c r="BN41" s="22">
        <f t="shared" si="14"/>
        <v>0.37451662281445525</v>
      </c>
      <c r="BO41" s="22">
        <f t="shared" si="14"/>
        <v>0.3813073466738825</v>
      </c>
      <c r="BP41" s="22">
        <f t="shared" si="14"/>
        <v>0.38833840217145393</v>
      </c>
      <c r="BQ41" s="22">
        <f t="shared" si="14"/>
        <v>0.39562085354728888</v>
      </c>
      <c r="BR41" s="22">
        <f t="shared" si="14"/>
        <v>0.40316637773809694</v>
      </c>
      <c r="BS41" s="22">
        <f t="shared" si="14"/>
        <v>0.41098730393059046</v>
      </c>
      <c r="BT41" s="22">
        <f t="shared" si="14"/>
        <v>0.41909665601468576</v>
      </c>
      <c r="BU41" s="22">
        <f t="shared" si="14"/>
        <v>0.42750819817351016</v>
      </c>
      <c r="BV41" s="22">
        <f t="shared" si="14"/>
        <v>0.43623648386853858</v>
      </c>
      <c r="BW41" s="22">
        <f t="shared" ref="BW41:CL81" si="20">IF($C41=2,IF(BW$2&lt;=$O$1,$D41*IF(AND(BW$2=0,$E41=0),1,BW$2^$E41)*EXP($F41*(1-IF(AND(BW$2=0,$G41=0),1,BW$2^$G41))),($H41-$I41)*(BW$2-$O$1)/(1-$O$1)+$I41),$D41*IF(AND(BW$2=0,$E41=0),1,BW$2^$E41)*EXP($F41*(1-IF(AND(BW$2=0,$G41=0),1,BW$2^$G41))))</f>
        <v>0.44529690850160009</v>
      </c>
      <c r="BX41" s="22">
        <f t="shared" si="20"/>
        <v>0.45470576606119889</v>
      </c>
      <c r="BY41" s="22">
        <f t="shared" si="20"/>
        <v>0.46448031008887181</v>
      </c>
      <c r="BZ41" s="22">
        <f t="shared" si="19"/>
        <v>0.47463881933240615</v>
      </c>
      <c r="CA41" s="22">
        <f t="shared" si="19"/>
        <v>0.48520066848697435</v>
      </c>
      <c r="CB41" s="22">
        <f t="shared" si="19"/>
        <v>0.49618640446296497</v>
      </c>
      <c r="CC41" s="22">
        <f t="shared" si="19"/>
        <v>0.50761782866086225</v>
      </c>
      <c r="CD41" s="22">
        <f t="shared" si="19"/>
        <v>0.51951808577939051</v>
      </c>
      <c r="CE41" s="22">
        <f t="shared" si="19"/>
        <v>0.53191175973376648</v>
      </c>
      <c r="CF41" s="22">
        <f t="shared" si="19"/>
        <v>0.54482497731682689</v>
      </c>
      <c r="CG41" s="22">
        <f t="shared" si="19"/>
        <v>0.55828552029762002</v>
      </c>
      <c r="CH41" s="22">
        <f t="shared" si="19"/>
        <v>0.57232294672043227</v>
      </c>
      <c r="CI41" s="22">
        <f t="shared" si="19"/>
        <v>0.58696872224293706</v>
      </c>
      <c r="CJ41" s="22">
        <f t="shared" si="19"/>
        <v>0.60225636243601255</v>
      </c>
      <c r="CK41" s="22">
        <f t="shared" si="19"/>
        <v>0.6182215870607658</v>
      </c>
      <c r="CL41" s="22">
        <f t="shared" si="19"/>
        <v>0.63490248744147149</v>
      </c>
      <c r="CM41" s="22">
        <f t="shared" si="19"/>
        <v>0.65233970816767317</v>
      </c>
      <c r="CN41" s="22">
        <f t="shared" si="19"/>
        <v>0.67057664448599752</v>
      </c>
      <c r="CO41" s="22">
        <f t="shared" si="18"/>
        <v>0.68965965688377906</v>
      </c>
      <c r="CP41" s="22">
        <f t="shared" si="18"/>
        <v>0.70963830452413812</v>
      </c>
      <c r="CQ41" s="22">
        <f t="shared" si="18"/>
        <v>0.73056559936763799</v>
      </c>
      <c r="CR41" s="22">
        <f t="shared" si="18"/>
        <v>0.75249828301124999</v>
      </c>
      <c r="CS41" s="22">
        <f t="shared" si="18"/>
        <v>0.77549712849360231</v>
      </c>
      <c r="CT41" s="22">
        <f t="shared" si="18"/>
        <v>0.79962726955914831</v>
      </c>
      <c r="CU41" s="22">
        <f t="shared" si="18"/>
        <v>0.82495856014621272</v>
      </c>
      <c r="CV41" s="22">
        <f t="shared" si="18"/>
        <v>0.85156596716842881</v>
      </c>
      <c r="CW41" s="22">
        <f t="shared" si="18"/>
        <v>0.8795300000000128</v>
      </c>
    </row>
    <row r="42" spans="1:101">
      <c r="A42" s="22">
        <v>40</v>
      </c>
      <c r="B42" s="32" t="str">
        <f>データファイル用!$B43</f>
        <v>MEWS EIFS Base Coat + Finish Coat</v>
      </c>
      <c r="C42" s="32">
        <f>データファイル用!K43</f>
        <v>1</v>
      </c>
      <c r="D42" s="32">
        <f>データファイル用!L43</f>
        <v>8.7389999999999995E-2</v>
      </c>
      <c r="E42" s="32">
        <f>データファイル用!M43</f>
        <v>0.43535000000000001</v>
      </c>
      <c r="F42" s="32">
        <f>データファイル用!N43</f>
        <v>-1.1798</v>
      </c>
      <c r="G42" s="32">
        <f>データファイル用!O43</f>
        <v>7.6406999999999998</v>
      </c>
      <c r="H42" s="32">
        <f>データファイル用!P43</f>
        <v>0</v>
      </c>
      <c r="I42" s="35">
        <f>データファイル用!Q43</f>
        <v>0</v>
      </c>
      <c r="J42" s="32">
        <f t="shared" si="2"/>
        <v>7.3173127469224872E-2</v>
      </c>
      <c r="K42" s="32">
        <f t="shared" si="3"/>
        <v>0</v>
      </c>
      <c r="L42" s="53" t="str">
        <f t="shared" si="4"/>
        <v>N/A</v>
      </c>
      <c r="M42" s="22">
        <f t="shared" si="15"/>
        <v>0</v>
      </c>
      <c r="N42" s="22">
        <f t="shared" si="15"/>
        <v>4.8914150809273079E-3</v>
      </c>
      <c r="O42" s="22">
        <f t="shared" si="15"/>
        <v>6.614361496382325E-3</v>
      </c>
      <c r="P42" s="22">
        <f t="shared" si="15"/>
        <v>7.8913127668008304E-3</v>
      </c>
      <c r="Q42" s="22">
        <f t="shared" si="15"/>
        <v>8.9441966166123963E-3</v>
      </c>
      <c r="R42" s="22">
        <f t="shared" si="15"/>
        <v>9.8566905315814607E-3</v>
      </c>
      <c r="S42" s="22">
        <f t="shared" si="15"/>
        <v>1.0670940842167825E-2</v>
      </c>
      <c r="T42" s="22">
        <f t="shared" si="15"/>
        <v>1.1411641065695166E-2</v>
      </c>
      <c r="U42" s="22">
        <f t="shared" si="15"/>
        <v>1.2094701912858108E-2</v>
      </c>
      <c r="V42" s="22">
        <f t="shared" si="15"/>
        <v>1.2731073934290727E-2</v>
      </c>
      <c r="W42" s="22">
        <f t="shared" si="15"/>
        <v>1.3328671269211053E-2</v>
      </c>
      <c r="X42" s="22">
        <f t="shared" si="15"/>
        <v>1.3893436104764408E-2</v>
      </c>
      <c r="Y42" s="22">
        <f t="shared" si="15"/>
        <v>1.4429972119445784E-2</v>
      </c>
      <c r="Z42" s="22">
        <f t="shared" si="15"/>
        <v>1.4941944461699108E-2</v>
      </c>
      <c r="AA42" s="22">
        <f t="shared" si="15"/>
        <v>1.5432345667351507E-2</v>
      </c>
      <c r="AB42" s="22">
        <f t="shared" ref="AB42:AQ81" si="21">IF($C42=2,IF(AB$2&lt;=$O$1,$D42*IF(AND(AB$2=0,$E42=0),1,AB$2^$E42)*EXP($F42*(1-IF(AND(AB$2=0,$G42=0),1,AB$2^$G42))),($H42-$I42)*(AB$2-$O$1)/(1-$O$1)+$I42),$D42*IF(AND(AB$2=0,$E42=0),1,AB$2^$E42)*EXP($F42*(1-IF(AND(AB$2=0,$G42=0),1,AB$2^$G42))))</f>
        <v>1.5903681154193303E-2</v>
      </c>
      <c r="AC42" s="22">
        <f t="shared" si="21"/>
        <v>1.6358104979907508E-2</v>
      </c>
      <c r="AD42" s="22">
        <f t="shared" si="21"/>
        <v>1.6797524338735832E-2</v>
      </c>
      <c r="AE42" s="22">
        <f t="shared" si="21"/>
        <v>1.7223684454933892E-2</v>
      </c>
      <c r="AF42" s="22">
        <f t="shared" si="21"/>
        <v>1.7638241574452415E-2</v>
      </c>
      <c r="AG42" s="22">
        <f t="shared" si="21"/>
        <v>1.8042829392956514E-2</v>
      </c>
      <c r="AH42" s="22">
        <f t="shared" si="21"/>
        <v>1.8439122825290234E-2</v>
      </c>
      <c r="AI42" s="22">
        <f t="shared" si="21"/>
        <v>1.8828902160751646E-2</v>
      </c>
      <c r="AJ42" s="22">
        <f t="shared" si="21"/>
        <v>1.9214120164146784E-2</v>
      </c>
      <c r="AK42" s="22">
        <f t="shared" si="21"/>
        <v>1.9596974469998855E-2</v>
      </c>
      <c r="AL42" s="22">
        <f t="shared" si="21"/>
        <v>1.9979987627492295E-2</v>
      </c>
      <c r="AM42" s="22">
        <f t="shared" si="21"/>
        <v>2.0366097375325912E-2</v>
      </c>
      <c r="AN42" s="22">
        <f t="shared" si="21"/>
        <v>2.0758760176876126E-2</v>
      </c>
      <c r="AO42" s="22">
        <f t="shared" si="21"/>
        <v>2.1162071773130932E-2</v>
      </c>
      <c r="AP42" s="22">
        <f t="shared" si="21"/>
        <v>2.1580909591104296E-2</v>
      </c>
      <c r="AQ42" s="22">
        <f t="shared" si="21"/>
        <v>2.2021103395456636E-2</v>
      </c>
      <c r="AR42" s="22">
        <f t="shared" si="17"/>
        <v>2.2489642760761017E-2</v>
      </c>
      <c r="AS42" s="22">
        <f t="shared" si="17"/>
        <v>2.2994933017222205E-2</v>
      </c>
      <c r="AT42" s="22">
        <f t="shared" si="17"/>
        <v>2.3547115641220251E-2</v>
      </c>
      <c r="AU42" s="22">
        <f t="shared" si="17"/>
        <v>2.4158475148499368E-2</v>
      </c>
      <c r="AV42" s="22">
        <f t="shared" si="17"/>
        <v>2.4843963181274454E-2</v>
      </c>
      <c r="AW42" s="22">
        <f t="shared" si="17"/>
        <v>2.5621882832778053E-2</v>
      </c>
      <c r="AX42" s="22">
        <f t="shared" si="17"/>
        <v>2.6514794109693506E-2</v>
      </c>
      <c r="AY42" s="22">
        <f t="shared" si="17"/>
        <v>2.7550727553323162E-2</v>
      </c>
      <c r="AZ42" s="22">
        <f t="shared" si="17"/>
        <v>2.8764831745577191E-2</v>
      </c>
      <c r="BA42" s="22">
        <f t="shared" si="16"/>
        <v>3.0201638582867198E-2</v>
      </c>
      <c r="BB42" s="22">
        <f t="shared" si="16"/>
        <v>3.191821888714718E-2</v>
      </c>
      <c r="BC42" s="22">
        <f t="shared" si="16"/>
        <v>3.3988638293855303E-2</v>
      </c>
      <c r="BD42" s="22">
        <f t="shared" si="16"/>
        <v>3.6510339670858059E-2</v>
      </c>
      <c r="BE42" s="22">
        <f t="shared" si="16"/>
        <v>3.961342492291732E-2</v>
      </c>
      <c r="BF42" s="22">
        <f t="shared" si="16"/>
        <v>4.3474374706540198E-2</v>
      </c>
      <c r="BG42" s="22">
        <f t="shared" si="16"/>
        <v>4.8336685984176862E-2</v>
      </c>
      <c r="BH42" s="22">
        <f t="shared" ref="BH42:BW81" si="22">IF($C42=2,IF(BH$2&lt;=$O$1,$D42*IF(AND(BH$2=0,$E42=0),1,BH$2^$E42)*EXP($F42*(1-IF(AND(BH$2=0,$G42=0),1,BH$2^$G42))),($H42-$I42)*(BH$2-$O$1)/(1-$O$1)+$I42),$D42*IF(AND(BH$2=0,$E42=0),1,BH$2^$E42)*EXP($F42*(1-IF(AND(BH$2=0,$G42=0),1,BH$2^$G42))))</f>
        <v>5.4542506937857733E-2</v>
      </c>
      <c r="BI42" s="22">
        <f t="shared" si="22"/>
        <v>6.2582127587219469E-2</v>
      </c>
      <c r="BJ42" s="22">
        <f t="shared" si="22"/>
        <v>6.3043869174701617E-2</v>
      </c>
      <c r="BK42" s="22">
        <f t="shared" si="22"/>
        <v>6.3512025366399147E-2</v>
      </c>
      <c r="BL42" s="22">
        <f t="shared" si="22"/>
        <v>6.3986706375039268E-2</v>
      </c>
      <c r="BM42" s="22">
        <f t="shared" si="22"/>
        <v>6.4468024658930326E-2</v>
      </c>
      <c r="BN42" s="22">
        <f t="shared" si="22"/>
        <v>6.4956094974492826E-2</v>
      </c>
      <c r="BO42" s="22">
        <f t="shared" si="22"/>
        <v>6.5451034430165672E-2</v>
      </c>
      <c r="BP42" s="22">
        <f t="shared" si="22"/>
        <v>6.5952962541727181E-2</v>
      </c>
      <c r="BQ42" s="22">
        <f t="shared" si="22"/>
        <v>6.6462001289071981E-2</v>
      </c>
      <c r="BR42" s="22">
        <f t="shared" si="22"/>
        <v>6.6978275174485916E-2</v>
      </c>
      <c r="BS42" s="22">
        <f t="shared" si="22"/>
        <v>6.7501911282462038E-2</v>
      </c>
      <c r="BT42" s="22">
        <f t="shared" si="22"/>
        <v>6.8033039341103427E-2</v>
      </c>
      <c r="BU42" s="22">
        <f t="shared" si="22"/>
        <v>6.8571791785158168E-2</v>
      </c>
      <c r="BV42" s="22">
        <f t="shared" si="22"/>
        <v>6.9118303820735139E-2</v>
      </c>
      <c r="BW42" s="22">
        <f t="shared" si="22"/>
        <v>6.9672713491749097E-2</v>
      </c>
      <c r="BX42" s="22">
        <f t="shared" si="20"/>
        <v>7.0235161748146688E-2</v>
      </c>
      <c r="BY42" s="22">
        <f t="shared" si="20"/>
        <v>7.0805792515965235E-2</v>
      </c>
      <c r="BZ42" s="22">
        <f t="shared" si="19"/>
        <v>7.1384752769278886E-2</v>
      </c>
      <c r="CA42" s="22">
        <f t="shared" si="19"/>
        <v>7.1972192604087964E-2</v>
      </c>
      <c r="CB42" s="22">
        <f t="shared" si="19"/>
        <v>7.2568265314208943E-2</v>
      </c>
      <c r="CC42" s="22">
        <f t="shared" si="19"/>
        <v>7.3173127469225205E-2</v>
      </c>
      <c r="CD42" s="22">
        <f t="shared" si="19"/>
        <v>7.3786938994559431E-2</v>
      </c>
      <c r="CE42" s="22">
        <f t="shared" si="19"/>
        <v>7.4409863253731681E-2</v>
      </c>
      <c r="CF42" s="22">
        <f t="shared" si="19"/>
        <v>7.5042067132868401E-2</v>
      </c>
      <c r="CG42" s="22">
        <f t="shared" si="19"/>
        <v>7.5683721127530204E-2</v>
      </c>
      <c r="CH42" s="22">
        <f t="shared" si="19"/>
        <v>7.6334999431928341E-2</v>
      </c>
      <c r="CI42" s="22">
        <f t="shared" si="19"/>
        <v>7.6996080030601918E-2</v>
      </c>
      <c r="CJ42" s="22">
        <f t="shared" si="19"/>
        <v>7.7667144792630899E-2</v>
      </c>
      <c r="CK42" s="22">
        <f t="shared" si="19"/>
        <v>7.834837956846126E-2</v>
      </c>
      <c r="CL42" s="22">
        <f t="shared" si="19"/>
        <v>7.9039974289422402E-2</v>
      </c>
      <c r="CM42" s="22">
        <f t="shared" si="19"/>
        <v>7.9742123070019016E-2</v>
      </c>
      <c r="CN42" s="22">
        <f t="shared" si="19"/>
        <v>8.0455024313081838E-2</v>
      </c>
      <c r="CO42" s="22">
        <f t="shared" si="18"/>
        <v>8.1178880817865881E-2</v>
      </c>
      <c r="CP42" s="22">
        <f t="shared" si="18"/>
        <v>8.1913899891186082E-2</v>
      </c>
      <c r="CQ42" s="22">
        <f t="shared" si="18"/>
        <v>8.2660293461684423E-2</v>
      </c>
      <c r="CR42" s="22">
        <f t="shared" si="18"/>
        <v>8.3418278197325599E-2</v>
      </c>
      <c r="CS42" s="22">
        <f t="shared" si="18"/>
        <v>8.4188075626220771E-2</v>
      </c>
      <c r="CT42" s="22">
        <f t="shared" si="18"/>
        <v>8.4969912260883573E-2</v>
      </c>
      <c r="CU42" s="22">
        <f t="shared" si="18"/>
        <v>8.5764019726024751E-2</v>
      </c>
      <c r="CV42" s="22">
        <f t="shared" si="18"/>
        <v>8.6570634889996501E-2</v>
      </c>
      <c r="CW42" s="22">
        <f t="shared" si="18"/>
        <v>8.7390000000000356E-2</v>
      </c>
    </row>
    <row r="43" spans="1:101">
      <c r="A43" s="22">
        <v>41</v>
      </c>
      <c r="B43" s="32" t="str">
        <f>データファイル用!$B44</f>
        <v>MEWS Exterior Grade Gypsum Board</v>
      </c>
      <c r="C43" s="32">
        <f>データファイル用!K44</f>
        <v>1</v>
      </c>
      <c r="D43" s="32">
        <f>データファイル用!L44</f>
        <v>0</v>
      </c>
      <c r="E43" s="32">
        <f>データファイル用!M44</f>
        <v>0</v>
      </c>
      <c r="F43" s="32">
        <f>データファイル用!N44</f>
        <v>0</v>
      </c>
      <c r="G43" s="32">
        <f>データファイル用!O44</f>
        <v>0</v>
      </c>
      <c r="H43" s="32">
        <f>データファイル用!P44</f>
        <v>0</v>
      </c>
      <c r="I43" s="35">
        <f>データファイル用!Q44</f>
        <v>0</v>
      </c>
      <c r="J43" s="32">
        <f t="shared" si="2"/>
        <v>0</v>
      </c>
      <c r="K43" s="32">
        <f t="shared" si="3"/>
        <v>0</v>
      </c>
      <c r="L43" s="53" t="str">
        <f t="shared" si="4"/>
        <v>N/A</v>
      </c>
      <c r="M43" s="22">
        <f t="shared" ref="M43:AB81" si="23">IF($C43=2,IF(M$2&lt;=$O$1,$D43*IF(AND(M$2=0,$E43=0),1,M$2^$E43)*EXP($F43*(1-IF(AND(M$2=0,$G43=0),1,M$2^$G43))),($H43-$I43)*(M$2-$O$1)/(1-$O$1)+$I43),$D43*IF(AND(M$2=0,$E43=0),1,M$2^$E43)*EXP($F43*(1-IF(AND(M$2=0,$G43=0),1,M$2^$G43))))</f>
        <v>0</v>
      </c>
      <c r="N43" s="22">
        <f t="shared" si="23"/>
        <v>0</v>
      </c>
      <c r="O43" s="22">
        <f t="shared" si="23"/>
        <v>0</v>
      </c>
      <c r="P43" s="22">
        <f t="shared" si="23"/>
        <v>0</v>
      </c>
      <c r="Q43" s="22">
        <f t="shared" si="23"/>
        <v>0</v>
      </c>
      <c r="R43" s="22">
        <f t="shared" si="23"/>
        <v>0</v>
      </c>
      <c r="S43" s="22">
        <f t="shared" si="23"/>
        <v>0</v>
      </c>
      <c r="T43" s="22">
        <f t="shared" si="23"/>
        <v>0</v>
      </c>
      <c r="U43" s="22">
        <f t="shared" si="23"/>
        <v>0</v>
      </c>
      <c r="V43" s="22">
        <f t="shared" si="23"/>
        <v>0</v>
      </c>
      <c r="W43" s="22">
        <f t="shared" si="23"/>
        <v>0</v>
      </c>
      <c r="X43" s="22">
        <f t="shared" si="23"/>
        <v>0</v>
      </c>
      <c r="Y43" s="22">
        <f t="shared" si="23"/>
        <v>0</v>
      </c>
      <c r="Z43" s="22">
        <f t="shared" si="23"/>
        <v>0</v>
      </c>
      <c r="AA43" s="22">
        <f t="shared" si="23"/>
        <v>0</v>
      </c>
      <c r="AB43" s="22">
        <f t="shared" si="23"/>
        <v>0</v>
      </c>
      <c r="AC43" s="22">
        <f t="shared" si="21"/>
        <v>0</v>
      </c>
      <c r="AD43" s="22">
        <f t="shared" si="21"/>
        <v>0</v>
      </c>
      <c r="AE43" s="22">
        <f t="shared" si="21"/>
        <v>0</v>
      </c>
      <c r="AF43" s="22">
        <f t="shared" si="21"/>
        <v>0</v>
      </c>
      <c r="AG43" s="22">
        <f t="shared" si="21"/>
        <v>0</v>
      </c>
      <c r="AH43" s="22">
        <f t="shared" si="21"/>
        <v>0</v>
      </c>
      <c r="AI43" s="22">
        <f t="shared" si="21"/>
        <v>0</v>
      </c>
      <c r="AJ43" s="22">
        <f t="shared" si="21"/>
        <v>0</v>
      </c>
      <c r="AK43" s="22">
        <f t="shared" si="21"/>
        <v>0</v>
      </c>
      <c r="AL43" s="22">
        <f t="shared" si="21"/>
        <v>0</v>
      </c>
      <c r="AM43" s="22">
        <f t="shared" si="21"/>
        <v>0</v>
      </c>
      <c r="AN43" s="22">
        <f t="shared" si="21"/>
        <v>0</v>
      </c>
      <c r="AO43" s="22">
        <f t="shared" si="21"/>
        <v>0</v>
      </c>
      <c r="AP43" s="22">
        <f t="shared" si="21"/>
        <v>0</v>
      </c>
      <c r="AQ43" s="22">
        <f t="shared" si="21"/>
        <v>0</v>
      </c>
      <c r="AR43" s="22">
        <f t="shared" si="17"/>
        <v>0</v>
      </c>
      <c r="AS43" s="22">
        <f t="shared" si="17"/>
        <v>0</v>
      </c>
      <c r="AT43" s="22">
        <f t="shared" si="17"/>
        <v>0</v>
      </c>
      <c r="AU43" s="22">
        <f t="shared" si="17"/>
        <v>0</v>
      </c>
      <c r="AV43" s="22">
        <f t="shared" si="17"/>
        <v>0</v>
      </c>
      <c r="AW43" s="22">
        <f t="shared" si="17"/>
        <v>0</v>
      </c>
      <c r="AX43" s="22">
        <f t="shared" si="17"/>
        <v>0</v>
      </c>
      <c r="AY43" s="22">
        <f t="shared" si="17"/>
        <v>0</v>
      </c>
      <c r="AZ43" s="22">
        <f t="shared" si="17"/>
        <v>0</v>
      </c>
      <c r="BA43" s="22">
        <f t="shared" si="16"/>
        <v>0</v>
      </c>
      <c r="BB43" s="22">
        <f t="shared" si="16"/>
        <v>0</v>
      </c>
      <c r="BC43" s="22">
        <f t="shared" si="16"/>
        <v>0</v>
      </c>
      <c r="BD43" s="22">
        <f t="shared" si="16"/>
        <v>0</v>
      </c>
      <c r="BE43" s="22">
        <f t="shared" si="16"/>
        <v>0</v>
      </c>
      <c r="BF43" s="22">
        <f t="shared" si="16"/>
        <v>0</v>
      </c>
      <c r="BG43" s="22">
        <f t="shared" si="16"/>
        <v>0</v>
      </c>
      <c r="BH43" s="22">
        <f t="shared" si="22"/>
        <v>0</v>
      </c>
      <c r="BI43" s="22">
        <f t="shared" si="22"/>
        <v>0</v>
      </c>
      <c r="BJ43" s="22">
        <f t="shared" si="22"/>
        <v>0</v>
      </c>
      <c r="BK43" s="22">
        <f t="shared" si="22"/>
        <v>0</v>
      </c>
      <c r="BL43" s="22">
        <f t="shared" si="22"/>
        <v>0</v>
      </c>
      <c r="BM43" s="22">
        <f t="shared" si="22"/>
        <v>0</v>
      </c>
      <c r="BN43" s="22">
        <f t="shared" si="22"/>
        <v>0</v>
      </c>
      <c r="BO43" s="22">
        <f t="shared" si="22"/>
        <v>0</v>
      </c>
      <c r="BP43" s="22">
        <f t="shared" si="22"/>
        <v>0</v>
      </c>
      <c r="BQ43" s="22">
        <f t="shared" si="22"/>
        <v>0</v>
      </c>
      <c r="BR43" s="22">
        <f t="shared" si="22"/>
        <v>0</v>
      </c>
      <c r="BS43" s="22">
        <f t="shared" si="22"/>
        <v>0</v>
      </c>
      <c r="BT43" s="22">
        <f t="shared" si="22"/>
        <v>0</v>
      </c>
      <c r="BU43" s="22">
        <f t="shared" si="22"/>
        <v>0</v>
      </c>
      <c r="BV43" s="22">
        <f t="shared" si="22"/>
        <v>0</v>
      </c>
      <c r="BW43" s="22">
        <f t="shared" si="22"/>
        <v>0</v>
      </c>
      <c r="BX43" s="22">
        <f t="shared" si="20"/>
        <v>0</v>
      </c>
      <c r="BY43" s="22">
        <f t="shared" si="20"/>
        <v>0</v>
      </c>
      <c r="BZ43" s="22">
        <f t="shared" si="19"/>
        <v>0</v>
      </c>
      <c r="CA43" s="22">
        <f t="shared" si="19"/>
        <v>0</v>
      </c>
      <c r="CB43" s="22">
        <f t="shared" si="19"/>
        <v>0</v>
      </c>
      <c r="CC43" s="22">
        <f t="shared" si="19"/>
        <v>0</v>
      </c>
      <c r="CD43" s="22">
        <f t="shared" si="19"/>
        <v>0</v>
      </c>
      <c r="CE43" s="22">
        <f t="shared" si="19"/>
        <v>0</v>
      </c>
      <c r="CF43" s="22">
        <f t="shared" si="19"/>
        <v>0</v>
      </c>
      <c r="CG43" s="22">
        <f t="shared" si="19"/>
        <v>0</v>
      </c>
      <c r="CH43" s="22">
        <f t="shared" si="19"/>
        <v>0</v>
      </c>
      <c r="CI43" s="22">
        <f t="shared" si="19"/>
        <v>0</v>
      </c>
      <c r="CJ43" s="22">
        <f t="shared" si="19"/>
        <v>0</v>
      </c>
      <c r="CK43" s="22">
        <f t="shared" si="19"/>
        <v>0</v>
      </c>
      <c r="CL43" s="22">
        <f t="shared" si="19"/>
        <v>0</v>
      </c>
      <c r="CM43" s="22">
        <f t="shared" si="19"/>
        <v>0</v>
      </c>
      <c r="CN43" s="22">
        <f t="shared" si="19"/>
        <v>0</v>
      </c>
      <c r="CO43" s="22">
        <f t="shared" si="18"/>
        <v>0</v>
      </c>
      <c r="CP43" s="22">
        <f t="shared" si="18"/>
        <v>0</v>
      </c>
      <c r="CQ43" s="22">
        <f t="shared" si="18"/>
        <v>0</v>
      </c>
      <c r="CR43" s="22">
        <f t="shared" si="18"/>
        <v>0</v>
      </c>
      <c r="CS43" s="22">
        <f t="shared" si="18"/>
        <v>0</v>
      </c>
      <c r="CT43" s="22">
        <f t="shared" si="18"/>
        <v>0</v>
      </c>
      <c r="CU43" s="22">
        <f t="shared" si="18"/>
        <v>0</v>
      </c>
      <c r="CV43" s="22">
        <f t="shared" si="18"/>
        <v>0</v>
      </c>
      <c r="CW43" s="22">
        <f t="shared" si="18"/>
        <v>0</v>
      </c>
    </row>
    <row r="44" spans="1:101">
      <c r="A44" s="22">
        <v>42</v>
      </c>
      <c r="B44" s="32" t="str">
        <f>データファイル用!$B45</f>
        <v>MEWS Spray Polyurethane Foam</v>
      </c>
      <c r="C44" s="32">
        <f>データファイル用!K45</f>
        <v>1</v>
      </c>
      <c r="D44" s="32">
        <f>データファイル用!L45</f>
        <v>0</v>
      </c>
      <c r="E44" s="32">
        <f>データファイル用!M45</f>
        <v>0</v>
      </c>
      <c r="F44" s="32">
        <f>データファイル用!N45</f>
        <v>0</v>
      </c>
      <c r="G44" s="32">
        <f>データファイル用!O45</f>
        <v>0</v>
      </c>
      <c r="H44" s="32">
        <f>データファイル用!P45</f>
        <v>0</v>
      </c>
      <c r="I44" s="35">
        <f>データファイル用!Q45</f>
        <v>0</v>
      </c>
      <c r="J44" s="32">
        <f t="shared" si="2"/>
        <v>0</v>
      </c>
      <c r="K44" s="32">
        <f t="shared" si="3"/>
        <v>0</v>
      </c>
      <c r="L44" s="53" t="str">
        <f t="shared" si="4"/>
        <v>N/A</v>
      </c>
      <c r="M44" s="22">
        <f t="shared" si="23"/>
        <v>0</v>
      </c>
      <c r="N44" s="22">
        <f t="shared" si="23"/>
        <v>0</v>
      </c>
      <c r="O44" s="22">
        <f t="shared" si="23"/>
        <v>0</v>
      </c>
      <c r="P44" s="22">
        <f t="shared" si="23"/>
        <v>0</v>
      </c>
      <c r="Q44" s="22">
        <f t="shared" si="23"/>
        <v>0</v>
      </c>
      <c r="R44" s="22">
        <f t="shared" si="23"/>
        <v>0</v>
      </c>
      <c r="S44" s="22">
        <f t="shared" si="23"/>
        <v>0</v>
      </c>
      <c r="T44" s="22">
        <f t="shared" si="23"/>
        <v>0</v>
      </c>
      <c r="U44" s="22">
        <f t="shared" si="23"/>
        <v>0</v>
      </c>
      <c r="V44" s="22">
        <f t="shared" si="23"/>
        <v>0</v>
      </c>
      <c r="W44" s="22">
        <f t="shared" si="23"/>
        <v>0</v>
      </c>
      <c r="X44" s="22">
        <f t="shared" si="23"/>
        <v>0</v>
      </c>
      <c r="Y44" s="22">
        <f t="shared" si="23"/>
        <v>0</v>
      </c>
      <c r="Z44" s="22">
        <f t="shared" si="23"/>
        <v>0</v>
      </c>
      <c r="AA44" s="22">
        <f t="shared" si="23"/>
        <v>0</v>
      </c>
      <c r="AB44" s="22">
        <f t="shared" si="23"/>
        <v>0</v>
      </c>
      <c r="AC44" s="22">
        <f t="shared" si="21"/>
        <v>0</v>
      </c>
      <c r="AD44" s="22">
        <f t="shared" si="21"/>
        <v>0</v>
      </c>
      <c r="AE44" s="22">
        <f t="shared" si="21"/>
        <v>0</v>
      </c>
      <c r="AF44" s="22">
        <f t="shared" si="21"/>
        <v>0</v>
      </c>
      <c r="AG44" s="22">
        <f t="shared" si="21"/>
        <v>0</v>
      </c>
      <c r="AH44" s="22">
        <f t="shared" si="21"/>
        <v>0</v>
      </c>
      <c r="AI44" s="22">
        <f t="shared" si="21"/>
        <v>0</v>
      </c>
      <c r="AJ44" s="22">
        <f t="shared" si="21"/>
        <v>0</v>
      </c>
      <c r="AK44" s="22">
        <f t="shared" si="21"/>
        <v>0</v>
      </c>
      <c r="AL44" s="22">
        <f t="shared" si="21"/>
        <v>0</v>
      </c>
      <c r="AM44" s="22">
        <f t="shared" si="21"/>
        <v>0</v>
      </c>
      <c r="AN44" s="22">
        <f t="shared" si="21"/>
        <v>0</v>
      </c>
      <c r="AO44" s="22">
        <f t="shared" si="21"/>
        <v>0</v>
      </c>
      <c r="AP44" s="22">
        <f t="shared" si="21"/>
        <v>0</v>
      </c>
      <c r="AQ44" s="22">
        <f t="shared" si="21"/>
        <v>0</v>
      </c>
      <c r="AR44" s="22">
        <f t="shared" si="17"/>
        <v>0</v>
      </c>
      <c r="AS44" s="22">
        <f t="shared" si="17"/>
        <v>0</v>
      </c>
      <c r="AT44" s="22">
        <f t="shared" si="17"/>
        <v>0</v>
      </c>
      <c r="AU44" s="22">
        <f t="shared" si="17"/>
        <v>0</v>
      </c>
      <c r="AV44" s="22">
        <f t="shared" si="17"/>
        <v>0</v>
      </c>
      <c r="AW44" s="22">
        <f t="shared" si="17"/>
        <v>0</v>
      </c>
      <c r="AX44" s="22">
        <f t="shared" si="17"/>
        <v>0</v>
      </c>
      <c r="AY44" s="22">
        <f t="shared" si="17"/>
        <v>0</v>
      </c>
      <c r="AZ44" s="22">
        <f t="shared" si="17"/>
        <v>0</v>
      </c>
      <c r="BA44" s="22">
        <f t="shared" si="16"/>
        <v>0</v>
      </c>
      <c r="BB44" s="22">
        <f t="shared" si="16"/>
        <v>0</v>
      </c>
      <c r="BC44" s="22">
        <f t="shared" si="16"/>
        <v>0</v>
      </c>
      <c r="BD44" s="22">
        <f t="shared" si="16"/>
        <v>0</v>
      </c>
      <c r="BE44" s="22">
        <f t="shared" si="16"/>
        <v>0</v>
      </c>
      <c r="BF44" s="22">
        <f t="shared" si="16"/>
        <v>0</v>
      </c>
      <c r="BG44" s="22">
        <f t="shared" si="16"/>
        <v>0</v>
      </c>
      <c r="BH44" s="22">
        <f t="shared" si="22"/>
        <v>0</v>
      </c>
      <c r="BI44" s="22">
        <f t="shared" si="22"/>
        <v>0</v>
      </c>
      <c r="BJ44" s="22">
        <f t="shared" si="22"/>
        <v>0</v>
      </c>
      <c r="BK44" s="22">
        <f t="shared" si="22"/>
        <v>0</v>
      </c>
      <c r="BL44" s="22">
        <f t="shared" si="22"/>
        <v>0</v>
      </c>
      <c r="BM44" s="22">
        <f t="shared" si="22"/>
        <v>0</v>
      </c>
      <c r="BN44" s="22">
        <f t="shared" si="22"/>
        <v>0</v>
      </c>
      <c r="BO44" s="22">
        <f t="shared" si="22"/>
        <v>0</v>
      </c>
      <c r="BP44" s="22">
        <f t="shared" si="22"/>
        <v>0</v>
      </c>
      <c r="BQ44" s="22">
        <f t="shared" si="22"/>
        <v>0</v>
      </c>
      <c r="BR44" s="22">
        <f t="shared" si="22"/>
        <v>0</v>
      </c>
      <c r="BS44" s="22">
        <f t="shared" si="22"/>
        <v>0</v>
      </c>
      <c r="BT44" s="22">
        <f t="shared" si="22"/>
        <v>0</v>
      </c>
      <c r="BU44" s="22">
        <f t="shared" si="22"/>
        <v>0</v>
      </c>
      <c r="BV44" s="22">
        <f t="shared" si="22"/>
        <v>0</v>
      </c>
      <c r="BW44" s="22">
        <f t="shared" si="22"/>
        <v>0</v>
      </c>
      <c r="BX44" s="22">
        <f t="shared" si="20"/>
        <v>0</v>
      </c>
      <c r="BY44" s="22">
        <f t="shared" si="20"/>
        <v>0</v>
      </c>
      <c r="BZ44" s="22">
        <f t="shared" si="19"/>
        <v>0</v>
      </c>
      <c r="CA44" s="22">
        <f t="shared" si="19"/>
        <v>0</v>
      </c>
      <c r="CB44" s="22">
        <f t="shared" si="19"/>
        <v>0</v>
      </c>
      <c r="CC44" s="22">
        <f t="shared" si="19"/>
        <v>0</v>
      </c>
      <c r="CD44" s="22">
        <f t="shared" si="19"/>
        <v>0</v>
      </c>
      <c r="CE44" s="22">
        <f t="shared" si="19"/>
        <v>0</v>
      </c>
      <c r="CF44" s="22">
        <f t="shared" si="19"/>
        <v>0</v>
      </c>
      <c r="CG44" s="22">
        <f t="shared" si="19"/>
        <v>0</v>
      </c>
      <c r="CH44" s="22">
        <f t="shared" si="19"/>
        <v>0</v>
      </c>
      <c r="CI44" s="22">
        <f t="shared" si="19"/>
        <v>0</v>
      </c>
      <c r="CJ44" s="22">
        <f t="shared" si="19"/>
        <v>0</v>
      </c>
      <c r="CK44" s="22">
        <f t="shared" si="19"/>
        <v>0</v>
      </c>
      <c r="CL44" s="22">
        <f t="shared" si="19"/>
        <v>0</v>
      </c>
      <c r="CM44" s="22">
        <f t="shared" si="19"/>
        <v>0</v>
      </c>
      <c r="CN44" s="22">
        <f t="shared" si="19"/>
        <v>0</v>
      </c>
      <c r="CO44" s="22">
        <f t="shared" si="18"/>
        <v>0</v>
      </c>
      <c r="CP44" s="22">
        <f t="shared" si="18"/>
        <v>0</v>
      </c>
      <c r="CQ44" s="22">
        <f t="shared" si="18"/>
        <v>0</v>
      </c>
      <c r="CR44" s="22">
        <f t="shared" si="18"/>
        <v>0</v>
      </c>
      <c r="CS44" s="22">
        <f t="shared" si="18"/>
        <v>0</v>
      </c>
      <c r="CT44" s="22">
        <f t="shared" si="18"/>
        <v>0</v>
      </c>
      <c r="CU44" s="22">
        <f t="shared" si="18"/>
        <v>0</v>
      </c>
      <c r="CV44" s="22">
        <f t="shared" si="18"/>
        <v>0</v>
      </c>
      <c r="CW44" s="22">
        <f t="shared" si="18"/>
        <v>0</v>
      </c>
    </row>
    <row r="45" spans="1:101">
      <c r="A45" s="22">
        <v>43</v>
      </c>
      <c r="B45" s="32" t="str">
        <f>データファイル用!$B46</f>
        <v>ASHRAE OSB -1</v>
      </c>
      <c r="C45" s="32">
        <f>データファイル用!K46</f>
        <v>1</v>
      </c>
      <c r="D45" s="32">
        <f>データファイル用!L46</f>
        <v>0.85343000000000002</v>
      </c>
      <c r="E45" s="32">
        <f>データファイル用!M46</f>
        <v>2.5926999999999998</v>
      </c>
      <c r="F45" s="32">
        <f>データファイル用!N46</f>
        <v>-1.2497</v>
      </c>
      <c r="G45" s="32">
        <f>データファイル用!O46</f>
        <v>80.376000000000005</v>
      </c>
      <c r="H45" s="32">
        <f>データファイル用!P46</f>
        <v>0</v>
      </c>
      <c r="I45" s="35">
        <f>データファイル用!Q46</f>
        <v>0</v>
      </c>
      <c r="J45" s="32">
        <f t="shared" si="2"/>
        <v>0.29694793022805782</v>
      </c>
      <c r="K45" s="32">
        <f t="shared" si="3"/>
        <v>0</v>
      </c>
      <c r="L45" s="53" t="str">
        <f t="shared" si="4"/>
        <v>N/A</v>
      </c>
      <c r="M45" s="22">
        <f t="shared" si="23"/>
        <v>0</v>
      </c>
      <c r="N45" s="22">
        <f t="shared" si="23"/>
        <v>9.6274342419091183E-6</v>
      </c>
      <c r="O45" s="22">
        <f t="shared" si="23"/>
        <v>5.807524233758138E-5</v>
      </c>
      <c r="P45" s="22">
        <f t="shared" si="23"/>
        <v>1.6616625732294378E-4</v>
      </c>
      <c r="Q45" s="22">
        <f t="shared" si="23"/>
        <v>3.5032529829048028E-4</v>
      </c>
      <c r="R45" s="22">
        <f t="shared" si="23"/>
        <v>6.247842761628237E-4</v>
      </c>
      <c r="S45" s="22">
        <f t="shared" si="23"/>
        <v>1.0023590314801503E-3</v>
      </c>
      <c r="T45" s="22">
        <f t="shared" si="23"/>
        <v>1.4948452965533111E-3</v>
      </c>
      <c r="U45" s="22">
        <f t="shared" si="23"/>
        <v>2.113255316420697E-3</v>
      </c>
      <c r="V45" s="22">
        <f t="shared" si="23"/>
        <v>2.867973374725379E-3</v>
      </c>
      <c r="W45" s="22">
        <f t="shared" si="23"/>
        <v>3.7688648226665068E-3</v>
      </c>
      <c r="X45" s="22">
        <f t="shared" si="23"/>
        <v>4.8253561775627772E-3</v>
      </c>
      <c r="Y45" s="22">
        <f t="shared" si="23"/>
        <v>6.046496106830797E-3</v>
      </c>
      <c r="Z45" s="22">
        <f t="shared" si="23"/>
        <v>7.4410031858016595E-3</v>
      </c>
      <c r="AA45" s="22">
        <f t="shared" si="23"/>
        <v>9.0173041615407585E-3</v>
      </c>
      <c r="AB45" s="22">
        <f t="shared" si="23"/>
        <v>1.0783565194584352E-2</v>
      </c>
      <c r="AC45" s="22">
        <f t="shared" si="21"/>
        <v>1.2747717775943719E-2</v>
      </c>
      <c r="AD45" s="22">
        <f t="shared" si="21"/>
        <v>1.4917480520540729E-2</v>
      </c>
      <c r="AE45" s="22">
        <f t="shared" si="21"/>
        <v>1.7300377709137053E-2</v>
      </c>
      <c r="AF45" s="22">
        <f t="shared" si="21"/>
        <v>1.990375522597785E-2</v>
      </c>
      <c r="AG45" s="22">
        <f t="shared" si="21"/>
        <v>2.2734794381783233E-2</v>
      </c>
      <c r="AH45" s="22">
        <f t="shared" si="21"/>
        <v>2.5800523998781782E-2</v>
      </c>
      <c r="AI45" s="22">
        <f t="shared" si="21"/>
        <v>2.9107831051934929E-2</v>
      </c>
      <c r="AJ45" s="22">
        <f t="shared" si="21"/>
        <v>3.2663470099111837E-2</v>
      </c>
      <c r="AK45" s="22">
        <f t="shared" si="21"/>
        <v>3.6474071686602098E-2</v>
      </c>
      <c r="AL45" s="22">
        <f t="shared" si="21"/>
        <v>4.0546149880832175E-2</v>
      </c>
      <c r="AM45" s="22">
        <f t="shared" si="21"/>
        <v>4.4886109049595911E-2</v>
      </c>
      <c r="AN45" s="22">
        <f t="shared" si="21"/>
        <v>4.9500249994485247E-2</v>
      </c>
      <c r="AO45" s="22">
        <f t="shared" si="21"/>
        <v>5.4394775519060273E-2</v>
      </c>
      <c r="AP45" s="22">
        <f t="shared" si="21"/>
        <v>5.9575795503568105E-2</v>
      </c>
      <c r="AQ45" s="22">
        <f t="shared" si="21"/>
        <v>6.5049331545930913E-2</v>
      </c>
      <c r="AR45" s="22">
        <f t="shared" si="17"/>
        <v>7.0821321219691313E-2</v>
      </c>
      <c r="AS45" s="22">
        <f t="shared" si="17"/>
        <v>7.6897621992193313E-2</v>
      </c>
      <c r="AT45" s="22">
        <f t="shared" si="17"/>
        <v>8.3284014840153103E-2</v>
      </c>
      <c r="AU45" s="22">
        <f t="shared" si="17"/>
        <v>8.9986207594682552E-2</v>
      </c>
      <c r="AV45" s="22">
        <f t="shared" ref="AV45:BK81" si="24">IF($C45=2,IF(AV$2&lt;=$O$1,$D45*IF(AND(AV$2=0,$E45=0),1,AV$2^$E45)*EXP($F45*(1-IF(AND(AV$2=0,$G45=0),1,AV$2^$G45))),($H45-$I45)*(AV$2-$O$1)/(1-$O$1)+$I45),$D45*IF(AND(AV$2=0,$E45=0),1,AV$2^$E45)*EXP($F45*(1-IF(AND(AV$2=0,$G45=0),1,AV$2^$G45))))</f>
        <v>9.7009838043585747E-2</v>
      </c>
      <c r="AW45" s="22">
        <f t="shared" si="24"/>
        <v>0.10436047681535471</v>
      </c>
      <c r="AX45" s="22">
        <f t="shared" si="24"/>
        <v>0.11204363006802427</v>
      </c>
      <c r="AY45" s="22">
        <f t="shared" si="24"/>
        <v>0.12006474201869398</v>
      </c>
      <c r="AZ45" s="22">
        <f t="shared" si="24"/>
        <v>0.1284291974710334</v>
      </c>
      <c r="BA45" s="22">
        <f t="shared" si="24"/>
        <v>0.13714232544707045</v>
      </c>
      <c r="BB45" s="22">
        <f t="shared" si="24"/>
        <v>0.14620941196274823</v>
      </c>
      <c r="BC45" s="22">
        <f t="shared" si="24"/>
        <v>0.15563577809876603</v>
      </c>
      <c r="BD45" s="22">
        <f t="shared" si="24"/>
        <v>0.16542729783478843</v>
      </c>
      <c r="BE45" s="22">
        <f t="shared" si="24"/>
        <v>0.17559374293029364</v>
      </c>
      <c r="BF45" s="22">
        <f t="shared" si="24"/>
        <v>0.18616953509620893</v>
      </c>
      <c r="BG45" s="22">
        <f t="shared" si="24"/>
        <v>0.19733748941305987</v>
      </c>
      <c r="BH45" s="22">
        <f t="shared" si="24"/>
        <v>0.21014283205472614</v>
      </c>
      <c r="BI45" s="22">
        <f t="shared" si="24"/>
        <v>0.23060268874353734</v>
      </c>
      <c r="BJ45" s="22">
        <f t="shared" si="24"/>
        <v>0.23217593304899889</v>
      </c>
      <c r="BK45" s="22">
        <f t="shared" si="24"/>
        <v>0.23384178822978532</v>
      </c>
      <c r="BL45" s="22">
        <f t="shared" si="22"/>
        <v>0.23560915482697756</v>
      </c>
      <c r="BM45" s="22">
        <f t="shared" si="22"/>
        <v>0.23748786679135575</v>
      </c>
      <c r="BN45" s="22">
        <f t="shared" si="22"/>
        <v>0.23948880264964745</v>
      </c>
      <c r="BO45" s="22">
        <f t="shared" si="22"/>
        <v>0.24162401227935953</v>
      </c>
      <c r="BP45" s="22">
        <f t="shared" si="22"/>
        <v>0.24390686188031566</v>
      </c>
      <c r="BQ45" s="22">
        <f t="shared" si="22"/>
        <v>0.2463522002254005</v>
      </c>
      <c r="BR45" s="22">
        <f t="shared" si="22"/>
        <v>0.24897654987348333</v>
      </c>
      <c r="BS45" s="22">
        <f t="shared" si="22"/>
        <v>0.25179832775930289</v>
      </c>
      <c r="BT45" s="22">
        <f t="shared" si="22"/>
        <v>0.25483810047006228</v>
      </c>
      <c r="BU45" s="22">
        <f t="shared" si="22"/>
        <v>0.25811888061694349</v>
      </c>
      <c r="BV45" s="22">
        <f t="shared" si="22"/>
        <v>0.26166647206300786</v>
      </c>
      <c r="BW45" s="22">
        <f t="shared" si="22"/>
        <v>0.26550987344256849</v>
      </c>
      <c r="BX45" s="22">
        <f t="shared" si="20"/>
        <v>0.26968175148524315</v>
      </c>
      <c r="BY45" s="22">
        <f t="shared" si="20"/>
        <v>0.27421899824904933</v>
      </c>
      <c r="BZ45" s="22">
        <f t="shared" si="19"/>
        <v>0.27916338961168619</v>
      </c>
      <c r="CA45" s="22">
        <f t="shared" si="19"/>
        <v>0.28456236645067096</v>
      </c>
      <c r="CB45" s="22">
        <f t="shared" si="19"/>
        <v>0.29046996510091977</v>
      </c>
      <c r="CC45" s="22">
        <f t="shared" si="19"/>
        <v>0.29694793022806165</v>
      </c>
      <c r="CD45" s="22">
        <f t="shared" si="19"/>
        <v>0.30406705161452291</v>
      </c>
      <c r="CE45" s="22">
        <f t="shared" si="19"/>
        <v>0.31190877707848835</v>
      </c>
      <c r="CF45" s="22">
        <f t="shared" si="19"/>
        <v>0.32056716757647535</v>
      </c>
      <c r="CG45" s="22">
        <f t="shared" si="19"/>
        <v>0.33015127847943287</v>
      </c>
      <c r="CH45" s="22">
        <f t="shared" si="19"/>
        <v>0.34078807441658721</v>
      </c>
      <c r="CI45" s="22">
        <f t="shared" si="19"/>
        <v>0.35262601580145198</v>
      </c>
      <c r="CJ45" s="22">
        <f t="shared" si="19"/>
        <v>0.36583949573257335</v>
      </c>
      <c r="CK45" s="22">
        <f t="shared" si="19"/>
        <v>0.38063435991421518</v>
      </c>
      <c r="CL45" s="22">
        <f t="shared" si="19"/>
        <v>0.39725481446968386</v>
      </c>
      <c r="CM45" s="22">
        <f t="shared" si="19"/>
        <v>0.4159921239035923</v>
      </c>
      <c r="CN45" s="22">
        <f t="shared" si="19"/>
        <v>0.43719563374913262</v>
      </c>
      <c r="CO45" s="22">
        <f t="shared" si="18"/>
        <v>0.46128683351353361</v>
      </c>
      <c r="CP45" s="22">
        <f t="shared" si="18"/>
        <v>0.48877742542118885</v>
      </c>
      <c r="CQ45" s="22">
        <f t="shared" si="18"/>
        <v>0.52029271221828943</v>
      </c>
      <c r="CR45" s="22">
        <f t="shared" si="18"/>
        <v>0.55660210556760392</v>
      </c>
      <c r="CS45" s="22">
        <f t="shared" si="18"/>
        <v>0.59865924843701901</v>
      </c>
      <c r="CT45" s="22">
        <f t="shared" si="18"/>
        <v>0.64765523477417286</v>
      </c>
      <c r="CU45" s="22">
        <f t="shared" si="18"/>
        <v>0.70508984039140166</v>
      </c>
      <c r="CV45" s="22">
        <f t="shared" si="18"/>
        <v>0.77286776857371764</v>
      </c>
      <c r="CW45" s="22">
        <f t="shared" si="18"/>
        <v>0.8534300000000391</v>
      </c>
    </row>
    <row r="46" spans="1:101">
      <c r="A46" s="22">
        <v>44</v>
      </c>
      <c r="B46" s="32" t="str">
        <f>データファイル用!$B47</f>
        <v>ASHRAE OSB -2</v>
      </c>
      <c r="C46" s="32">
        <f>データファイル用!K47</f>
        <v>1</v>
      </c>
      <c r="D46" s="32">
        <f>データファイル用!L47</f>
        <v>0.83465999999999996</v>
      </c>
      <c r="E46" s="32">
        <f>データファイル用!M47</f>
        <v>2.5960000000000001</v>
      </c>
      <c r="F46" s="32">
        <f>データファイル用!N47</f>
        <v>-1.2869999999999999</v>
      </c>
      <c r="G46" s="32">
        <f>データファイル用!O47</f>
        <v>83.572000000000003</v>
      </c>
      <c r="H46" s="32">
        <f>データファイル用!P47</f>
        <v>0</v>
      </c>
      <c r="I46" s="35">
        <f>データファイル用!Q47</f>
        <v>0</v>
      </c>
      <c r="J46" s="32">
        <f t="shared" si="2"/>
        <v>0.27739423443966382</v>
      </c>
      <c r="K46" s="32">
        <f t="shared" si="3"/>
        <v>0</v>
      </c>
      <c r="L46" s="53" t="str">
        <f t="shared" si="4"/>
        <v>N/A</v>
      </c>
      <c r="M46" s="22">
        <f t="shared" si="23"/>
        <v>0</v>
      </c>
      <c r="N46" s="22">
        <f t="shared" si="23"/>
        <v>8.9546057887793737E-6</v>
      </c>
      <c r="O46" s="22">
        <f t="shared" si="23"/>
        <v>5.4140260399823523E-5</v>
      </c>
      <c r="P46" s="22">
        <f t="shared" si="23"/>
        <v>1.5511480413138247E-4</v>
      </c>
      <c r="Q46" s="22">
        <f t="shared" si="23"/>
        <v>3.2733633007425201E-4</v>
      </c>
      <c r="R46" s="22">
        <f t="shared" si="23"/>
        <v>5.8421486452453313E-4</v>
      </c>
      <c r="S46" s="22">
        <f t="shared" si="23"/>
        <v>9.3783647048581171E-4</v>
      </c>
      <c r="T46" s="22">
        <f t="shared" si="23"/>
        <v>1.399332701429986E-3</v>
      </c>
      <c r="U46" s="22">
        <f t="shared" si="23"/>
        <v>1.9791015446765222E-3</v>
      </c>
      <c r="V46" s="22">
        <f t="shared" si="23"/>
        <v>2.6869527289371531E-3</v>
      </c>
      <c r="W46" s="22">
        <f t="shared" si="23"/>
        <v>3.5322096405895824E-3</v>
      </c>
      <c r="X46" s="22">
        <f t="shared" si="23"/>
        <v>4.523784229069492E-3</v>
      </c>
      <c r="Y46" s="22">
        <f t="shared" si="23"/>
        <v>5.6702340585642261E-3</v>
      </c>
      <c r="Z46" s="22">
        <f t="shared" si="23"/>
        <v>6.9798070015077394E-3</v>
      </c>
      <c r="AA46" s="22">
        <f t="shared" si="23"/>
        <v>8.4604770582240134E-3</v>
      </c>
      <c r="AB46" s="22">
        <f t="shared" si="23"/>
        <v>1.0119973611224463E-2</v>
      </c>
      <c r="AC46" s="22">
        <f t="shared" si="21"/>
        <v>1.1965805699759958E-2</v>
      </c>
      <c r="AD46" s="22">
        <f t="shared" si="21"/>
        <v>1.4005282437004279E-2</v>
      </c>
      <c r="AE46" s="22">
        <f t="shared" si="21"/>
        <v>1.6245530384928701E-2</v>
      </c>
      <c r="AF46" s="22">
        <f t="shared" si="21"/>
        <v>1.8693508491919582E-2</v>
      </c>
      <c r="AG46" s="22">
        <f t="shared" si="21"/>
        <v>2.1356021050967428E-2</v>
      </c>
      <c r="AH46" s="22">
        <f t="shared" si="21"/>
        <v>2.423972903072245E-2</v>
      </c>
      <c r="AI46" s="22">
        <f t="shared" si="21"/>
        <v>2.7351160054564814E-2</v>
      </c>
      <c r="AJ46" s="22">
        <f t="shared" si="21"/>
        <v>3.0696717245451734E-2</v>
      </c>
      <c r="AK46" s="22">
        <f t="shared" si="21"/>
        <v>3.4282687110948937E-2</v>
      </c>
      <c r="AL46" s="22">
        <f t="shared" si="21"/>
        <v>3.8115246609638068E-2</v>
      </c>
      <c r="AM46" s="22">
        <f t="shared" si="21"/>
        <v>4.2200469514320348E-2</v>
      </c>
      <c r="AN46" s="22">
        <f t="shared" si="21"/>
        <v>4.654433216721017E-2</v>
      </c>
      <c r="AO46" s="22">
        <f t="shared" si="21"/>
        <v>5.1152718706271416E-2</v>
      </c>
      <c r="AP46" s="22">
        <f t="shared" si="21"/>
        <v>5.6031425829002557E-2</v>
      </c>
      <c r="AQ46" s="22">
        <f t="shared" si="21"/>
        <v>6.1186167149600471E-2</v>
      </c>
      <c r="AR46" s="22">
        <f t="shared" ref="AR46:BG81" si="25">IF($C46=2,IF(AR$2&lt;=$O$1,$D46*IF(AND(AR$2=0,$E46=0),1,AR$2^$E46)*EXP($F46*(1-IF(AND(AR$2=0,$G46=0),1,AR$2^$G46))),($H46-$I46)*(AR$2-$O$1)/(1-$O$1)+$I46),$D46*IF(AND(AR$2=0,$E46=0),1,AR$2^$E46)*EXP($F46*(1-IF(AND(AR$2=0,$G46=0),1,AR$2^$G46))))</f>
        <v>6.6622577196979768E-2</v>
      </c>
      <c r="AS46" s="22">
        <f t="shared" si="25"/>
        <v>7.2346215094188343E-2</v>
      </c>
      <c r="AT46" s="22">
        <f t="shared" si="25"/>
        <v>7.8362567954027643E-2</v>
      </c>
      <c r="AU46" s="22">
        <f t="shared" si="25"/>
        <v>8.4677054020918005E-2</v>
      </c>
      <c r="AV46" s="22">
        <f t="shared" si="25"/>
        <v>9.1295025585065401E-2</v>
      </c>
      <c r="AW46" s="22">
        <f t="shared" si="25"/>
        <v>9.822177169169706E-2</v>
      </c>
      <c r="AX46" s="22">
        <f t="shared" si="25"/>
        <v>0.10546252066600122</v>
      </c>
      <c r="AY46" s="22">
        <f t="shared" si="25"/>
        <v>0.113022442478666</v>
      </c>
      <c r="AZ46" s="22">
        <f t="shared" si="25"/>
        <v>0.12090665103399666</v>
      </c>
      <c r="BA46" s="22">
        <f t="shared" si="25"/>
        <v>0.12912020695546275</v>
      </c>
      <c r="BB46" s="22">
        <f t="shared" si="25"/>
        <v>0.13766812535892478</v>
      </c>
      <c r="BC46" s="22">
        <f t="shared" si="25"/>
        <v>0.14655542255076612</v>
      </c>
      <c r="BD46" s="22">
        <f t="shared" si="25"/>
        <v>0.15578744631404284</v>
      </c>
      <c r="BE46" s="22">
        <f t="shared" si="25"/>
        <v>0.1653721730483782</v>
      </c>
      <c r="BF46" s="22">
        <f t="shared" si="25"/>
        <v>0.17533554658385236</v>
      </c>
      <c r="BG46" s="22">
        <f t="shared" si="25"/>
        <v>0.18581974821945893</v>
      </c>
      <c r="BH46" s="22">
        <f t="shared" si="24"/>
        <v>0.19769081334586541</v>
      </c>
      <c r="BI46" s="22">
        <f t="shared" si="24"/>
        <v>0.21626567526491</v>
      </c>
      <c r="BJ46" s="22">
        <f t="shared" si="24"/>
        <v>0.21768955892533171</v>
      </c>
      <c r="BK46" s="22">
        <f t="shared" si="24"/>
        <v>0.21919809472555829</v>
      </c>
      <c r="BL46" s="22">
        <f t="shared" si="22"/>
        <v>0.22079968038214717</v>
      </c>
      <c r="BM46" s="22">
        <f t="shared" si="22"/>
        <v>0.22250361806102772</v>
      </c>
      <c r="BN46" s="22">
        <f t="shared" si="22"/>
        <v>0.22432022435273735</v>
      </c>
      <c r="BO46" s="22">
        <f t="shared" si="22"/>
        <v>0.22626095596673232</v>
      </c>
      <c r="BP46" s="22">
        <f t="shared" si="22"/>
        <v>0.22833855380167328</v>
      </c>
      <c r="BQ46" s="22">
        <f t="shared" si="22"/>
        <v>0.23056720856739701</v>
      </c>
      <c r="BR46" s="22">
        <f t="shared" si="22"/>
        <v>0.23296275176712794</v>
      </c>
      <c r="BS46" s="22">
        <f t="shared" si="22"/>
        <v>0.23554287662314297</v>
      </c>
      <c r="BT46" s="22">
        <f t="shared" si="22"/>
        <v>0.23832739448082058</v>
      </c>
      <c r="BU46" s="22">
        <f t="shared" si="22"/>
        <v>0.24133853339967218</v>
      </c>
      <c r="BV46" s="22">
        <f t="shared" si="22"/>
        <v>0.24460128709300993</v>
      </c>
      <c r="BW46" s="22">
        <f t="shared" si="22"/>
        <v>0.24814382418416209</v>
      </c>
      <c r="BX46" s="22">
        <f t="shared" si="20"/>
        <v>0.25199797000194973</v>
      </c>
      <c r="BY46" s="22">
        <f t="shared" si="20"/>
        <v>0.25619977596518928</v>
      </c>
      <c r="BZ46" s="22">
        <f t="shared" si="19"/>
        <v>0.26079019516666835</v>
      </c>
      <c r="CA46" s="22">
        <f t="shared" si="19"/>
        <v>0.26581588727293903</v>
      </c>
      <c r="CB46" s="22">
        <f t="shared" si="19"/>
        <v>0.27133018158633393</v>
      </c>
      <c r="CC46" s="22">
        <f t="shared" si="19"/>
        <v>0.27739423443966738</v>
      </c>
      <c r="CD46" s="22">
        <f t="shared" si="19"/>
        <v>0.28407842650530857</v>
      </c>
      <c r="CE46" s="22">
        <f t="shared" si="19"/>
        <v>0.29146405776036632</v>
      </c>
      <c r="CF46" s="22">
        <f t="shared" si="19"/>
        <v>0.29964541365185071</v>
      </c>
      <c r="CG46" s="22">
        <f t="shared" si="19"/>
        <v>0.30873229666368074</v>
      </c>
      <c r="CH46" s="22">
        <f t="shared" si="19"/>
        <v>0.31885314466177539</v>
      </c>
      <c r="CI46" s="22">
        <f t="shared" si="19"/>
        <v>0.3301588933718046</v>
      </c>
      <c r="CJ46" s="22">
        <f t="shared" si="19"/>
        <v>0.34282778830099708</v>
      </c>
      <c r="CK46" s="22">
        <f t="shared" si="19"/>
        <v>0.35707141578952628</v>
      </c>
      <c r="CL46" s="22">
        <f t="shared" si="19"/>
        <v>0.37314230992412589</v>
      </c>
      <c r="CM46" s="22">
        <f t="shared" si="19"/>
        <v>0.39134361065565426</v>
      </c>
      <c r="CN46" s="22">
        <f t="shared" si="19"/>
        <v>0.41204141137226274</v>
      </c>
      <c r="CO46" s="22">
        <f t="shared" si="18"/>
        <v>0.43568065981053267</v>
      </c>
      <c r="CP46" s="22">
        <f t="shared" si="18"/>
        <v>0.46280579142144623</v>
      </c>
      <c r="CQ46" s="22">
        <f t="shared" si="18"/>
        <v>0.49408771876344543</v>
      </c>
      <c r="CR46" s="22">
        <f t="shared" si="18"/>
        <v>0.53035943314901779</v>
      </c>
      <c r="CS46" s="22">
        <f t="shared" si="18"/>
        <v>0.57266338435957742</v>
      </c>
      <c r="CT46" s="22">
        <f t="shared" si="18"/>
        <v>0.62231512576057468</v>
      </c>
      <c r="CU46" s="22">
        <f t="shared" si="18"/>
        <v>0.68098965336039019</v>
      </c>
      <c r="CV46" s="22">
        <f t="shared" si="18"/>
        <v>0.75083975193592201</v>
      </c>
      <c r="CW46" s="22">
        <f t="shared" si="18"/>
        <v>0.8346600000000407</v>
      </c>
    </row>
    <row r="47" spans="1:101">
      <c r="A47" s="22">
        <v>45</v>
      </c>
      <c r="B47" s="32" t="str">
        <f>データファイル用!$B48</f>
        <v>ASHRAE OSB -3</v>
      </c>
      <c r="C47" s="32">
        <f>データファイル用!K48</f>
        <v>1</v>
      </c>
      <c r="D47" s="32">
        <f>データファイル用!L48</f>
        <v>0.93976999999999999</v>
      </c>
      <c r="E47" s="32">
        <f>データファイル用!M48</f>
        <v>2.3475999999999999</v>
      </c>
      <c r="F47" s="32">
        <f>データファイル用!N48</f>
        <v>-1.3902000000000001</v>
      </c>
      <c r="G47" s="32">
        <f>データファイル用!O48</f>
        <v>94.971000000000004</v>
      </c>
      <c r="H47" s="32">
        <f>データファイル用!P48</f>
        <v>0</v>
      </c>
      <c r="I47" s="35">
        <f>データファイル用!Q48</f>
        <v>0</v>
      </c>
      <c r="J47" s="32">
        <f t="shared" si="2"/>
        <v>0.27371605418147277</v>
      </c>
      <c r="K47" s="32">
        <f t="shared" si="3"/>
        <v>0</v>
      </c>
      <c r="L47" s="53" t="str">
        <f t="shared" si="4"/>
        <v>N/A</v>
      </c>
      <c r="M47" s="22">
        <f t="shared" si="23"/>
        <v>0</v>
      </c>
      <c r="N47" s="22">
        <f t="shared" si="23"/>
        <v>2.403053313944433E-5</v>
      </c>
      <c r="O47" s="22">
        <f t="shared" si="23"/>
        <v>1.2230984729557357E-4</v>
      </c>
      <c r="P47" s="22">
        <f t="shared" si="23"/>
        <v>3.1684967333431134E-4</v>
      </c>
      <c r="Q47" s="22">
        <f t="shared" si="23"/>
        <v>6.2252879112828594E-4</v>
      </c>
      <c r="R47" s="22">
        <f t="shared" si="23"/>
        <v>1.051151678931678E-3</v>
      </c>
      <c r="S47" s="22">
        <f t="shared" si="23"/>
        <v>1.6126914428527775E-3</v>
      </c>
      <c r="T47" s="22">
        <f t="shared" si="23"/>
        <v>2.3158774014821956E-3</v>
      </c>
      <c r="U47" s="22">
        <f t="shared" si="23"/>
        <v>3.1685273455301813E-3</v>
      </c>
      <c r="V47" s="22">
        <f t="shared" si="23"/>
        <v>4.17775647795641E-3</v>
      </c>
      <c r="W47" s="22">
        <f t="shared" si="23"/>
        <v>5.3501185591087524E-3</v>
      </c>
      <c r="X47" s="22">
        <f t="shared" si="23"/>
        <v>6.6917063362380369E-3</v>
      </c>
      <c r="Y47" s="22">
        <f t="shared" si="23"/>
        <v>8.2082258835295321E-3</v>
      </c>
      <c r="Z47" s="22">
        <f t="shared" si="23"/>
        <v>9.9050533718180508E-3</v>
      </c>
      <c r="AA47" s="22">
        <f t="shared" si="23"/>
        <v>1.1787279528376975E-2</v>
      </c>
      <c r="AB47" s="22">
        <f t="shared" si="23"/>
        <v>1.3859745190073462E-2</v>
      </c>
      <c r="AC47" s="22">
        <f t="shared" si="21"/>
        <v>1.6127070237469003E-2</v>
      </c>
      <c r="AD47" s="22">
        <f t="shared" si="21"/>
        <v>1.8593677497366436E-2</v>
      </c>
      <c r="AE47" s="22">
        <f t="shared" si="21"/>
        <v>2.1263812745719105E-2</v>
      </c>
      <c r="AF47" s="22">
        <f t="shared" si="21"/>
        <v>2.4141561636992021E-2</v>
      </c>
      <c r="AG47" s="22">
        <f t="shared" si="21"/>
        <v>2.7230864175198089E-2</v>
      </c>
      <c r="AH47" s="22">
        <f t="shared" si="21"/>
        <v>3.0535527193006545E-2</v>
      </c>
      <c r="AI47" s="22">
        <f t="shared" si="21"/>
        <v>3.405923519810107E-2</v>
      </c>
      <c r="AJ47" s="22">
        <f t="shared" si="21"/>
        <v>3.780555986729995E-2</v>
      </c>
      <c r="AK47" s="22">
        <f t="shared" si="21"/>
        <v>4.1777968410287476E-2</v>
      </c>
      <c r="AL47" s="22">
        <f t="shared" si="21"/>
        <v>4.5979830980413798E-2</v>
      </c>
      <c r="AM47" s="22">
        <f t="shared" si="21"/>
        <v>5.0414427275981194E-2</v>
      </c>
      <c r="AN47" s="22">
        <f t="shared" si="21"/>
        <v>5.5084952449015907E-2</v>
      </c>
      <c r="AO47" s="22">
        <f t="shared" si="21"/>
        <v>5.9994522417797902E-2</v>
      </c>
      <c r="AP47" s="22">
        <f t="shared" si="21"/>
        <v>6.5146178662990273E-2</v>
      </c>
      <c r="AQ47" s="22">
        <f t="shared" si="21"/>
        <v>7.0542892574069788E-2</v>
      </c>
      <c r="AR47" s="22">
        <f t="shared" si="25"/>
        <v>7.6187569402156027E-2</v>
      </c>
      <c r="AS47" s="22">
        <f t="shared" si="25"/>
        <v>8.2083051866715037E-2</v>
      </c>
      <c r="AT47" s="22">
        <f t="shared" si="25"/>
        <v>8.8232123456549877E-2</v>
      </c>
      <c r="AU47" s="22">
        <f t="shared" si="25"/>
        <v>9.4637511459665341E-2</v>
      </c>
      <c r="AV47" s="22">
        <f t="shared" si="25"/>
        <v>0.10130188975175761</v>
      </c>
      <c r="AW47" s="22">
        <f t="shared" si="25"/>
        <v>0.10822788136904456</v>
      </c>
      <c r="AX47" s="22">
        <f t="shared" si="25"/>
        <v>0.11541806088779602</v>
      </c>
      <c r="AY47" s="22">
        <f t="shared" si="25"/>
        <v>0.12287495663049317</v>
      </c>
      <c r="AZ47" s="22">
        <f t="shared" si="25"/>
        <v>0.13060105272132105</v>
      </c>
      <c r="BA47" s="22">
        <f t="shared" si="25"/>
        <v>0.13859879106989592</v>
      </c>
      <c r="BB47" s="22">
        <f t="shared" si="25"/>
        <v>0.14687057397434708</v>
      </c>
      <c r="BC47" s="22">
        <f t="shared" si="25"/>
        <v>0.15541877413392458</v>
      </c>
      <c r="BD47" s="22">
        <f t="shared" si="25"/>
        <v>0.16424581617967729</v>
      </c>
      <c r="BE47" s="22">
        <f t="shared" si="25"/>
        <v>0.17335490444097593</v>
      </c>
      <c r="BF47" s="22">
        <f t="shared" si="25"/>
        <v>0.18275629485380646</v>
      </c>
      <c r="BG47" s="22">
        <f t="shared" si="25"/>
        <v>0.19251889220864532</v>
      </c>
      <c r="BH47" s="22">
        <f t="shared" si="24"/>
        <v>0.2031766729277997</v>
      </c>
      <c r="BI47" s="22">
        <f t="shared" si="24"/>
        <v>0.21885276551569419</v>
      </c>
      <c r="BJ47" s="22">
        <f t="shared" si="24"/>
        <v>0.22004592998725225</v>
      </c>
      <c r="BK47" s="22">
        <f t="shared" si="24"/>
        <v>0.22131306912241111</v>
      </c>
      <c r="BL47" s="22">
        <f t="shared" si="22"/>
        <v>0.22266233490595352</v>
      </c>
      <c r="BM47" s="22">
        <f t="shared" si="22"/>
        <v>0.22410283560163075</v>
      </c>
      <c r="BN47" s="22">
        <f t="shared" si="22"/>
        <v>0.22564475956179406</v>
      </c>
      <c r="BO47" s="22">
        <f t="shared" si="22"/>
        <v>0.22729951760236944</v>
      </c>
      <c r="BP47" s="22">
        <f t="shared" si="22"/>
        <v>0.22907990724062657</v>
      </c>
      <c r="BQ47" s="22">
        <f t="shared" si="22"/>
        <v>0.23100030277711109</v>
      </c>
      <c r="BR47" s="22">
        <f t="shared" si="22"/>
        <v>0.23307687604798916</v>
      </c>
      <c r="BS47" s="22">
        <f t="shared" si="22"/>
        <v>0.23532785372202705</v>
      </c>
      <c r="BT47" s="22">
        <f t="shared" si="22"/>
        <v>0.23777381832176028</v>
      </c>
      <c r="BU47" s="22">
        <f t="shared" si="22"/>
        <v>0.24043806178138261</v>
      </c>
      <c r="BV47" s="22">
        <f t="shared" si="22"/>
        <v>0.24334700240594392</v>
      </c>
      <c r="BW47" s="22">
        <f t="shared" si="22"/>
        <v>0.24653067868723541</v>
      </c>
      <c r="BX47" s="22">
        <f t="shared" si="20"/>
        <v>0.25002333671864047</v>
      </c>
      <c r="BY47" s="22">
        <f t="shared" si="20"/>
        <v>0.25386413214246079</v>
      </c>
      <c r="BZ47" s="22">
        <f t="shared" si="19"/>
        <v>0.25809797293590553</v>
      </c>
      <c r="CA47" s="22">
        <f t="shared" si="19"/>
        <v>0.26277653626715797</v>
      </c>
      <c r="CB47" s="22">
        <f t="shared" si="19"/>
        <v>0.26795950163085036</v>
      </c>
      <c r="CC47" s="22">
        <f t="shared" si="19"/>
        <v>0.2737160541814761</v>
      </c>
      <c r="CD47" s="22">
        <f t="shared" si="19"/>
        <v>0.28012672755084245</v>
      </c>
      <c r="CE47" s="22">
        <f t="shared" ref="CE47:CT81" si="26">IF($C47=2,IF(CE$2&lt;=$O$1,$D47*IF(AND(CE$2=0,$E47=0),1,CE$2^$E47)*EXP($F47*(1-IF(AND(CE$2=0,$G47=0),1,CE$2^$G47))),($H47-$I47)*(CE$2-$O$1)/(1-$O$1)+$I47),$D47*IF(AND(CE$2=0,$E47=0),1,CE$2^$E47)*EXP($F47*(1-IF(AND(CE$2=0,$G47=0),1,CE$2^$G47))))</f>
        <v>0.28728567573741065</v>
      </c>
      <c r="CF47" s="22">
        <f t="shared" si="26"/>
        <v>0.29530349066016637</v>
      </c>
      <c r="CG47" s="22">
        <f t="shared" si="26"/>
        <v>0.30431071814933114</v>
      </c>
      <c r="CH47" s="22">
        <f t="shared" si="26"/>
        <v>0.31446227398315379</v>
      </c>
      <c r="CI47" s="22">
        <f t="shared" si="26"/>
        <v>0.32594302802227376</v>
      </c>
      <c r="CJ47" s="22">
        <f t="shared" si="26"/>
        <v>0.33897491563406384</v>
      </c>
      <c r="CK47" s="22">
        <f t="shared" si="26"/>
        <v>0.35382606170247</v>
      </c>
      <c r="CL47" s="22">
        <f t="shared" si="26"/>
        <v>0.37082257857956935</v>
      </c>
      <c r="CM47" s="22">
        <f t="shared" si="26"/>
        <v>0.39036394748575803</v>
      </c>
      <c r="CN47" s="22">
        <f t="shared" si="26"/>
        <v>0.41294324612159444</v>
      </c>
      <c r="CO47" s="22">
        <f t="shared" si="26"/>
        <v>0.43917399341777863</v>
      </c>
      <c r="CP47" s="22">
        <f t="shared" si="26"/>
        <v>0.46982612142726138</v>
      </c>
      <c r="CQ47" s="22">
        <f t="shared" si="26"/>
        <v>0.50587467178760548</v>
      </c>
      <c r="CR47" s="22">
        <f t="shared" si="26"/>
        <v>0.54856643374414515</v>
      </c>
      <c r="CS47" s="22">
        <f t="shared" si="26"/>
        <v>0.59951218400251483</v>
      </c>
      <c r="CT47" s="22">
        <f t="shared" si="26"/>
        <v>0.66081592489872087</v>
      </c>
      <c r="CU47" s="22">
        <f t="shared" si="18"/>
        <v>0.73525831309092615</v>
      </c>
      <c r="CV47" s="22">
        <f t="shared" si="18"/>
        <v>0.82656059850231389</v>
      </c>
      <c r="CW47" s="22">
        <f t="shared" si="18"/>
        <v>0.93977000000005606</v>
      </c>
    </row>
    <row r="48" spans="1:101">
      <c r="A48" s="22">
        <v>46</v>
      </c>
      <c r="B48" s="32" t="str">
        <f>データファイル用!$B49</f>
        <v>ASHRAE Plywood -1</v>
      </c>
      <c r="C48" s="32">
        <f>データファイル用!K49</f>
        <v>1</v>
      </c>
      <c r="D48" s="32">
        <f>データファイル用!L49</f>
        <v>1.0625</v>
      </c>
      <c r="E48" s="32">
        <f>データファイル用!M49</f>
        <v>1.5373000000000001</v>
      </c>
      <c r="F48" s="32">
        <f>データファイル用!N49</f>
        <v>-1.6471</v>
      </c>
      <c r="G48" s="32">
        <f>データファイル用!O49</f>
        <v>32.051000000000002</v>
      </c>
      <c r="H48" s="32">
        <f>データファイル用!P49</f>
        <v>0</v>
      </c>
      <c r="I48" s="35">
        <f>データファイル用!Q49</f>
        <v>0</v>
      </c>
      <c r="J48" s="32">
        <f t="shared" si="2"/>
        <v>0.46975984257578096</v>
      </c>
      <c r="K48" s="32">
        <f t="shared" si="3"/>
        <v>0</v>
      </c>
      <c r="L48" s="53" t="str">
        <f t="shared" si="4"/>
        <v>N/A</v>
      </c>
      <c r="M48" s="22">
        <f t="shared" si="23"/>
        <v>0</v>
      </c>
      <c r="N48" s="22">
        <f t="shared" si="23"/>
        <v>5.0023711376208141E-4</v>
      </c>
      <c r="O48" s="22">
        <f t="shared" si="23"/>
        <v>1.4519421808066931E-3</v>
      </c>
      <c r="P48" s="22">
        <f t="shared" si="23"/>
        <v>2.7080358836027462E-3</v>
      </c>
      <c r="Q48" s="22">
        <f t="shared" si="23"/>
        <v>4.2142736682435544E-3</v>
      </c>
      <c r="R48" s="22">
        <f t="shared" si="23"/>
        <v>5.938851932509797E-3</v>
      </c>
      <c r="S48" s="22">
        <f t="shared" si="23"/>
        <v>7.8600955794155929E-3</v>
      </c>
      <c r="T48" s="22">
        <f t="shared" si="23"/>
        <v>9.9619676439300572E-3</v>
      </c>
      <c r="U48" s="22">
        <f t="shared" si="23"/>
        <v>1.2231962667400122E-2</v>
      </c>
      <c r="V48" s="22">
        <f t="shared" si="23"/>
        <v>1.4659964535074428E-2</v>
      </c>
      <c r="W48" s="22">
        <f t="shared" si="23"/>
        <v>1.7237564725110441E-2</v>
      </c>
      <c r="X48" s="22">
        <f t="shared" si="23"/>
        <v>1.9957626229371427E-2</v>
      </c>
      <c r="Y48" s="22">
        <f t="shared" si="23"/>
        <v>2.2813989612041456E-2</v>
      </c>
      <c r="Z48" s="22">
        <f t="shared" si="23"/>
        <v>2.5801266549266927E-2</v>
      </c>
      <c r="AA48" s="22">
        <f t="shared" si="23"/>
        <v>2.8914689910298941E-2</v>
      </c>
      <c r="AB48" s="22">
        <f t="shared" si="23"/>
        <v>3.2150001865493577E-2</v>
      </c>
      <c r="AC48" s="22">
        <f t="shared" si="21"/>
        <v>3.550336842719333E-2</v>
      </c>
      <c r="AD48" s="22">
        <f t="shared" si="21"/>
        <v>3.8971312883258745E-2</v>
      </c>
      <c r="AE48" s="22">
        <f t="shared" si="21"/>
        <v>4.2550663059615669E-2</v>
      </c>
      <c r="AF48" s="22">
        <f t="shared" si="21"/>
        <v>4.6238508916398448E-2</v>
      </c>
      <c r="AG48" s="22">
        <f t="shared" si="21"/>
        <v>5.0032168006399126E-2</v>
      </c>
      <c r="AH48" s="22">
        <f t="shared" si="21"/>
        <v>5.3929157011569175E-2</v>
      </c>
      <c r="AI48" s="22">
        <f t="shared" si="21"/>
        <v>5.7927168045269518E-2</v>
      </c>
      <c r="AJ48" s="22">
        <f t="shared" si="21"/>
        <v>6.2024048739140747E-2</v>
      </c>
      <c r="AK48" s="22">
        <f t="shared" si="21"/>
        <v>6.6217785370633289E-2</v>
      </c>
      <c r="AL48" s="22">
        <f t="shared" si="21"/>
        <v>7.0506488461202471E-2</v>
      </c>
      <c r="AM48" s="22">
        <f t="shared" si="21"/>
        <v>7.4888380408495936E-2</v>
      </c>
      <c r="AN48" s="22">
        <f t="shared" si="21"/>
        <v>7.9361784830246918E-2</v>
      </c>
      <c r="AO48" s="22">
        <f t="shared" si="21"/>
        <v>8.3925117425642348E-2</v>
      </c>
      <c r="AP48" s="22">
        <f t="shared" si="21"/>
        <v>8.8576878370417791E-2</v>
      </c>
      <c r="AQ48" s="22">
        <f t="shared" si="21"/>
        <v>9.3315646718501802E-2</v>
      </c>
      <c r="AR48" s="22">
        <f t="shared" si="25"/>
        <v>9.8140078380610229E-2</v>
      </c>
      <c r="AS48" s="22">
        <f t="shared" si="25"/>
        <v>0.10304891192412345</v>
      </c>
      <c r="AT48" s="22">
        <f t="shared" si="25"/>
        <v>0.10804099284687538</v>
      </c>
      <c r="AU48" s="22">
        <f t="shared" si="25"/>
        <v>0.11311534196673984</v>
      </c>
      <c r="AV48" s="22">
        <f t="shared" si="25"/>
        <v>0.11827132774618025</v>
      </c>
      <c r="AW48" s="22">
        <f t="shared" si="25"/>
        <v>0.12350907839424211</v>
      </c>
      <c r="AX48" s="22">
        <f t="shared" si="25"/>
        <v>0.12883043478980868</v>
      </c>
      <c r="AY48" s="22">
        <f t="shared" si="25"/>
        <v>0.13424109659165334</v>
      </c>
      <c r="AZ48" s="22">
        <f t="shared" si="25"/>
        <v>0.13975534681885476</v>
      </c>
      <c r="BA48" s="22">
        <f t="shared" si="25"/>
        <v>0.14540624572846597</v>
      </c>
      <c r="BB48" s="22">
        <f t="shared" si="25"/>
        <v>0.15126725052208842</v>
      </c>
      <c r="BC48" s="22">
        <f t="shared" si="25"/>
        <v>0.15749748409050687</v>
      </c>
      <c r="BD48" s="22">
        <f t="shared" si="25"/>
        <v>0.16443603310724578</v>
      </c>
      <c r="BE48" s="22">
        <f t="shared" si="25"/>
        <v>0.17280009323046211</v>
      </c>
      <c r="BF48" s="22">
        <f t="shared" si="25"/>
        <v>0.18411532046746554</v>
      </c>
      <c r="BG48" s="22">
        <f t="shared" si="25"/>
        <v>0.20172028066520301</v>
      </c>
      <c r="BH48" s="22">
        <f t="shared" si="24"/>
        <v>0.2334232311165835</v>
      </c>
      <c r="BI48" s="22">
        <f t="shared" si="24"/>
        <v>0.29996411488028546</v>
      </c>
      <c r="BJ48" s="22">
        <f t="shared" si="24"/>
        <v>0.30501710200631582</v>
      </c>
      <c r="BK48" s="22">
        <f t="shared" si="24"/>
        <v>0.31030857045720767</v>
      </c>
      <c r="BL48" s="22">
        <f t="shared" si="22"/>
        <v>0.31585291061590431</v>
      </c>
      <c r="BM48" s="22">
        <f t="shared" si="22"/>
        <v>0.32166557058578432</v>
      </c>
      <c r="BN48" s="22">
        <f t="shared" si="22"/>
        <v>0.32776314856761296</v>
      </c>
      <c r="BO48" s="22">
        <f t="shared" si="22"/>
        <v>0.33416349453429323</v>
      </c>
      <c r="BP48" s="22">
        <f t="shared" si="22"/>
        <v>0.34088582225850272</v>
      </c>
      <c r="BQ48" s="22">
        <f t="shared" si="22"/>
        <v>0.34795083288134743</v>
      </c>
      <c r="BR48" s="22">
        <f t="shared" si="22"/>
        <v>0.35538085136161196</v>
      </c>
      <c r="BS48" s="22">
        <f t="shared" si="22"/>
        <v>0.36319997731788189</v>
      </c>
      <c r="BT48" s="22">
        <f t="shared" si="22"/>
        <v>0.3714342519729289</v>
      </c>
      <c r="BU48" s="22">
        <f t="shared" si="22"/>
        <v>0.38011184313512664</v>
      </c>
      <c r="BV48" s="22">
        <f t="shared" si="22"/>
        <v>0.3892632504096335</v>
      </c>
      <c r="BW48" s="22">
        <f t="shared" si="22"/>
        <v>0.39892153312783679</v>
      </c>
      <c r="BX48" s="22">
        <f t="shared" si="20"/>
        <v>0.40912256382308376</v>
      </c>
      <c r="BY48" s="22">
        <f t="shared" si="20"/>
        <v>0.41990531047109975</v>
      </c>
      <c r="BZ48" s="22">
        <f t="shared" si="20"/>
        <v>0.43131215116298544</v>
      </c>
      <c r="CA48" s="22">
        <f t="shared" si="20"/>
        <v>0.44338922539704523</v>
      </c>
      <c r="CB48" s="22">
        <f t="shared" si="20"/>
        <v>0.45618682677438471</v>
      </c>
      <c r="CC48" s="22">
        <f t="shared" si="20"/>
        <v>0.46975984257578868</v>
      </c>
      <c r="CD48" s="22">
        <f t="shared" si="20"/>
        <v>0.48416824649983148</v>
      </c>
      <c r="CE48" s="22">
        <f t="shared" si="20"/>
        <v>0.49947765177345288</v>
      </c>
      <c r="CF48" s="22">
        <f t="shared" si="20"/>
        <v>0.51575993292881139</v>
      </c>
      <c r="CG48" s="22">
        <f t="shared" si="20"/>
        <v>0.53309392580084392</v>
      </c>
      <c r="CH48" s="22">
        <f t="shared" si="20"/>
        <v>0.55156621677038198</v>
      </c>
      <c r="CI48" s="22">
        <f t="shared" si="20"/>
        <v>0.57127203399588355</v>
      </c>
      <c r="CJ48" s="22">
        <f t="shared" si="20"/>
        <v>0.59231625538811883</v>
      </c>
      <c r="CK48" s="22">
        <f t="shared" si="20"/>
        <v>0.6148145504408421</v>
      </c>
      <c r="CL48" s="22">
        <f t="shared" si="20"/>
        <v>0.63889467580166193</v>
      </c>
      <c r="CM48" s="22">
        <f t="shared" si="26"/>
        <v>0.66469794772933932</v>
      </c>
      <c r="CN48" s="22">
        <f t="shared" si="26"/>
        <v>0.69238091843089333</v>
      </c>
      <c r="CO48" s="22">
        <f t="shared" si="26"/>
        <v>0.72211728781807027</v>
      </c>
      <c r="CP48" s="22">
        <f t="shared" si="26"/>
        <v>0.75410008760566349</v>
      </c>
      <c r="CQ48" s="22">
        <f t="shared" si="26"/>
        <v>0.78854418106092017</v>
      </c>
      <c r="CR48" s="22">
        <f t="shared" si="26"/>
        <v>0.82568912930672456</v>
      </c>
      <c r="CS48" s="22">
        <f t="shared" si="26"/>
        <v>0.86580248412858152</v>
      </c>
      <c r="CT48" s="22">
        <f t="shared" si="26"/>
        <v>0.90918357803829464</v>
      </c>
      <c r="CU48" s="22">
        <f t="shared" si="18"/>
        <v>0.95616789527468482</v>
      </c>
      <c r="CV48" s="22">
        <f t="shared" si="18"/>
        <v>1.0071321229263839</v>
      </c>
      <c r="CW48" s="22">
        <f t="shared" si="18"/>
        <v>1.0625000000000255</v>
      </c>
    </row>
    <row r="49" spans="1:101">
      <c r="A49" s="22">
        <v>47</v>
      </c>
      <c r="B49" s="32" t="str">
        <f>データファイル用!$B50</f>
        <v>ASHRAE Plywood -2</v>
      </c>
      <c r="C49" s="32">
        <f>データファイル用!K50</f>
        <v>1</v>
      </c>
      <c r="D49" s="32">
        <f>データファイル用!L50</f>
        <v>1.2447999999999999</v>
      </c>
      <c r="E49" s="32">
        <f>データファイル用!M50</f>
        <v>1.7253000000000001</v>
      </c>
      <c r="F49" s="32">
        <f>データファイル用!N50</f>
        <v>-1.7438</v>
      </c>
      <c r="G49" s="32">
        <f>データファイル用!O50</f>
        <v>40.296999999999997</v>
      </c>
      <c r="H49" s="32">
        <f>データファイル用!P50</f>
        <v>0</v>
      </c>
      <c r="I49" s="35">
        <f>データファイル用!Q50</f>
        <v>0</v>
      </c>
      <c r="J49" s="32">
        <f t="shared" si="2"/>
        <v>0.4551546798702048</v>
      </c>
      <c r="K49" s="32">
        <f t="shared" si="3"/>
        <v>0</v>
      </c>
      <c r="L49" s="53" t="str">
        <f t="shared" si="4"/>
        <v>N/A</v>
      </c>
      <c r="M49" s="22">
        <f t="shared" si="23"/>
        <v>0</v>
      </c>
      <c r="N49" s="22">
        <f t="shared" si="23"/>
        <v>2.550021919849988E-4</v>
      </c>
      <c r="O49" s="22">
        <f t="shared" si="23"/>
        <v>8.4316188314048938E-4</v>
      </c>
      <c r="P49" s="22">
        <f t="shared" si="23"/>
        <v>1.6971538528293263E-3</v>
      </c>
      <c r="Q49" s="22">
        <f t="shared" si="23"/>
        <v>2.7879052946448305E-3</v>
      </c>
      <c r="R49" s="22">
        <f t="shared" si="23"/>
        <v>4.0971028110669524E-3</v>
      </c>
      <c r="S49" s="22">
        <f t="shared" si="23"/>
        <v>5.6116201487981451E-3</v>
      </c>
      <c r="T49" s="22">
        <f t="shared" si="23"/>
        <v>7.3213566267456036E-3</v>
      </c>
      <c r="U49" s="22">
        <f t="shared" si="23"/>
        <v>9.2181775378164608E-3</v>
      </c>
      <c r="V49" s="22">
        <f t="shared" si="23"/>
        <v>1.1295319376481561E-2</v>
      </c>
      <c r="W49" s="22">
        <f t="shared" si="23"/>
        <v>1.3547024418529797E-2</v>
      </c>
      <c r="X49" s="22">
        <f t="shared" si="23"/>
        <v>1.596830110740485E-2</v>
      </c>
      <c r="Y49" s="22">
        <f t="shared" si="23"/>
        <v>1.8554758981868275E-2</v>
      </c>
      <c r="Z49" s="22">
        <f t="shared" si="23"/>
        <v>2.1302490453656613E-2</v>
      </c>
      <c r="AA49" s="22">
        <f t="shared" si="23"/>
        <v>2.4207983439268124E-2</v>
      </c>
      <c r="AB49" s="22">
        <f t="shared" si="23"/>
        <v>2.72680550983232E-2</v>
      </c>
      <c r="AC49" s="22">
        <f t="shared" si="21"/>
        <v>3.0479800473110923E-2</v>
      </c>
      <c r="AD49" s="22">
        <f t="shared" si="21"/>
        <v>3.3840551932231476E-2</v>
      </c>
      <c r="AE49" s="22">
        <f t="shared" si="21"/>
        <v>3.7347846628344734E-2</v>
      </c>
      <c r="AF49" s="22">
        <f t="shared" si="21"/>
        <v>4.0999400019020457E-2</v>
      </c>
      <c r="AG49" s="22">
        <f t="shared" si="21"/>
        <v>4.479308405454701E-2</v>
      </c>
      <c r="AH49" s="22">
        <f t="shared" si="21"/>
        <v>4.872690901319706E-2</v>
      </c>
      <c r="AI49" s="22">
        <f t="shared" si="21"/>
        <v>5.2799008226039078E-2</v>
      </c>
      <c r="AJ49" s="22">
        <f t="shared" si="21"/>
        <v>5.7007625118795112E-2</v>
      </c>
      <c r="AK49" s="22">
        <f t="shared" si="21"/>
        <v>6.135110213207192E-2</v>
      </c>
      <c r="AL49" s="22">
        <f t="shared" si="21"/>
        <v>6.5827871179483383E-2</v>
      </c>
      <c r="AM49" s="22">
        <f t="shared" si="21"/>
        <v>7.0436445376346676E-2</v>
      </c>
      <c r="AN49" s="22">
        <f t="shared" si="21"/>
        <v>7.5175411827092017E-2</v>
      </c>
      <c r="AO49" s="22">
        <f t="shared" si="21"/>
        <v>8.0043425302883525E-2</v>
      </c>
      <c r="AP49" s="22">
        <f t="shared" si="21"/>
        <v>8.5039202678208706E-2</v>
      </c>
      <c r="AQ49" s="22">
        <f t="shared" si="21"/>
        <v>9.0161518037784688E-2</v>
      </c>
      <c r="AR49" s="22">
        <f t="shared" si="25"/>
        <v>9.5409198444977611E-2</v>
      </c>
      <c r="AS49" s="22">
        <f t="shared" si="25"/>
        <v>0.10078112057828409</v>
      </c>
      <c r="AT49" s="22">
        <f t="shared" si="25"/>
        <v>0.10627620909376068</v>
      </c>
      <c r="AU49" s="22">
        <f t="shared" si="25"/>
        <v>0.11189343955068105</v>
      </c>
      <c r="AV49" s="22">
        <f t="shared" si="25"/>
        <v>0.11763185460709814</v>
      </c>
      <c r="AW49" s="22">
        <f t="shared" si="25"/>
        <v>0.12349061907440774</v>
      </c>
      <c r="AX49" s="22">
        <f t="shared" si="25"/>
        <v>0.12946918651973988</v>
      </c>
      <c r="AY49" s="22">
        <f t="shared" si="25"/>
        <v>0.1355677777199257</v>
      </c>
      <c r="AZ49" s="22">
        <f t="shared" si="25"/>
        <v>0.14178870761573295</v>
      </c>
      <c r="BA49" s="22">
        <f t="shared" si="25"/>
        <v>0.14813996131930468</v>
      </c>
      <c r="BB49" s="22">
        <f t="shared" si="25"/>
        <v>0.1546445873806572</v>
      </c>
      <c r="BC49" s="22">
        <f t="shared" si="25"/>
        <v>0.16136481122662683</v>
      </c>
      <c r="BD49" s="22">
        <f t="shared" si="25"/>
        <v>0.16846275589764417</v>
      </c>
      <c r="BE49" s="22">
        <f t="shared" si="25"/>
        <v>0.1763514867467475</v>
      </c>
      <c r="BF49" s="22">
        <f t="shared" si="25"/>
        <v>0.18607177715763334</v>
      </c>
      <c r="BG49" s="22">
        <f t="shared" si="25"/>
        <v>0.20026499608766365</v>
      </c>
      <c r="BH49" s="22">
        <f t="shared" si="24"/>
        <v>0.22593902798205437</v>
      </c>
      <c r="BI49" s="22">
        <f t="shared" si="24"/>
        <v>0.28402832133506867</v>
      </c>
      <c r="BJ49" s="22">
        <f t="shared" si="24"/>
        <v>0.28867205795403822</v>
      </c>
      <c r="BK49" s="22">
        <f t="shared" si="24"/>
        <v>0.29356782211451327</v>
      </c>
      <c r="BL49" s="22">
        <f t="shared" si="22"/>
        <v>0.29873312285984305</v>
      </c>
      <c r="BM49" s="22">
        <f t="shared" si="22"/>
        <v>0.30418694831068455</v>
      </c>
      <c r="BN49" s="22">
        <f t="shared" si="22"/>
        <v>0.3099499153090769</v>
      </c>
      <c r="BO49" s="22">
        <f t="shared" si="22"/>
        <v>0.31604443665732412</v>
      </c>
      <c r="BP49" s="22">
        <f t="shared" si="22"/>
        <v>0.32249490829832606</v>
      </c>
      <c r="BQ49" s="22">
        <f t="shared" si="22"/>
        <v>0.3293279191334656</v>
      </c>
      <c r="BR49" s="22">
        <f t="shared" si="22"/>
        <v>0.33657248658109606</v>
      </c>
      <c r="BS49" s="22">
        <f t="shared" si="22"/>
        <v>0.34426032145341168</v>
      </c>
      <c r="BT49" s="22">
        <f t="shared" si="22"/>
        <v>0.35242612628438563</v>
      </c>
      <c r="BU49" s="22">
        <f t="shared" si="22"/>
        <v>0.36110793189133428</v>
      </c>
      <c r="BV49" s="22">
        <f t="shared" si="22"/>
        <v>0.3703474777152887</v>
      </c>
      <c r="BW49" s="22">
        <f t="shared" si="22"/>
        <v>0.38019064238210698</v>
      </c>
      <c r="BX49" s="22">
        <f t="shared" si="20"/>
        <v>0.3906879319829491</v>
      </c>
      <c r="BY49" s="22">
        <f t="shared" si="20"/>
        <v>0.40189503482053024</v>
      </c>
      <c r="BZ49" s="22">
        <f t="shared" si="20"/>
        <v>0.41387345284423127</v>
      </c>
      <c r="CA49" s="22">
        <f t="shared" si="20"/>
        <v>0.42669122174857138</v>
      </c>
      <c r="CB49" s="22">
        <f t="shared" si="20"/>
        <v>0.44042373379155936</v>
      </c>
      <c r="CC49" s="22">
        <f t="shared" si="20"/>
        <v>0.45515467987021324</v>
      </c>
      <c r="CD49" s="22">
        <f t="shared" si="20"/>
        <v>0.47097713035347405</v>
      </c>
      <c r="CE49" s="22">
        <f t="shared" si="20"/>
        <v>0.487994777720135</v>
      </c>
      <c r="CF49" s="22">
        <f t="shared" si="20"/>
        <v>0.50632336830715208</v>
      </c>
      <c r="CG49" s="22">
        <f t="shared" si="20"/>
        <v>0.5260923555970054</v>
      </c>
      <c r="CH49" s="22">
        <f t="shared" si="20"/>
        <v>0.54744681365366321</v>
      </c>
      <c r="CI49" s="22">
        <f t="shared" si="20"/>
        <v>0.57054965679333836</v>
      </c>
      <c r="CJ49" s="22">
        <f t="shared" si="20"/>
        <v>0.59558422064488303</v>
      </c>
      <c r="CK49" s="22">
        <f t="shared" si="20"/>
        <v>0.62275727078505982</v>
      </c>
      <c r="CL49" s="22">
        <f t="shared" si="20"/>
        <v>0.65230251858868615</v>
      </c>
      <c r="CM49" s="22">
        <f t="shared" si="26"/>
        <v>0.68448474039365315</v>
      </c>
      <c r="CN49" s="22">
        <f t="shared" si="26"/>
        <v>0.7196046162775831</v>
      </c>
      <c r="CO49" s="22">
        <f t="shared" si="26"/>
        <v>0.75800442960076742</v>
      </c>
      <c r="CP49" s="22">
        <f t="shared" si="26"/>
        <v>0.80007479916080226</v>
      </c>
      <c r="CQ49" s="22">
        <f t="shared" si="26"/>
        <v>0.84626265381873911</v>
      </c>
      <c r="CR49" s="22">
        <f t="shared" si="26"/>
        <v>0.89708070669743489</v>
      </c>
      <c r="CS49" s="22">
        <f t="shared" si="26"/>
        <v>0.95311874495801074</v>
      </c>
      <c r="CT49" s="22">
        <f t="shared" si="26"/>
        <v>1.0150571248644653</v>
      </c>
      <c r="CU49" s="22">
        <f t="shared" si="18"/>
        <v>1.0836829543951978</v>
      </c>
      <c r="CV49" s="22">
        <f t="shared" si="18"/>
        <v>1.1599095622950362</v>
      </c>
      <c r="CW49" s="22">
        <f t="shared" si="18"/>
        <v>1.2448000000000399</v>
      </c>
    </row>
    <row r="50" spans="1:101">
      <c r="A50" s="22">
        <v>48</v>
      </c>
      <c r="B50" s="32" t="str">
        <f>データファイル用!$B51</f>
        <v>ASHRAE Plywood -3</v>
      </c>
      <c r="C50" s="32">
        <f>データファイル用!K51</f>
        <v>1</v>
      </c>
      <c r="D50" s="32">
        <f>データファイル用!L51</f>
        <v>1.0097</v>
      </c>
      <c r="E50" s="32">
        <f>データファイル用!M51</f>
        <v>1.9466000000000001</v>
      </c>
      <c r="F50" s="32">
        <f>データファイル用!N51</f>
        <v>-1.4266000000000001</v>
      </c>
      <c r="G50" s="32">
        <f>データファイル用!O51</f>
        <v>76.938000000000002</v>
      </c>
      <c r="H50" s="32">
        <f>データファイル用!P51</f>
        <v>0</v>
      </c>
      <c r="I50" s="35">
        <f>データファイル用!Q51</f>
        <v>0</v>
      </c>
      <c r="J50" s="32">
        <f t="shared" si="2"/>
        <v>0.31512167664149926</v>
      </c>
      <c r="K50" s="32">
        <f t="shared" si="3"/>
        <v>0</v>
      </c>
      <c r="L50" s="53" t="str">
        <f t="shared" si="4"/>
        <v>N/A</v>
      </c>
      <c r="M50" s="22">
        <f t="shared" si="23"/>
        <v>0</v>
      </c>
      <c r="N50" s="22">
        <f t="shared" si="23"/>
        <v>1.1951236425950272E-4</v>
      </c>
      <c r="O50" s="22">
        <f t="shared" si="23"/>
        <v>4.6067837633770602E-4</v>
      </c>
      <c r="P50" s="22">
        <f t="shared" si="23"/>
        <v>1.0143248662399008E-3</v>
      </c>
      <c r="Q50" s="22">
        <f t="shared" si="23"/>
        <v>1.7757540631054016E-3</v>
      </c>
      <c r="R50" s="22">
        <f t="shared" si="23"/>
        <v>2.7417499762287132E-3</v>
      </c>
      <c r="S50" s="22">
        <f t="shared" si="23"/>
        <v>3.9098676974018941E-3</v>
      </c>
      <c r="T50" s="22">
        <f t="shared" si="23"/>
        <v>5.2781372916109546E-3</v>
      </c>
      <c r="U50" s="22">
        <f t="shared" si="23"/>
        <v>6.8449110151499251E-3</v>
      </c>
      <c r="V50" s="22">
        <f t="shared" si="23"/>
        <v>8.6087740013124775E-3</v>
      </c>
      <c r="W50" s="22">
        <f t="shared" si="23"/>
        <v>1.05684874966613E-2</v>
      </c>
      <c r="X50" s="22">
        <f t="shared" si="23"/>
        <v>1.2722950539593825E-2</v>
      </c>
      <c r="Y50" s="22">
        <f t="shared" si="23"/>
        <v>1.5071172875664455E-2</v>
      </c>
      <c r="Z50" s="22">
        <f t="shared" si="23"/>
        <v>1.7612255111402859E-2</v>
      </c>
      <c r="AA50" s="22">
        <f t="shared" si="23"/>
        <v>2.0345373741474548E-2</v>
      </c>
      <c r="AB50" s="22">
        <f t="shared" si="23"/>
        <v>2.3269769576835329E-2</v>
      </c>
      <c r="AC50" s="22">
        <f t="shared" si="21"/>
        <v>2.6384738618243982E-2</v>
      </c>
      <c r="AD50" s="22">
        <f t="shared" si="21"/>
        <v>2.9689624732885386E-2</v>
      </c>
      <c r="AE50" s="22">
        <f t="shared" si="21"/>
        <v>3.3183813689532542E-2</v>
      </c>
      <c r="AF50" s="22">
        <f t="shared" si="21"/>
        <v>3.6866728236599443E-2</v>
      </c>
      <c r="AG50" s="22">
        <f t="shared" si="21"/>
        <v>4.0737823993973528E-2</v>
      </c>
      <c r="AH50" s="22">
        <f t="shared" si="21"/>
        <v>4.4796585989080422E-2</v>
      </c>
      <c r="AI50" s="22">
        <f t="shared" si="21"/>
        <v>4.9042525709543795E-2</v>
      </c>
      <c r="AJ50" s="22">
        <f t="shared" si="21"/>
        <v>5.3475178574876804E-2</v>
      </c>
      <c r="AK50" s="22">
        <f t="shared" si="21"/>
        <v>5.8094101751601207E-2</v>
      </c>
      <c r="AL50" s="22">
        <f t="shared" si="21"/>
        <v>6.2898872252478505E-2</v>
      </c>
      <c r="AM50" s="22">
        <f t="shared" si="21"/>
        <v>6.7889085272793456E-2</v>
      </c>
      <c r="AN50" s="22">
        <f t="shared" si="21"/>
        <v>7.30643527259692E-2</v>
      </c>
      <c r="AO50" s="22">
        <f t="shared" si="21"/>
        <v>7.8424301947997405E-2</v>
      </c>
      <c r="AP50" s="22">
        <f t="shared" si="21"/>
        <v>8.3968574545780023E-2</v>
      </c>
      <c r="AQ50" s="22">
        <f t="shared" si="21"/>
        <v>8.9696825368900557E-2</v>
      </c>
      <c r="AR50" s="22">
        <f t="shared" si="25"/>
        <v>9.5608721587854731E-2</v>
      </c>
      <c r="AS50" s="22">
        <f t="shared" si="25"/>
        <v>0.10170394186458381</v>
      </c>
      <c r="AT50" s="22">
        <f t="shared" si="25"/>
        <v>0.10798217560342938</v>
      </c>
      <c r="AU50" s="22">
        <f t="shared" si="25"/>
        <v>0.11444312227248442</v>
      </c>
      <c r="AV50" s="22">
        <f t="shared" si="25"/>
        <v>0.12108649078691876</v>
      </c>
      <c r="AW50" s="22">
        <f t="shared" si="25"/>
        <v>0.12791199894785332</v>
      </c>
      <c r="AX50" s="22">
        <f t="shared" si="25"/>
        <v>0.13491937293749651</v>
      </c>
      <c r="AY50" s="22">
        <f t="shared" si="25"/>
        <v>0.14210834691902444</v>
      </c>
      <c r="AZ50" s="22">
        <f t="shared" si="25"/>
        <v>0.14947866313147898</v>
      </c>
      <c r="BA50" s="22">
        <f t="shared" si="25"/>
        <v>0.15703007522385093</v>
      </c>
      <c r="BB50" s="22">
        <f t="shared" si="25"/>
        <v>0.16476237302058985</v>
      </c>
      <c r="BC50" s="22">
        <f t="shared" si="25"/>
        <v>0.17267554361961548</v>
      </c>
      <c r="BD50" s="22">
        <f t="shared" si="25"/>
        <v>0.18077076246350832</v>
      </c>
      <c r="BE50" s="22">
        <f t="shared" si="25"/>
        <v>0.18905622598251851</v>
      </c>
      <c r="BF50" s="22">
        <f t="shared" si="25"/>
        <v>0.19758010497497203</v>
      </c>
      <c r="BG50" s="22">
        <f t="shared" si="25"/>
        <v>0.20660990184311712</v>
      </c>
      <c r="BH50" s="22">
        <f t="shared" si="24"/>
        <v>0.21758174359907481</v>
      </c>
      <c r="BI50" s="22">
        <f t="shared" si="24"/>
        <v>0.23818426804311574</v>
      </c>
      <c r="BJ50" s="22">
        <f t="shared" si="24"/>
        <v>0.23989873793906838</v>
      </c>
      <c r="BK50" s="22">
        <f t="shared" si="24"/>
        <v>0.24172729298926512</v>
      </c>
      <c r="BL50" s="22">
        <f t="shared" si="22"/>
        <v>0.2436807064385712</v>
      </c>
      <c r="BM50" s="22">
        <f t="shared" si="22"/>
        <v>0.2457708764760205</v>
      </c>
      <c r="BN50" s="22">
        <f t="shared" si="22"/>
        <v>0.24801096234299991</v>
      </c>
      <c r="BO50" s="22">
        <f t="shared" si="22"/>
        <v>0.25041554003734295</v>
      </c>
      <c r="BP50" s="22">
        <f t="shared" si="22"/>
        <v>0.25300078093411443</v>
      </c>
      <c r="BQ50" s="22">
        <f t="shared" si="22"/>
        <v>0.25578465728804667</v>
      </c>
      <c r="BR50" s="22">
        <f t="shared" si="22"/>
        <v>0.25878717936675999</v>
      </c>
      <c r="BS50" s="22">
        <f t="shared" si="22"/>
        <v>0.26203066992178248</v>
      </c>
      <c r="BT50" s="22">
        <f t="shared" si="22"/>
        <v>0.26554008287860914</v>
      </c>
      <c r="BU50" s="22">
        <f t="shared" si="22"/>
        <v>0.2693433745717852</v>
      </c>
      <c r="BV50" s="22">
        <f t="shared" si="22"/>
        <v>0.27347193763536715</v>
      </c>
      <c r="BW50" s="22">
        <f t="shared" si="22"/>
        <v>0.27796110987165917</v>
      </c>
      <c r="BX50" s="22">
        <f t="shared" si="20"/>
        <v>0.28285077317582757</v>
      </c>
      <c r="BY50" s="22">
        <f t="shared" si="20"/>
        <v>0.28818606103827654</v>
      </c>
      <c r="BZ50" s="22">
        <f t="shared" si="20"/>
        <v>0.2940181974720924</v>
      </c>
      <c r="CA50" s="22">
        <f t="shared" si="20"/>
        <v>0.30040549566965069</v>
      </c>
      <c r="CB50" s="22">
        <f t="shared" si="20"/>
        <v>0.30741455160910147</v>
      </c>
      <c r="CC50" s="22">
        <f t="shared" si="20"/>
        <v>0.31512167664150376</v>
      </c>
      <c r="CD50" s="22">
        <f t="shared" si="20"/>
        <v>0.32361462436829369</v>
      </c>
      <c r="CE50" s="22">
        <f t="shared" si="20"/>
        <v>0.33299468163472551</v>
      </c>
      <c r="CF50" s="22">
        <f t="shared" si="20"/>
        <v>0.34337921224937373</v>
      </c>
      <c r="CG50" s="22">
        <f t="shared" si="20"/>
        <v>0.35490476648636143</v>
      </c>
      <c r="CH50" s="22">
        <f t="shared" si="20"/>
        <v>0.36773090143062204</v>
      </c>
      <c r="CI50" s="22">
        <f t="shared" si="20"/>
        <v>0.38204489938087022</v>
      </c>
      <c r="CJ50" s="22">
        <f t="shared" si="20"/>
        <v>0.39806762740460699</v>
      </c>
      <c r="CK50" s="22">
        <f t="shared" si="20"/>
        <v>0.41606085570580981</v>
      </c>
      <c r="CL50" s="22">
        <f t="shared" si="20"/>
        <v>0.43633645265670318</v>
      </c>
      <c r="CM50" s="22">
        <f t="shared" si="26"/>
        <v>0.45926800993599765</v>
      </c>
      <c r="CN50" s="22">
        <f t="shared" si="26"/>
        <v>0.48530563609308636</v>
      </c>
      <c r="CO50" s="22">
        <f t="shared" si="26"/>
        <v>0.51499491090909644</v>
      </c>
      <c r="CP50" s="22">
        <f t="shared" si="26"/>
        <v>0.54900134488453267</v>
      </c>
      <c r="CQ50" s="22">
        <f t="shared" si="26"/>
        <v>0.58814217993689921</v>
      </c>
      <c r="CR50" s="22">
        <f t="shared" si="26"/>
        <v>0.63342806058063039</v>
      </c>
      <c r="CS50" s="22">
        <f t="shared" si="26"/>
        <v>0.68611809108767885</v>
      </c>
      <c r="CT50" s="22">
        <f t="shared" si="26"/>
        <v>0.7477932109153389</v>
      </c>
      <c r="CU50" s="22">
        <f t="shared" si="18"/>
        <v>0.82045487672547479</v>
      </c>
      <c r="CV50" s="22">
        <f t="shared" si="18"/>
        <v>0.90665905482887865</v>
      </c>
      <c r="CW50" s="22">
        <f t="shared" si="18"/>
        <v>1.0097000000000502</v>
      </c>
    </row>
    <row r="51" spans="1:101">
      <c r="A51" s="22">
        <v>49</v>
      </c>
      <c r="B51" s="32" t="str">
        <f>データファイル用!$B52</f>
        <v>ASHRAE Fibreboard</v>
      </c>
      <c r="C51" s="32">
        <f>データファイル用!K52</f>
        <v>1</v>
      </c>
      <c r="D51" s="32">
        <f>データファイル用!L52</f>
        <v>2.7094</v>
      </c>
      <c r="E51" s="32">
        <f>データファイル用!M52</f>
        <v>1.5054000000000001</v>
      </c>
      <c r="F51" s="32">
        <f>データファイル用!N52</f>
        <v>-3.0994000000000002</v>
      </c>
      <c r="G51" s="32">
        <f>データファイル用!O52</f>
        <v>26.117999999999999</v>
      </c>
      <c r="H51" s="32">
        <f>データファイル用!P52</f>
        <v>0</v>
      </c>
      <c r="I51" s="35">
        <f>データファイル用!Q52</f>
        <v>0</v>
      </c>
      <c r="J51" s="32">
        <f t="shared" si="2"/>
        <v>0.73750723062540258</v>
      </c>
      <c r="K51" s="32">
        <f t="shared" si="3"/>
        <v>0</v>
      </c>
      <c r="L51" s="53" t="str">
        <f t="shared" si="4"/>
        <v>N/A</v>
      </c>
      <c r="M51" s="22">
        <f t="shared" si="23"/>
        <v>0</v>
      </c>
      <c r="N51" s="22">
        <f t="shared" si="23"/>
        <v>3.3821383174725074E-4</v>
      </c>
      <c r="O51" s="22">
        <f t="shared" si="23"/>
        <v>9.6020048324510639E-4</v>
      </c>
      <c r="P51" s="22">
        <f t="shared" si="23"/>
        <v>1.7678674578680738E-3</v>
      </c>
      <c r="Q51" s="22">
        <f t="shared" si="23"/>
        <v>2.7260415792608409E-3</v>
      </c>
      <c r="R51" s="22">
        <f t="shared" si="23"/>
        <v>3.8143523573146132E-3</v>
      </c>
      <c r="S51" s="22">
        <f t="shared" si="23"/>
        <v>5.019035379448292E-3</v>
      </c>
      <c r="T51" s="22">
        <f t="shared" si="23"/>
        <v>6.3299744079053375E-3</v>
      </c>
      <c r="U51" s="22">
        <f t="shared" si="23"/>
        <v>7.7393240490194462E-3</v>
      </c>
      <c r="V51" s="22">
        <f t="shared" si="23"/>
        <v>9.2407673939383025E-3</v>
      </c>
      <c r="W51" s="22">
        <f t="shared" si="23"/>
        <v>1.0829075079039468E-2</v>
      </c>
      <c r="X51" s="22">
        <f t="shared" si="23"/>
        <v>1.2499824427951981E-2</v>
      </c>
      <c r="Y51" s="22">
        <f t="shared" si="23"/>
        <v>1.4249210837633683E-2</v>
      </c>
      <c r="Z51" s="22">
        <f t="shared" si="23"/>
        <v>1.6073915735606036E-2</v>
      </c>
      <c r="AA51" s="22">
        <f t="shared" si="23"/>
        <v>1.7971010984382484E-2</v>
      </c>
      <c r="AB51" s="22">
        <f t="shared" si="23"/>
        <v>1.9937887727721999E-2</v>
      </c>
      <c r="AC51" s="22">
        <f t="shared" si="21"/>
        <v>2.1972202181888136E-2</v>
      </c>
      <c r="AD51" s="22">
        <f t="shared" si="21"/>
        <v>2.4071833508787586E-2</v>
      </c>
      <c r="AE51" s="22">
        <f t="shared" si="21"/>
        <v>2.623485051290558E-2</v>
      </c>
      <c r="AF51" s="22">
        <f t="shared" si="21"/>
        <v>2.8459484918031935E-2</v>
      </c>
      <c r="AG51" s="22">
        <f t="shared" si="21"/>
        <v>3.0744109640863129E-2</v>
      </c>
      <c r="AH51" s="22">
        <f t="shared" si="21"/>
        <v>3.3087220921969897E-2</v>
      </c>
      <c r="AI51" s="22">
        <f t="shared" si="21"/>
        <v>3.5487423480927732E-2</v>
      </c>
      <c r="AJ51" s="22">
        <f t="shared" si="21"/>
        <v>3.7943418083178533E-2</v>
      </c>
      <c r="AK51" s="22">
        <f t="shared" si="21"/>
        <v>4.0453991080028562E-2</v>
      </c>
      <c r="AL51" s="22">
        <f t="shared" si="21"/>
        <v>4.30180056497678E-2</v>
      </c>
      <c r="AM51" s="22">
        <f t="shared" si="21"/>
        <v>4.5634394686795893E-2</v>
      </c>
      <c r="AN51" s="22">
        <f t="shared" si="21"/>
        <v>4.8302155669444818E-2</v>
      </c>
      <c r="AO51" s="22">
        <f t="shared" si="21"/>
        <v>5.1020348615032511E-2</v>
      </c>
      <c r="AP51" s="22">
        <f t="shared" si="21"/>
        <v>5.3788099871106686E-2</v>
      </c>
      <c r="AQ51" s="22">
        <f t="shared" si="21"/>
        <v>5.6604617936597892E-2</v>
      </c>
      <c r="AR51" s="22">
        <f t="shared" si="25"/>
        <v>5.9469234606073104E-2</v>
      </c>
      <c r="AS51" s="22">
        <f t="shared" si="25"/>
        <v>6.2381499037134296E-2</v>
      </c>
      <c r="AT51" s="22">
        <f t="shared" si="25"/>
        <v>6.5341380528846138E-2</v>
      </c>
      <c r="AU51" s="22">
        <f t="shared" si="25"/>
        <v>6.8349690158608672E-2</v>
      </c>
      <c r="AV51" s="22">
        <f t="shared" si="25"/>
        <v>7.1408934215785327E-2</v>
      </c>
      <c r="AW51" s="22">
        <f t="shared" si="25"/>
        <v>7.4525003430755021E-2</v>
      </c>
      <c r="AX51" s="22">
        <f t="shared" si="25"/>
        <v>7.7710452378249861E-2</v>
      </c>
      <c r="AY51" s="22">
        <f t="shared" si="25"/>
        <v>8.0990761268631056E-2</v>
      </c>
      <c r="AZ51" s="22">
        <f t="shared" si="25"/>
        <v>8.4416136873430428E-2</v>
      </c>
      <c r="BA51" s="22">
        <f t="shared" si="25"/>
        <v>8.8083578043802929E-2</v>
      </c>
      <c r="BB51" s="22">
        <f t="shared" si="25"/>
        <v>9.2178155049023075E-2</v>
      </c>
      <c r="BC51" s="22">
        <f t="shared" si="25"/>
        <v>9.7051320657527154E-2</v>
      </c>
      <c r="BD51" s="22">
        <f t="shared" si="25"/>
        <v>0.10337469632585841</v>
      </c>
      <c r="BE51" s="22">
        <f t="shared" si="25"/>
        <v>0.11246168594871001</v>
      </c>
      <c r="BF51" s="22">
        <f t="shared" si="25"/>
        <v>0.12700840633405494</v>
      </c>
      <c r="BG51" s="22">
        <f t="shared" si="25"/>
        <v>0.15304103965089902</v>
      </c>
      <c r="BH51" s="22">
        <f t="shared" si="24"/>
        <v>0.20596841079706038</v>
      </c>
      <c r="BI51" s="22">
        <f t="shared" si="24"/>
        <v>0.33388916451637279</v>
      </c>
      <c r="BJ51" s="22">
        <f t="shared" si="24"/>
        <v>0.34439642832373674</v>
      </c>
      <c r="BK51" s="22">
        <f t="shared" si="24"/>
        <v>0.35551061056513578</v>
      </c>
      <c r="BL51" s="22">
        <f t="shared" si="22"/>
        <v>0.36727613182300911</v>
      </c>
      <c r="BM51" s="22">
        <f t="shared" si="22"/>
        <v>0.37974132259499815</v>
      </c>
      <c r="BN51" s="22">
        <f t="shared" si="22"/>
        <v>0.39295882265814436</v>
      </c>
      <c r="BO51" s="22">
        <f t="shared" si="22"/>
        <v>0.40698602661563804</v>
      </c>
      <c r="BP51" s="22">
        <f t="shared" si="22"/>
        <v>0.42188558157182415</v>
      </c>
      <c r="BQ51" s="22">
        <f t="shared" si="22"/>
        <v>0.43772594372293661</v>
      </c>
      <c r="BR51" s="22">
        <f t="shared" si="22"/>
        <v>0.45458200162260853</v>
      </c>
      <c r="BS51" s="22">
        <f t="shared" si="22"/>
        <v>0.472535775004222</v>
      </c>
      <c r="BT51" s="22">
        <f t="shared" si="22"/>
        <v>0.4916771993421461</v>
      </c>
      <c r="BU51" s="22">
        <f t="shared" si="22"/>
        <v>0.51210500784097845</v>
      </c>
      <c r="BV51" s="22">
        <f t="shared" si="22"/>
        <v>0.53392772429170854</v>
      </c>
      <c r="BW51" s="22">
        <f t="shared" si="22"/>
        <v>0.55726478226847853</v>
      </c>
      <c r="BX51" s="22">
        <f t="shared" si="20"/>
        <v>0.5822477885094447</v>
      </c>
      <c r="BY51" s="22">
        <f t="shared" si="20"/>
        <v>0.60902195108971191</v>
      </c>
      <c r="BZ51" s="22">
        <f t="shared" si="20"/>
        <v>0.63774769622436234</v>
      </c>
      <c r="CA51" s="22">
        <f t="shared" si="20"/>
        <v>0.66860250131984256</v>
      </c>
      <c r="CB51" s="22">
        <f t="shared" si="20"/>
        <v>0.70178297632355335</v>
      </c>
      <c r="CC51" s="22">
        <f t="shared" si="20"/>
        <v>0.73750723062542289</v>
      </c>
      <c r="CD51" s="22">
        <f t="shared" si="20"/>
        <v>0.77601756888676121</v>
      </c>
      <c r="CE51" s="22">
        <f t="shared" si="20"/>
        <v>0.81758356638519847</v>
      </c>
      <c r="CF51" s="22">
        <f t="shared" si="20"/>
        <v>0.86250558298005076</v>
      </c>
      <c r="CG51" s="22">
        <f t="shared" si="20"/>
        <v>0.91111878487325848</v>
      </c>
      <c r="CH51" s="22">
        <f t="shared" si="20"/>
        <v>0.9637977552732625</v>
      </c>
      <c r="CI51" s="22">
        <f t="shared" si="20"/>
        <v>1.0209617892334051</v>
      </c>
      <c r="CJ51" s="22">
        <f t="shared" si="20"/>
        <v>1.0830809847823668</v>
      </c>
      <c r="CK51" s="22">
        <f t="shared" si="20"/>
        <v>1.1506832625385341</v>
      </c>
      <c r="CL51" s="22">
        <f t="shared" si="20"/>
        <v>1.2243624699690518</v>
      </c>
      <c r="CM51" s="22">
        <f t="shared" si="26"/>
        <v>1.3047877551309317</v>
      </c>
      <c r="CN51" s="22">
        <f t="shared" si="26"/>
        <v>1.3927144291108684</v>
      </c>
      <c r="CO51" s="22">
        <f t="shared" si="26"/>
        <v>1.4889965776824117</v>
      </c>
      <c r="CP51" s="22">
        <f t="shared" si="26"/>
        <v>1.5946017324231387</v>
      </c>
      <c r="CQ51" s="22">
        <f t="shared" si="26"/>
        <v>1.7106279715270967</v>
      </c>
      <c r="CR51" s="22">
        <f t="shared" si="26"/>
        <v>1.8383238930888097</v>
      </c>
      <c r="CS51" s="22">
        <f t="shared" si="26"/>
        <v>1.9791119915454713</v>
      </c>
      <c r="CT51" s="22">
        <f t="shared" si="26"/>
        <v>2.1346160747425524</v>
      </c>
      <c r="CU51" s="22">
        <f t="shared" si="18"/>
        <v>2.3066934890853279</v>
      </c>
      <c r="CV51" s="22">
        <f t="shared" si="18"/>
        <v>2.4974730788771615</v>
      </c>
      <c r="CW51" s="22">
        <f t="shared" si="18"/>
        <v>2.7094000000000986</v>
      </c>
    </row>
    <row r="52" spans="1:101">
      <c r="A52" s="22">
        <v>50</v>
      </c>
      <c r="B52" s="32" t="str">
        <f>データファイル用!$B53</f>
        <v>ASHRAE Eastern White Cedar</v>
      </c>
      <c r="C52" s="32">
        <f>データファイル用!K53</f>
        <v>1</v>
      </c>
      <c r="D52" s="32">
        <f>データファイル用!L53</f>
        <v>1.593</v>
      </c>
      <c r="E52" s="32">
        <f>データファイル用!M53</f>
        <v>4.5488</v>
      </c>
      <c r="F52" s="32">
        <f>データファイル用!N53</f>
        <v>3.6454999999999999E-3</v>
      </c>
      <c r="G52" s="32">
        <f>データファイル用!O53</f>
        <v>0.70821999999999996</v>
      </c>
      <c r="H52" s="32">
        <f>データファイル用!P53</f>
        <v>0</v>
      </c>
      <c r="I52" s="35">
        <f>データファイル用!Q53</f>
        <v>0</v>
      </c>
      <c r="J52" s="32">
        <f t="shared" si="2"/>
        <v>1.4532068632099373</v>
      </c>
      <c r="K52" s="32">
        <f t="shared" si="3"/>
        <v>0</v>
      </c>
      <c r="L52" s="53" t="str">
        <f t="shared" si="4"/>
        <v>N/A</v>
      </c>
      <c r="M52" s="22">
        <f t="shared" si="23"/>
        <v>0</v>
      </c>
      <c r="N52" s="22">
        <f t="shared" si="23"/>
        <v>2.9883061572592697E-8</v>
      </c>
      <c r="O52" s="22">
        <f t="shared" si="23"/>
        <v>6.9933858962262081E-7</v>
      </c>
      <c r="P52" s="22">
        <f t="shared" si="23"/>
        <v>4.4221913262411213E-6</v>
      </c>
      <c r="Q52" s="22">
        <f t="shared" si="23"/>
        <v>1.6364776165082202E-5</v>
      </c>
      <c r="R52" s="22">
        <f t="shared" si="23"/>
        <v>4.5153251045251454E-5</v>
      </c>
      <c r="S52" s="22">
        <f t="shared" si="23"/>
        <v>1.0347274093940613E-4</v>
      </c>
      <c r="T52" s="22">
        <f t="shared" si="23"/>
        <v>2.0859928960719683E-4</v>
      </c>
      <c r="U52" s="22">
        <f t="shared" si="23"/>
        <v>3.8288431515134171E-4</v>
      </c>
      <c r="V52" s="22">
        <f t="shared" si="23"/>
        <v>6.5420303390401372E-4</v>
      </c>
      <c r="W52" s="22">
        <f t="shared" si="23"/>
        <v>1.0563742675287926E-3</v>
      </c>
      <c r="X52" s="22">
        <f t="shared" si="23"/>
        <v>1.6295567726396737E-3</v>
      </c>
      <c r="Y52" s="22">
        <f t="shared" si="23"/>
        <v>2.4206258358041291E-3</v>
      </c>
      <c r="Z52" s="22">
        <f t="shared" si="23"/>
        <v>3.4835329636320606E-3</v>
      </c>
      <c r="AA52" s="22">
        <f t="shared" si="23"/>
        <v>4.8796508709278959E-3</v>
      </c>
      <c r="AB52" s="22">
        <f t="shared" si="23"/>
        <v>6.6781055230151366E-3</v>
      </c>
      <c r="AC52" s="22">
        <f t="shared" si="21"/>
        <v>8.9560966596970611E-3</v>
      </c>
      <c r="AD52" s="22">
        <f t="shared" si="21"/>
        <v>1.1799207980334236E-2</v>
      </c>
      <c r="AE52" s="22">
        <f t="shared" si="21"/>
        <v>1.5301707978309436E-2</v>
      </c>
      <c r="AF52" s="22">
        <f t="shared" si="21"/>
        <v>1.9566842262962073E-2</v>
      </c>
      <c r="AG52" s="22">
        <f t="shared" si="21"/>
        <v>2.4707118087203276E-2</v>
      </c>
      <c r="AH52" s="22">
        <f t="shared" si="21"/>
        <v>3.0844581702000249E-2</v>
      </c>
      <c r="AI52" s="22">
        <f t="shared" si="21"/>
        <v>3.8111089079414434E-2</v>
      </c>
      <c r="AJ52" s="22">
        <f t="shared" si="21"/>
        <v>4.66485704800099E-2</v>
      </c>
      <c r="AK52" s="22">
        <f t="shared" si="21"/>
        <v>5.6609289285340363E-2</v>
      </c>
      <c r="AL52" s="22">
        <f t="shared" si="21"/>
        <v>6.8156095469706537E-2</v>
      </c>
      <c r="AM52" s="22">
        <f t="shared" si="21"/>
        <v>8.1462674045798239E-2</v>
      </c>
      <c r="AN52" s="22">
        <f t="shared" si="21"/>
        <v>9.6713788784912824E-2</v>
      </c>
      <c r="AO52" s="22">
        <f t="shared" si="21"/>
        <v>0.11410552148317801</v>
      </c>
      <c r="AP52" s="22">
        <f t="shared" si="21"/>
        <v>0.13384550701979889</v>
      </c>
      <c r="AQ52" s="22">
        <f t="shared" si="21"/>
        <v>0.15615316443117647</v>
      </c>
      <c r="AR52" s="22">
        <f t="shared" si="25"/>
        <v>0.18125992420528367</v>
      </c>
      <c r="AS52" s="22">
        <f t="shared" si="25"/>
        <v>0.20940945198352945</v>
      </c>
      <c r="AT52" s="22">
        <f t="shared" si="25"/>
        <v>0.24085786884214913</v>
      </c>
      <c r="AU52" s="22">
        <f t="shared" si="25"/>
        <v>0.27587396831164479</v>
      </c>
      <c r="AV52" s="22">
        <f t="shared" si="25"/>
        <v>0.31473943028074047</v>
      </c>
      <c r="AW52" s="22">
        <f t="shared" si="25"/>
        <v>0.35774903192050411</v>
      </c>
      <c r="AX52" s="22">
        <f t="shared" si="25"/>
        <v>0.40521085575458049</v>
      </c>
      <c r="AY52" s="22">
        <f t="shared" si="25"/>
        <v>0.45744649499270207</v>
      </c>
      <c r="AZ52" s="22">
        <f t="shared" si="25"/>
        <v>0.51479125623673361</v>
      </c>
      <c r="BA52" s="22">
        <f t="shared" si="25"/>
        <v>0.57759435966129569</v>
      </c>
      <c r="BB52" s="22">
        <f t="shared" si="25"/>
        <v>0.64621913676449005</v>
      </c>
      <c r="BC52" s="22">
        <f t="shared" si="25"/>
        <v>0.72104322577826152</v>
      </c>
      <c r="BD52" s="22">
        <f t="shared" si="25"/>
        <v>0.80245876482249923</v>
      </c>
      <c r="BE52" s="22">
        <f t="shared" si="25"/>
        <v>0.89087258288196158</v>
      </c>
      <c r="BF52" s="22">
        <f t="shared" si="25"/>
        <v>0.98670638868053928</v>
      </c>
      <c r="BG52" s="22">
        <f t="shared" si="25"/>
        <v>1.0903969575231331</v>
      </c>
      <c r="BH52" s="22">
        <f t="shared" si="24"/>
        <v>1.2023963161715439</v>
      </c>
      <c r="BI52" s="22">
        <f t="shared" si="24"/>
        <v>1.3231719258171637</v>
      </c>
      <c r="BJ52" s="22">
        <f t="shared" si="24"/>
        <v>1.3294496810850671</v>
      </c>
      <c r="BK52" s="22">
        <f t="shared" si="24"/>
        <v>1.3357506428054846</v>
      </c>
      <c r="BL52" s="22">
        <f t="shared" si="22"/>
        <v>1.342074872492764</v>
      </c>
      <c r="BM52" s="22">
        <f t="shared" si="22"/>
        <v>1.3484224317600841</v>
      </c>
      <c r="BN52" s="22">
        <f t="shared" si="22"/>
        <v>1.3547933823195115</v>
      </c>
      <c r="BO52" s="22">
        <f t="shared" si="22"/>
        <v>1.3611877859820545</v>
      </c>
      <c r="BP52" s="22">
        <f t="shared" si="22"/>
        <v>1.367605704657721</v>
      </c>
      <c r="BQ52" s="22">
        <f t="shared" si="22"/>
        <v>1.3740472003555724</v>
      </c>
      <c r="BR52" s="22">
        <f t="shared" si="22"/>
        <v>1.3805123351837791</v>
      </c>
      <c r="BS52" s="22">
        <f t="shared" si="22"/>
        <v>1.3870011713496779</v>
      </c>
      <c r="BT52" s="22">
        <f t="shared" si="22"/>
        <v>1.3935137711598262</v>
      </c>
      <c r="BU52" s="22">
        <f t="shared" si="22"/>
        <v>1.4000501970200565</v>
      </c>
      <c r="BV52" s="22">
        <f t="shared" si="22"/>
        <v>1.4066105114355341</v>
      </c>
      <c r="BW52" s="22">
        <f t="shared" si="22"/>
        <v>1.4131947770108113</v>
      </c>
      <c r="BX52" s="22">
        <f t="shared" si="20"/>
        <v>1.4198030564498834</v>
      </c>
      <c r="BY52" s="22">
        <f t="shared" si="20"/>
        <v>1.4264354125562417</v>
      </c>
      <c r="BZ52" s="22">
        <f t="shared" si="20"/>
        <v>1.4330919082329348</v>
      </c>
      <c r="CA52" s="22">
        <f t="shared" si="20"/>
        <v>1.439772606482616</v>
      </c>
      <c r="CB52" s="22">
        <f t="shared" si="20"/>
        <v>1.4464775704076052</v>
      </c>
      <c r="CC52" s="22">
        <f t="shared" si="20"/>
        <v>1.4532068632099411</v>
      </c>
      <c r="CD52" s="22">
        <f t="shared" si="20"/>
        <v>1.4599605481914366</v>
      </c>
      <c r="CE52" s="22">
        <f t="shared" si="20"/>
        <v>1.4667386887537355</v>
      </c>
      <c r="CF52" s="22">
        <f t="shared" si="20"/>
        <v>1.4735413483983655</v>
      </c>
      <c r="CG52" s="22">
        <f t="shared" si="20"/>
        <v>1.4803685907267952</v>
      </c>
      <c r="CH52" s="22">
        <f t="shared" si="20"/>
        <v>1.4872204794404897</v>
      </c>
      <c r="CI52" s="22">
        <f t="shared" si="20"/>
        <v>1.4940970783409626</v>
      </c>
      <c r="CJ52" s="22">
        <f t="shared" si="20"/>
        <v>1.5009984513298358</v>
      </c>
      <c r="CK52" s="22">
        <f t="shared" si="20"/>
        <v>1.5079246624088898</v>
      </c>
      <c r="CL52" s="22">
        <f t="shared" si="20"/>
        <v>1.5148757756801223</v>
      </c>
      <c r="CM52" s="22">
        <f t="shared" si="26"/>
        <v>1.521851855345802</v>
      </c>
      <c r="CN52" s="22">
        <f t="shared" si="26"/>
        <v>1.5288529657085224</v>
      </c>
      <c r="CO52" s="22">
        <f t="shared" si="26"/>
        <v>1.5358791711712596</v>
      </c>
      <c r="CP52" s="22">
        <f t="shared" si="26"/>
        <v>1.5429305362374246</v>
      </c>
      <c r="CQ52" s="22">
        <f t="shared" si="26"/>
        <v>1.5500071255109189</v>
      </c>
      <c r="CR52" s="22">
        <f t="shared" si="26"/>
        <v>1.5571090036961912</v>
      </c>
      <c r="CS52" s="22">
        <f t="shared" si="26"/>
        <v>1.5642362355982891</v>
      </c>
      <c r="CT52" s="22">
        <f t="shared" si="26"/>
        <v>1.5713888861229173</v>
      </c>
      <c r="CU52" s="22">
        <f t="shared" si="18"/>
        <v>1.5785670202764894</v>
      </c>
      <c r="CV52" s="22">
        <f t="shared" si="18"/>
        <v>1.5857707031661852</v>
      </c>
      <c r="CW52" s="22">
        <f t="shared" si="18"/>
        <v>1.5930000000000031</v>
      </c>
    </row>
    <row r="53" spans="1:101">
      <c r="A53" s="22">
        <v>51</v>
      </c>
      <c r="B53" s="32" t="str">
        <f>データファイル用!$B54</f>
        <v>ASHRAE Western Red Cedar</v>
      </c>
      <c r="C53" s="32">
        <f>データファイル用!K54</f>
        <v>1</v>
      </c>
      <c r="D53" s="32">
        <f>データファイル用!L54</f>
        <v>1.6193</v>
      </c>
      <c r="E53" s="32">
        <f>データファイル用!M54</f>
        <v>1.8179000000000001</v>
      </c>
      <c r="F53" s="32">
        <f>データファイル用!N54</f>
        <v>-2.4173</v>
      </c>
      <c r="G53" s="32">
        <f>データファイル用!O54</f>
        <v>59.776000000000003</v>
      </c>
      <c r="H53" s="32">
        <f>データファイル用!P54</f>
        <v>0</v>
      </c>
      <c r="I53" s="35">
        <f>データファイル用!Q54</f>
        <v>0</v>
      </c>
      <c r="J53" s="32">
        <f t="shared" si="2"/>
        <v>0.28664953443709251</v>
      </c>
      <c r="K53" s="32">
        <f t="shared" si="3"/>
        <v>0</v>
      </c>
      <c r="L53" s="53" t="str">
        <f t="shared" si="4"/>
        <v>N/A</v>
      </c>
      <c r="M53" s="22">
        <f t="shared" si="23"/>
        <v>0</v>
      </c>
      <c r="N53" s="22">
        <f t="shared" si="23"/>
        <v>1.1774695744963025E-4</v>
      </c>
      <c r="O53" s="22">
        <f t="shared" si="23"/>
        <v>4.1513765043666757E-4</v>
      </c>
      <c r="P53" s="22">
        <f t="shared" si="23"/>
        <v>8.6757778461492979E-4</v>
      </c>
      <c r="Q53" s="22">
        <f t="shared" si="23"/>
        <v>1.463640951264493E-3</v>
      </c>
      <c r="R53" s="22">
        <f t="shared" si="23"/>
        <v>2.1958732327037249E-3</v>
      </c>
      <c r="S53" s="22">
        <f t="shared" si="23"/>
        <v>3.0587983832207478E-3</v>
      </c>
      <c r="T53" s="22">
        <f t="shared" si="23"/>
        <v>4.0481203994065483E-3</v>
      </c>
      <c r="U53" s="22">
        <f t="shared" si="23"/>
        <v>5.1603241285513059E-3</v>
      </c>
      <c r="V53" s="22">
        <f t="shared" si="23"/>
        <v>6.3924472331213789E-3</v>
      </c>
      <c r="W53" s="22">
        <f t="shared" si="23"/>
        <v>7.7419380867769149E-3</v>
      </c>
      <c r="X53" s="22">
        <f t="shared" si="23"/>
        <v>9.2065614499709063E-3</v>
      </c>
      <c r="Y53" s="22">
        <f t="shared" si="23"/>
        <v>1.0784332788496402E-2</v>
      </c>
      <c r="Z53" s="22">
        <f t="shared" si="23"/>
        <v>1.247347078103225E-2</v>
      </c>
      <c r="AA53" s="22">
        <f t="shared" si="23"/>
        <v>1.427236191655545E-2</v>
      </c>
      <c r="AB53" s="22">
        <f t="shared" si="23"/>
        <v>1.617953343159019E-2</v>
      </c>
      <c r="AC53" s="22">
        <f t="shared" si="21"/>
        <v>1.8193632180558399E-2</v>
      </c>
      <c r="AD53" s="22">
        <f t="shared" si="21"/>
        <v>2.0313407838347119E-2</v>
      </c>
      <c r="AE53" s="22">
        <f t="shared" si="21"/>
        <v>2.2537699337442357E-2</v>
      </c>
      <c r="AF53" s="22">
        <f t="shared" si="21"/>
        <v>2.4865423767153092E-2</v>
      </c>
      <c r="AG53" s="22">
        <f t="shared" si="21"/>
        <v>2.7295567178842739E-2</v>
      </c>
      <c r="AH53" s="22">
        <f t="shared" si="21"/>
        <v>2.9827176888829812E-2</v>
      </c>
      <c r="AI53" s="22">
        <f t="shared" si="21"/>
        <v>3.2459354973793639E-2</v>
      </c>
      <c r="AJ53" s="22">
        <f t="shared" si="21"/>
        <v>3.5191252727027049E-2</v>
      </c>
      <c r="AK53" s="22">
        <f t="shared" si="21"/>
        <v>3.8022065897190392E-2</v>
      </c>
      <c r="AL53" s="22">
        <f t="shared" si="21"/>
        <v>4.0951030570513039E-2</v>
      </c>
      <c r="AM53" s="22">
        <f t="shared" si="21"/>
        <v>4.3977419586771808E-2</v>
      </c>
      <c r="AN53" s="22">
        <f t="shared" si="21"/>
        <v>4.7100539401637873E-2</v>
      </c>
      <c r="AO53" s="22">
        <f t="shared" si="21"/>
        <v>5.0319727325058156E-2</v>
      </c>
      <c r="AP53" s="22">
        <f t="shared" si="21"/>
        <v>5.3634349078575096E-2</v>
      </c>
      <c r="AQ53" s="22">
        <f t="shared" si="21"/>
        <v>5.7043796624860081E-2</v>
      </c>
      <c r="AR53" s="22">
        <f t="shared" si="25"/>
        <v>6.0547486230951721E-2</v>
      </c>
      <c r="AS53" s="22">
        <f t="shared" si="25"/>
        <v>6.4144856733341166E-2</v>
      </c>
      <c r="AT53" s="22">
        <f t="shared" si="25"/>
        <v>6.7835367978991576E-2</v>
      </c>
      <c r="AU53" s="22">
        <f t="shared" si="25"/>
        <v>7.1618499424613805E-2</v>
      </c>
      <c r="AV53" s="22">
        <f t="shared" si="25"/>
        <v>7.5493748901711996E-2</v>
      </c>
      <c r="AW53" s="22">
        <f t="shared" si="25"/>
        <v>7.9460631670564691E-2</v>
      </c>
      <c r="AX53" s="22">
        <f t="shared" si="25"/>
        <v>8.3518680447100341E-2</v>
      </c>
      <c r="AY53" s="22">
        <f t="shared" si="25"/>
        <v>8.7667449731171548E-2</v>
      </c>
      <c r="AZ53" s="22">
        <f t="shared" si="25"/>
        <v>9.1906539748204563E-2</v>
      </c>
      <c r="BA53" s="22">
        <f t="shared" si="25"/>
        <v>9.623570748881688E-2</v>
      </c>
      <c r="BB53" s="22">
        <f t="shared" si="25"/>
        <v>0.1006553509379247</v>
      </c>
      <c r="BC53" s="22">
        <f t="shared" si="25"/>
        <v>0.1051685358437956</v>
      </c>
      <c r="BD53" s="22">
        <f t="shared" si="25"/>
        <v>0.10978918301834613</v>
      </c>
      <c r="BE53" s="22">
        <f t="shared" si="25"/>
        <v>0.11457408772673643</v>
      </c>
      <c r="BF53" s="22">
        <f t="shared" si="25"/>
        <v>0.11974470361589069</v>
      </c>
      <c r="BG53" s="22">
        <f t="shared" si="25"/>
        <v>0.12614304258291439</v>
      </c>
      <c r="BH53" s="22">
        <f t="shared" si="24"/>
        <v>0.13697658660972331</v>
      </c>
      <c r="BI53" s="22">
        <f t="shared" si="24"/>
        <v>0.16548753513541981</v>
      </c>
      <c r="BJ53" s="22">
        <f t="shared" si="24"/>
        <v>0.16805900847113012</v>
      </c>
      <c r="BK53" s="22">
        <f t="shared" si="24"/>
        <v>0.17081576836818135</v>
      </c>
      <c r="BL53" s="22">
        <f t="shared" si="22"/>
        <v>0.17377476936342232</v>
      </c>
      <c r="BM53" s="22">
        <f t="shared" si="22"/>
        <v>0.17695483164635667</v>
      </c>
      <c r="BN53" s="22">
        <f t="shared" si="22"/>
        <v>0.18037688936222937</v>
      </c>
      <c r="BO53" s="22">
        <f t="shared" si="22"/>
        <v>0.18406427791973656</v>
      </c>
      <c r="BP53" s="22">
        <f t="shared" si="22"/>
        <v>0.18804306733716544</v>
      </c>
      <c r="BQ53" s="22">
        <f t="shared" si="22"/>
        <v>0.19234245009016909</v>
      </c>
      <c r="BR53" s="22">
        <f t="shared" si="22"/>
        <v>0.19699519367726701</v>
      </c>
      <c r="BS53" s="22">
        <f t="shared" si="22"/>
        <v>0.20203817027631696</v>
      </c>
      <c r="BT53" s="22">
        <f t="shared" si="22"/>
        <v>0.20751297852951256</v>
      </c>
      <c r="BU53" s="22">
        <f t="shared" si="22"/>
        <v>0.21346667579745868</v>
      </c>
      <c r="BV53" s="22">
        <f t="shared" si="22"/>
        <v>0.21995264333348033</v>
      </c>
      <c r="BW53" s="22">
        <f t="shared" si="22"/>
        <v>0.22703161196531293</v>
      </c>
      <c r="BX53" s="22">
        <f t="shared" si="20"/>
        <v>0.23477288231481472</v>
      </c>
      <c r="BY53" s="22">
        <f t="shared" si="20"/>
        <v>0.24325578170437823</v>
      </c>
      <c r="BZ53" s="22">
        <f t="shared" si="20"/>
        <v>0.25257141017110524</v>
      </c>
      <c r="CA53" s="22">
        <f t="shared" si="20"/>
        <v>0.26282474106685028</v>
      </c>
      <c r="CB53" s="22">
        <f t="shared" si="20"/>
        <v>0.2741371583959632</v>
      </c>
      <c r="CC53" s="22">
        <f t="shared" si="20"/>
        <v>0.28664953443709984</v>
      </c>
      <c r="CD53" s="22">
        <f t="shared" si="20"/>
        <v>0.30052597878368148</v>
      </c>
      <c r="CE53" s="22">
        <f t="shared" si="20"/>
        <v>0.31595842569509069</v>
      </c>
      <c r="CF53" s="22">
        <f t="shared" si="20"/>
        <v>0.33317227324247095</v>
      </c>
      <c r="CG53" s="22">
        <f t="shared" si="20"/>
        <v>0.35243334877496796</v>
      </c>
      <c r="CH53" s="22">
        <f t="shared" si="20"/>
        <v>0.3740565556602809</v>
      </c>
      <c r="CI53" s="22">
        <f t="shared" si="20"/>
        <v>0.39841666284727301</v>
      </c>
      <c r="CJ53" s="22">
        <f t="shared" si="20"/>
        <v>0.42596184093085038</v>
      </c>
      <c r="CK53" s="22">
        <f t="shared" si="20"/>
        <v>0.45723073911437334</v>
      </c>
      <c r="CL53" s="22">
        <f t="shared" si="20"/>
        <v>0.49287415504143889</v>
      </c>
      <c r="CM53" s="22">
        <f t="shared" si="26"/>
        <v>0.53368269970513582</v>
      </c>
      <c r="CN53" s="22">
        <f t="shared" si="26"/>
        <v>0.58062233921943918</v>
      </c>
      <c r="CO53" s="22">
        <f t="shared" si="26"/>
        <v>0.63488035670843135</v>
      </c>
      <c r="CP53" s="22">
        <f t="shared" si="26"/>
        <v>0.69792519683099785</v>
      </c>
      <c r="CQ53" s="22">
        <f t="shared" si="26"/>
        <v>0.7715849430225169</v>
      </c>
      <c r="CR53" s="22">
        <f t="shared" si="26"/>
        <v>0.85815099569043141</v>
      </c>
      <c r="CS53" s="22">
        <f t="shared" si="26"/>
        <v>0.96051610879231974</v>
      </c>
      <c r="CT53" s="22">
        <f t="shared" si="26"/>
        <v>1.0823596619747677</v>
      </c>
      <c r="CU53" s="22">
        <f t="shared" si="18"/>
        <v>1.2283984384735664</v>
      </c>
      <c r="CV53" s="22">
        <f t="shared" si="18"/>
        <v>1.4047290726687445</v>
      </c>
      <c r="CW53" s="22">
        <f t="shared" si="18"/>
        <v>1.6193000000001057</v>
      </c>
    </row>
    <row r="54" spans="1:101">
      <c r="A54" s="22">
        <v>52</v>
      </c>
      <c r="B54" s="32" t="str">
        <f>データファイル用!$B55</f>
        <v>ASHRAE Spruce</v>
      </c>
      <c r="C54" s="32">
        <f>データファイル用!K55</f>
        <v>1</v>
      </c>
      <c r="D54" s="32">
        <f>データファイル用!L55</f>
        <v>2.0202</v>
      </c>
      <c r="E54" s="32">
        <f>データファイル用!M55</f>
        <v>2.5363000000000002</v>
      </c>
      <c r="F54" s="32">
        <f>データファイル用!N55</f>
        <v>-2.1511</v>
      </c>
      <c r="G54" s="32">
        <f>データファイル用!O55</f>
        <v>33.026000000000003</v>
      </c>
      <c r="H54" s="32">
        <f>データファイル用!P55</f>
        <v>0</v>
      </c>
      <c r="I54" s="35">
        <f>データファイル用!Q55</f>
        <v>0</v>
      </c>
      <c r="J54" s="32">
        <f t="shared" si="2"/>
        <v>0.67345302263919571</v>
      </c>
      <c r="K54" s="32">
        <f t="shared" si="3"/>
        <v>0</v>
      </c>
      <c r="L54" s="53" t="str">
        <f t="shared" si="4"/>
        <v>N/A</v>
      </c>
      <c r="M54" s="22">
        <f t="shared" si="23"/>
        <v>0</v>
      </c>
      <c r="N54" s="22">
        <f t="shared" si="23"/>
        <v>1.1536813837754875E-5</v>
      </c>
      <c r="O54" s="22">
        <f t="shared" si="23"/>
        <v>6.6924981954183965E-5</v>
      </c>
      <c r="P54" s="22">
        <f t="shared" si="23"/>
        <v>1.8715805494245628E-4</v>
      </c>
      <c r="Q54" s="22">
        <f t="shared" si="23"/>
        <v>3.8823138455352504E-4</v>
      </c>
      <c r="R54" s="22">
        <f t="shared" si="23"/>
        <v>6.8372822241717635E-4</v>
      </c>
      <c r="S54" s="22">
        <f t="shared" si="23"/>
        <v>1.0857026580955551E-3</v>
      </c>
      <c r="T54" s="22">
        <f t="shared" si="23"/>
        <v>1.6051219865529781E-3</v>
      </c>
      <c r="U54" s="22">
        <f t="shared" si="23"/>
        <v>2.2521277339384374E-3</v>
      </c>
      <c r="V54" s="22">
        <f t="shared" si="23"/>
        <v>3.0362054916073904E-3</v>
      </c>
      <c r="W54" s="22">
        <f t="shared" si="23"/>
        <v>3.9663029663431389E-3</v>
      </c>
      <c r="X54" s="22">
        <f t="shared" si="23"/>
        <v>5.0509160714642893E-3</v>
      </c>
      <c r="Y54" s="22">
        <f t="shared" si="23"/>
        <v>6.2981540503729448E-3</v>
      </c>
      <c r="Z54" s="22">
        <f t="shared" si="23"/>
        <v>7.7157901817719752E-3</v>
      </c>
      <c r="AA54" s="22">
        <f t="shared" si="23"/>
        <v>9.3113021927054788E-3</v>
      </c>
      <c r="AB54" s="22">
        <f t="shared" si="23"/>
        <v>1.1091905097583205E-2</v>
      </c>
      <c r="AC54" s="22">
        <f t="shared" si="21"/>
        <v>1.3064578320497431E-2</v>
      </c>
      <c r="AD54" s="22">
        <f t="shared" si="21"/>
        <v>1.5236088409296326E-2</v>
      </c>
      <c r="AE54" s="22">
        <f t="shared" si="21"/>
        <v>1.7613008287439197E-2</v>
      </c>
      <c r="AF54" s="22">
        <f t="shared" si="21"/>
        <v>2.0201733743042197E-2</v>
      </c>
      <c r="AG54" s="22">
        <f t="shared" si="21"/>
        <v>2.300849768232361E-2</v>
      </c>
      <c r="AH54" s="22">
        <f t="shared" si="21"/>
        <v>2.6039382551683952E-2</v>
      </c>
      <c r="AI54" s="22">
        <f t="shared" si="21"/>
        <v>2.9300331243088531E-2</v>
      </c>
      <c r="AJ54" s="22">
        <f t="shared" si="21"/>
        <v>3.2797156731072093E-2</v>
      </c>
      <c r="AK54" s="22">
        <f t="shared" si="21"/>
        <v>3.6535550639935667E-2</v>
      </c>
      <c r="AL54" s="22">
        <f t="shared" si="21"/>
        <v>4.0521090902486429E-2</v>
      </c>
      <c r="AM54" s="22">
        <f t="shared" si="21"/>
        <v>4.4759248645523442E-2</v>
      </c>
      <c r="AN54" s="22">
        <f t="shared" si="21"/>
        <v>4.9255394425310822E-2</v>
      </c>
      <c r="AO54" s="22">
        <f t="shared" si="21"/>
        <v>5.4014803952858848E-2</v>
      </c>
      <c r="AP54" s="22">
        <f t="shared" si="21"/>
        <v>5.9042663538409201E-2</v>
      </c>
      <c r="AQ54" s="22">
        <f t="shared" si="21"/>
        <v>6.4344075771516296E-2</v>
      </c>
      <c r="AR54" s="22">
        <f t="shared" si="25"/>
        <v>6.9924066768418405E-2</v>
      </c>
      <c r="AS54" s="22">
        <f t="shared" si="25"/>
        <v>7.5787598508842577E-2</v>
      </c>
      <c r="AT54" s="22">
        <f t="shared" si="25"/>
        <v>8.1939595446201385E-2</v>
      </c>
      <c r="AU54" s="22">
        <f t="shared" si="25"/>
        <v>8.8385008741096255E-2</v>
      </c>
      <c r="AV54" s="22">
        <f t="shared" si="25"/>
        <v>9.5128975883304129E-2</v>
      </c>
      <c r="AW54" s="22">
        <f t="shared" si="25"/>
        <v>0.10217721482786633</v>
      </c>
      <c r="AX54" s="22">
        <f t="shared" si="25"/>
        <v>0.10953697929304551</v>
      </c>
      <c r="AY54" s="22">
        <f t="shared" si="25"/>
        <v>0.11721932406110777</v>
      </c>
      <c r="AZ54" s="22">
        <f t="shared" si="25"/>
        <v>0.12524435987052293</v>
      </c>
      <c r="BA54" s="22">
        <f t="shared" si="25"/>
        <v>0.13365319399382861</v>
      </c>
      <c r="BB54" s="22">
        <f t="shared" si="25"/>
        <v>0.14253457412998954</v>
      </c>
      <c r="BC54" s="22">
        <f t="shared" si="25"/>
        <v>0.1520835288727303</v>
      </c>
      <c r="BD54" s="22">
        <f t="shared" si="25"/>
        <v>0.16272970663846648</v>
      </c>
      <c r="BE54" s="22">
        <f t="shared" si="25"/>
        <v>0.17542096876011234</v>
      </c>
      <c r="BF54" s="22">
        <f t="shared" si="25"/>
        <v>0.19227369315072657</v>
      </c>
      <c r="BG54" s="22">
        <f t="shared" si="25"/>
        <v>0.21819082352947111</v>
      </c>
      <c r="BH54" s="22">
        <f t="shared" si="24"/>
        <v>0.26550814719524768</v>
      </c>
      <c r="BI54" s="22">
        <f t="shared" si="24"/>
        <v>0.37054634634871503</v>
      </c>
      <c r="BJ54" s="22">
        <f t="shared" si="24"/>
        <v>0.37885834808874363</v>
      </c>
      <c r="BK54" s="22">
        <f t="shared" si="24"/>
        <v>0.38761235573196851</v>
      </c>
      <c r="BL54" s="22">
        <f t="shared" si="22"/>
        <v>0.3968388874549631</v>
      </c>
      <c r="BM54" s="22">
        <f t="shared" si="22"/>
        <v>0.40657102826136393</v>
      </c>
      <c r="BN54" s="22">
        <f t="shared" si="22"/>
        <v>0.41684468512924039</v>
      </c>
      <c r="BO54" s="22">
        <f t="shared" si="22"/>
        <v>0.4276988712773056</v>
      </c>
      <c r="BP54" s="22">
        <f t="shared" si="22"/>
        <v>0.4391760232889696</v>
      </c>
      <c r="BQ54" s="22">
        <f t="shared" si="22"/>
        <v>0.45132235536589754</v>
      </c>
      <c r="BR54" s="22">
        <f t="shared" si="22"/>
        <v>0.46418825559870375</v>
      </c>
      <c r="BS54" s="22">
        <f t="shared" si="22"/>
        <v>0.47782872985585145</v>
      </c>
      <c r="BT54" s="22">
        <f t="shared" si="22"/>
        <v>0.49230389971954353</v>
      </c>
      <c r="BU54" s="22">
        <f t="shared" si="22"/>
        <v>0.50767956185927154</v>
      </c>
      <c r="BV54" s="22">
        <f t="shared" si="22"/>
        <v>0.5240278173534213</v>
      </c>
      <c r="BW54" s="22">
        <f t="shared" si="22"/>
        <v>0.54142778077506681</v>
      </c>
      <c r="BX54" s="22">
        <f t="shared" si="20"/>
        <v>0.55996638038343372</v>
      </c>
      <c r="BY54" s="22">
        <f t="shared" si="20"/>
        <v>0.57973926254761898</v>
      </c>
      <c r="BZ54" s="22">
        <f t="shared" si="20"/>
        <v>0.60085181562211565</v>
      </c>
      <c r="CA54" s="22">
        <f t="shared" si="20"/>
        <v>0.62342033095219984</v>
      </c>
      <c r="CB54" s="22">
        <f t="shared" si="20"/>
        <v>0.64757332158065317</v>
      </c>
      <c r="CC54" s="22">
        <f t="shared" si="20"/>
        <v>0.67345302263921047</v>
      </c>
      <c r="CD54" s="22">
        <f t="shared" si="20"/>
        <v>0.70121710143944083</v>
      </c>
      <c r="CE54" s="22">
        <f t="shared" si="20"/>
        <v>0.73104061005059251</v>
      </c>
      <c r="CF54" s="22">
        <f t="shared" si="20"/>
        <v>0.76311821881433783</v>
      </c>
      <c r="CG54" s="22">
        <f t="shared" si="20"/>
        <v>0.79766677597830482</v>
      </c>
      <c r="CH54" s="22">
        <f t="shared" si="20"/>
        <v>0.83492824665099674</v>
      </c>
      <c r="CI54" s="22">
        <f t="shared" si="20"/>
        <v>0.875173093857884</v>
      </c>
      <c r="CJ54" s="22">
        <f t="shared" si="20"/>
        <v>0.91870417593970599</v>
      </c>
      <c r="CK54" s="22">
        <f t="shared" si="20"/>
        <v>0.96586124828131636</v>
      </c>
      <c r="CL54" s="22">
        <f t="shared" si="20"/>
        <v>1.0170261738871191</v>
      </c>
      <c r="CM54" s="22">
        <f t="shared" si="26"/>
        <v>1.0726289672368432</v>
      </c>
      <c r="CN54" s="22">
        <f t="shared" si="26"/>
        <v>1.1331548199166599</v>
      </c>
      <c r="CO54" s="22">
        <f t="shared" si="26"/>
        <v>1.199152285659419</v>
      </c>
      <c r="CP54" s="22">
        <f t="shared" si="26"/>
        <v>1.2712428378047829</v>
      </c>
      <c r="CQ54" s="22">
        <f t="shared" si="26"/>
        <v>1.3501320552515956</v>
      </c>
      <c r="CR54" s="22">
        <f t="shared" si="26"/>
        <v>1.4366227455283855</v>
      </c>
      <c r="CS54" s="22">
        <f t="shared" si="26"/>
        <v>1.53163037791829</v>
      </c>
      <c r="CT54" s="22">
        <f t="shared" si="26"/>
        <v>1.6362012784884186</v>
      </c>
      <c r="CU54" s="22">
        <f t="shared" si="18"/>
        <v>1.7515341359785905</v>
      </c>
      <c r="CV54" s="22">
        <f t="shared" si="18"/>
        <v>1.8790054873366917</v>
      </c>
      <c r="CW54" s="22">
        <f t="shared" si="18"/>
        <v>2.0202000000000657</v>
      </c>
    </row>
    <row r="55" spans="1:101">
      <c r="A55" s="22">
        <v>53</v>
      </c>
      <c r="B55" s="32" t="str">
        <f>データファイル用!$B56</f>
        <v>ASHRAE Eastern White Pine</v>
      </c>
      <c r="C55" s="32">
        <f>データファイル用!K56</f>
        <v>1</v>
      </c>
      <c r="D55" s="32">
        <f>データファイル用!L56</f>
        <v>1.2725</v>
      </c>
      <c r="E55" s="32">
        <f>データファイル用!M56</f>
        <v>2.3835999999999999</v>
      </c>
      <c r="F55" s="32">
        <f>データファイル用!N56</f>
        <v>-1.9854000000000001</v>
      </c>
      <c r="G55" s="32">
        <f>データファイル用!O56</f>
        <v>91.36</v>
      </c>
      <c r="H55" s="32">
        <f>データファイル用!P56</f>
        <v>0</v>
      </c>
      <c r="I55" s="35">
        <f>データファイル用!Q56</f>
        <v>0</v>
      </c>
      <c r="J55" s="32">
        <f t="shared" si="2"/>
        <v>0.2278531722422768</v>
      </c>
      <c r="K55" s="32">
        <f t="shared" si="3"/>
        <v>0</v>
      </c>
      <c r="L55" s="53" t="str">
        <f t="shared" si="4"/>
        <v>N/A</v>
      </c>
      <c r="M55" s="22">
        <f t="shared" si="23"/>
        <v>0</v>
      </c>
      <c r="N55" s="22">
        <f t="shared" si="23"/>
        <v>1.5586357176717015E-5</v>
      </c>
      <c r="O55" s="22">
        <f t="shared" si="23"/>
        <v>8.133542156304541E-5</v>
      </c>
      <c r="P55" s="22">
        <f t="shared" si="23"/>
        <v>2.1380154884692343E-4</v>
      </c>
      <c r="Q55" s="22">
        <f t="shared" si="23"/>
        <v>4.2443854749591532E-4</v>
      </c>
      <c r="R55" s="22">
        <f t="shared" si="23"/>
        <v>7.2245287991293445E-4</v>
      </c>
      <c r="S55" s="22">
        <f t="shared" si="23"/>
        <v>1.1156961764146724E-3</v>
      </c>
      <c r="T55" s="22">
        <f t="shared" si="23"/>
        <v>1.6110918937056397E-3</v>
      </c>
      <c r="U55" s="22">
        <f t="shared" si="23"/>
        <v>2.2148785503103897E-3</v>
      </c>
      <c r="V55" s="22">
        <f t="shared" si="23"/>
        <v>2.9327636837186638E-3</v>
      </c>
      <c r="W55" s="22">
        <f t="shared" si="23"/>
        <v>3.770028421710508E-3</v>
      </c>
      <c r="X55" s="22">
        <f t="shared" si="23"/>
        <v>4.7316022391777086E-3</v>
      </c>
      <c r="Y55" s="22">
        <f t="shared" si="23"/>
        <v>5.8221185243028739E-3</v>
      </c>
      <c r="Z55" s="22">
        <f t="shared" si="23"/>
        <v>7.045957168992905E-3</v>
      </c>
      <c r="AA55" s="22">
        <f t="shared" si="23"/>
        <v>8.4072780358902428E-3</v>
      </c>
      <c r="AB55" s="22">
        <f t="shared" si="23"/>
        <v>9.9100478028978575E-3</v>
      </c>
      <c r="AC55" s="22">
        <f t="shared" si="21"/>
        <v>1.1558061871541648E-2</v>
      </c>
      <c r="AD55" s="22">
        <f t="shared" si="21"/>
        <v>1.33549625127896E-2</v>
      </c>
      <c r="AE55" s="22">
        <f t="shared" si="21"/>
        <v>1.5304254089363235E-2</v>
      </c>
      <c r="AF55" s="22">
        <f t="shared" si="21"/>
        <v>1.7409315968395393E-2</v>
      </c>
      <c r="AG55" s="22">
        <f t="shared" si="21"/>
        <v>1.9673413582651813E-2</v>
      </c>
      <c r="AH55" s="22">
        <f t="shared" si="21"/>
        <v>2.2099707988441072E-2</v>
      </c>
      <c r="AI55" s="22">
        <f t="shared" si="21"/>
        <v>2.4691264188854544E-2</v>
      </c>
      <c r="AJ55" s="22">
        <f t="shared" si="21"/>
        <v>2.7451058432545934E-2</v>
      </c>
      <c r="AK55" s="22">
        <f t="shared" si="21"/>
        <v>3.0381984654603823E-2</v>
      </c>
      <c r="AL55" s="22">
        <f t="shared" si="21"/>
        <v>3.3486860192974865E-2</v>
      </c>
      <c r="AM55" s="22">
        <f t="shared" si="21"/>
        <v>3.6768430888474639E-2</v>
      </c>
      <c r="AN55" s="22">
        <f t="shared" si="21"/>
        <v>4.0229375656662049E-2</v>
      </c>
      <c r="AO55" s="22">
        <f t="shared" si="21"/>
        <v>4.3872310604324151E-2</v>
      </c>
      <c r="AP55" s="22">
        <f t="shared" si="21"/>
        <v>4.7699792750991399E-2</v>
      </c>
      <c r="AQ55" s="22">
        <f t="shared" si="21"/>
        <v>5.1714323406029335E-2</v>
      </c>
      <c r="AR55" s="22">
        <f t="shared" si="25"/>
        <v>5.5918351243874696E-2</v>
      </c>
      <c r="AS55" s="22">
        <f t="shared" si="25"/>
        <v>6.0314275113488268E-2</v>
      </c>
      <c r="AT55" s="22">
        <f t="shared" si="25"/>
        <v>6.4904446612768257E-2</v>
      </c>
      <c r="AU55" s="22">
        <f t="shared" si="25"/>
        <v>6.9691172454268507E-2</v>
      </c>
      <c r="AV55" s="22">
        <f t="shared" si="25"/>
        <v>7.467671664490895E-2</v>
      </c>
      <c r="AW55" s="22">
        <f t="shared" si="25"/>
        <v>7.9863302499316863E-2</v>
      </c>
      <c r="AX55" s="22">
        <f t="shared" si="25"/>
        <v>8.525311450396772E-2</v>
      </c>
      <c r="AY55" s="22">
        <f t="shared" si="25"/>
        <v>9.0848300048277417E-2</v>
      </c>
      <c r="AZ55" s="22">
        <f t="shared" si="25"/>
        <v>9.6650971049516837E-2</v>
      </c>
      <c r="BA55" s="22">
        <f t="shared" si="25"/>
        <v>0.10266320562503911</v>
      </c>
      <c r="BB55" s="22">
        <f t="shared" si="25"/>
        <v>0.10888705119674047</v>
      </c>
      <c r="BC55" s="22">
        <f t="shared" si="25"/>
        <v>0.11532454161491754</v>
      </c>
      <c r="BD55" s="22">
        <f t="shared" si="25"/>
        <v>0.12197783736788483</v>
      </c>
      <c r="BE55" s="22">
        <f t="shared" si="25"/>
        <v>0.12885038724710862</v>
      </c>
      <c r="BF55" s="22">
        <f t="shared" si="25"/>
        <v>0.13595615924989768</v>
      </c>
      <c r="BG55" s="22">
        <f t="shared" si="25"/>
        <v>0.14338975282915101</v>
      </c>
      <c r="BH55" s="22">
        <f t="shared" si="24"/>
        <v>0.15183823849991973</v>
      </c>
      <c r="BI55" s="22">
        <f t="shared" si="24"/>
        <v>0.16628360013506296</v>
      </c>
      <c r="BJ55" s="22">
        <f t="shared" si="24"/>
        <v>0.16749143278718517</v>
      </c>
      <c r="BK55" s="22">
        <f t="shared" si="24"/>
        <v>0.16878672366487996</v>
      </c>
      <c r="BL55" s="22">
        <f t="shared" si="22"/>
        <v>0.17017913386481792</v>
      </c>
      <c r="BM55" s="22">
        <f t="shared" si="22"/>
        <v>0.17167949099959387</v>
      </c>
      <c r="BN55" s="22">
        <f t="shared" si="22"/>
        <v>0.1732999502825664</v>
      </c>
      <c r="BO55" s="22">
        <f t="shared" si="22"/>
        <v>0.17505418199386907</v>
      </c>
      <c r="BP55" s="22">
        <f t="shared" si="22"/>
        <v>0.17695759044659937</v>
      </c>
      <c r="BQ55" s="22">
        <f t="shared" si="22"/>
        <v>0.17902757071874895</v>
      </c>
      <c r="BR55" s="22">
        <f t="shared" si="22"/>
        <v>0.18128381085227904</v>
      </c>
      <c r="BS55" s="22">
        <f t="shared" si="22"/>
        <v>0.18374864902699359</v>
      </c>
      <c r="BT55" s="22">
        <f t="shared" si="22"/>
        <v>0.18644749749981138</v>
      </c>
      <c r="BU55" s="22">
        <f t="shared" si="22"/>
        <v>0.18940934799965009</v>
      </c>
      <c r="BV55" s="22">
        <f t="shared" si="22"/>
        <v>0.19266737696984002</v>
      </c>
      <c r="BW55" s="22">
        <f t="shared" si="22"/>
        <v>0.19625967380084755</v>
      </c>
      <c r="BX55" s="22">
        <f t="shared" si="20"/>
        <v>0.20023012132738913</v>
      </c>
      <c r="BY55" s="22">
        <f t="shared" si="20"/>
        <v>0.20462946582277297</v>
      </c>
      <c r="BZ55" s="22">
        <f t="shared" si="20"/>
        <v>0.20951662411675254</v>
      </c>
      <c r="CA55" s="22">
        <f t="shared" si="20"/>
        <v>0.21496028912192297</v>
      </c>
      <c r="CB55" s="22">
        <f t="shared" si="20"/>
        <v>0.22104091312206575</v>
      </c>
      <c r="CC55" s="22">
        <f t="shared" si="20"/>
        <v>0.22785317224228083</v>
      </c>
      <c r="CD55" s="22">
        <f t="shared" si="20"/>
        <v>0.23550904780732623</v>
      </c>
      <c r="CE55" s="22">
        <f t="shared" si="20"/>
        <v>0.24414170393523318</v>
      </c>
      <c r="CF55" s="22">
        <f t="shared" si="20"/>
        <v>0.25391040016547239</v>
      </c>
      <c r="CG55" s="22">
        <f t="shared" si="20"/>
        <v>0.26500675958106096</v>
      </c>
      <c r="CH55" s="22">
        <f t="shared" si="20"/>
        <v>0.27766282601563402</v>
      </c>
      <c r="CI55" s="22">
        <f t="shared" si="20"/>
        <v>0.2921615020859118</v>
      </c>
      <c r="CJ55" s="22">
        <f t="shared" si="20"/>
        <v>0.3088501829666811</v>
      </c>
      <c r="CK55" s="22">
        <f t="shared" si="20"/>
        <v>0.32815871889969456</v>
      </c>
      <c r="CL55" s="22">
        <f t="shared" si="20"/>
        <v>0.35062329748606036</v>
      </c>
      <c r="CM55" s="22">
        <f t="shared" si="26"/>
        <v>0.37691850370056512</v>
      </c>
      <c r="CN55" s="22">
        <f t="shared" si="26"/>
        <v>0.4079007977012386</v>
      </c>
      <c r="CO55" s="22">
        <f t="shared" si="26"/>
        <v>0.4446681144862783</v>
      </c>
      <c r="CP55" s="22">
        <f t="shared" si="26"/>
        <v>0.48864249961287848</v>
      </c>
      <c r="CQ55" s="22">
        <f t="shared" si="26"/>
        <v>0.54168607692494686</v>
      </c>
      <c r="CR55" s="22">
        <f t="shared" si="26"/>
        <v>0.60626589233360029</v>
      </c>
      <c r="CS55" s="22">
        <f t="shared" si="26"/>
        <v>0.68569144488219014</v>
      </c>
      <c r="CT55" s="22">
        <f t="shared" si="26"/>
        <v>0.78446194691160342</v>
      </c>
      <c r="CU55" s="22">
        <f t="shared" si="18"/>
        <v>0.90878188622108036</v>
      </c>
      <c r="CV55" s="22">
        <f t="shared" si="18"/>
        <v>1.0673391287243938</v>
      </c>
      <c r="CW55" s="22">
        <f t="shared" si="18"/>
        <v>1.2725000000001039</v>
      </c>
    </row>
    <row r="56" spans="1:101">
      <c r="A56" s="22">
        <v>54</v>
      </c>
      <c r="B56" s="32" t="str">
        <f>データファイル用!$B57</f>
        <v>ASHRAE Southern Yellow Pine</v>
      </c>
      <c r="C56" s="32">
        <f>データファイル用!K57</f>
        <v>1</v>
      </c>
      <c r="D56" s="32">
        <f>データファイル用!L57</f>
        <v>0.97679000000000005</v>
      </c>
      <c r="E56" s="32">
        <f>データファイル用!M57</f>
        <v>3.2764000000000002</v>
      </c>
      <c r="F56" s="32">
        <f>データファイル用!N57</f>
        <v>-1.3438000000000001</v>
      </c>
      <c r="G56" s="32">
        <f>データファイル用!O57</f>
        <v>122.9</v>
      </c>
      <c r="H56" s="32">
        <f>データファイル用!P57</f>
        <v>0</v>
      </c>
      <c r="I56" s="35">
        <f>データファイル用!Q57</f>
        <v>0</v>
      </c>
      <c r="J56" s="32">
        <f t="shared" si="2"/>
        <v>0.26679654840025946</v>
      </c>
      <c r="K56" s="32">
        <f t="shared" si="3"/>
        <v>0</v>
      </c>
      <c r="L56" s="53" t="str">
        <f t="shared" si="4"/>
        <v>N/A</v>
      </c>
      <c r="M56" s="22">
        <f t="shared" si="23"/>
        <v>0</v>
      </c>
      <c r="N56" s="22">
        <f t="shared" si="23"/>
        <v>6.9133884196287341E-7</v>
      </c>
      <c r="O56" s="22">
        <f t="shared" si="23"/>
        <v>6.6986245321867828E-6</v>
      </c>
      <c r="P56" s="22">
        <f t="shared" si="23"/>
        <v>2.5288963918793037E-5</v>
      </c>
      <c r="Q56" s="22">
        <f t="shared" si="23"/>
        <v>6.4905322686359691E-5</v>
      </c>
      <c r="R56" s="22">
        <f t="shared" si="23"/>
        <v>1.3483302560354937E-4</v>
      </c>
      <c r="S56" s="22">
        <f t="shared" si="23"/>
        <v>2.4503364170750687E-4</v>
      </c>
      <c r="T56" s="22">
        <f t="shared" si="23"/>
        <v>4.0604126874697254E-4</v>
      </c>
      <c r="U56" s="22">
        <f t="shared" si="23"/>
        <v>6.2889043754856195E-4</v>
      </c>
      <c r="V56" s="22">
        <f t="shared" si="23"/>
        <v>9.2506258475255978E-4</v>
      </c>
      <c r="W56" s="22">
        <f t="shared" si="23"/>
        <v>1.3064444787920751E-3</v>
      </c>
      <c r="X56" s="22">
        <f t="shared" si="23"/>
        <v>1.7852948471118952E-3</v>
      </c>
      <c r="Y56" s="22">
        <f t="shared" si="23"/>
        <v>2.3742169019357914E-3</v>
      </c>
      <c r="Z56" s="22">
        <f t="shared" si="23"/>
        <v>3.0861352657238334E-3</v>
      </c>
      <c r="AA56" s="22">
        <f t="shared" si="23"/>
        <v>3.9342762749829422E-3</v>
      </c>
      <c r="AB56" s="22">
        <f t="shared" si="23"/>
        <v>4.9321509404399574E-3</v>
      </c>
      <c r="AC56" s="22">
        <f t="shared" si="21"/>
        <v>6.0935400375590511E-3</v>
      </c>
      <c r="AD56" s="22">
        <f t="shared" si="21"/>
        <v>7.4324809343593876E-3</v>
      </c>
      <c r="AE56" s="22">
        <f t="shared" si="21"/>
        <v>8.9632558564739003E-3</v>
      </c>
      <c r="AF56" s="22">
        <f t="shared" si="21"/>
        <v>1.070038135610266E-2</v>
      </c>
      <c r="AG56" s="22">
        <f t="shared" si="21"/>
        <v>1.2658598800451224E-2</v>
      </c>
      <c r="AH56" s="22">
        <f t="shared" si="21"/>
        <v>1.4852865731844111E-2</v>
      </c>
      <c r="AI56" s="22">
        <f t="shared" si="21"/>
        <v>1.7298347979546373E-2</v>
      </c>
      <c r="AJ56" s="22">
        <f t="shared" si="21"/>
        <v>2.0010412424831432E-2</v>
      </c>
      <c r="AK56" s="22">
        <f t="shared" si="21"/>
        <v>2.3004620337668917E-2</v>
      </c>
      <c r="AL56" s="22">
        <f t="shared" si="21"/>
        <v>2.6296721216748455E-2</v>
      </c>
      <c r="AM56" s="22">
        <f t="shared" si="21"/>
        <v>2.990264707524511E-2</v>
      </c>
      <c r="AN56" s="22">
        <f t="shared" si="21"/>
        <v>3.3838507123384313E-2</v>
      </c>
      <c r="AO56" s="22">
        <f t="shared" si="21"/>
        <v>3.8120582805929587E-2</v>
      </c>
      <c r="AP56" s="22">
        <f t="shared" si="21"/>
        <v>4.27653231585364E-2</v>
      </c>
      <c r="AQ56" s="22">
        <f t="shared" si="21"/>
        <v>4.7789340451745495E-2</v>
      </c>
      <c r="AR56" s="22">
        <f t="shared" si="25"/>
        <v>5.320940609542623E-2</v>
      </c>
      <c r="AS56" s="22">
        <f t="shared" si="25"/>
        <v>5.9042446779878008E-2</v>
      </c>
      <c r="AT56" s="22">
        <f t="shared" si="25"/>
        <v>6.5305540832673967E-2</v>
      </c>
      <c r="AU56" s="22">
        <f t="shared" si="25"/>
        <v>7.2015914772779438E-2</v>
      </c>
      <c r="AV56" s="22">
        <f t="shared" si="25"/>
        <v>7.9190940045573741E-2</v>
      </c>
      <c r="AW56" s="22">
        <f t="shared" si="25"/>
        <v>8.6848129924207734E-2</v>
      </c>
      <c r="AX56" s="22">
        <f t="shared" si="25"/>
        <v>9.5005136564286691E-2</v>
      </c>
      <c r="AY56" s="22">
        <f t="shared" si="25"/>
        <v>0.10367974820022169</v>
      </c>
      <c r="AZ56" s="22">
        <f t="shared" si="25"/>
        <v>0.11288988647277823</v>
      </c>
      <c r="BA56" s="22">
        <f t="shared" si="25"/>
        <v>0.1226536038785256</v>
      </c>
      <c r="BB56" s="22">
        <f t="shared" si="25"/>
        <v>0.13298908133596277</v>
      </c>
      <c r="BC56" s="22">
        <f t="shared" si="25"/>
        <v>0.14391462592814666</v>
      </c>
      <c r="BD56" s="22">
        <f t="shared" si="25"/>
        <v>0.15544867009603458</v>
      </c>
      <c r="BE56" s="22">
        <f t="shared" si="25"/>
        <v>0.16760979495190154</v>
      </c>
      <c r="BF56" s="22">
        <f t="shared" si="25"/>
        <v>0.18041715344187123</v>
      </c>
      <c r="BG56" s="22">
        <f t="shared" si="25"/>
        <v>0.19389713942381792</v>
      </c>
      <c r="BH56" s="22">
        <f t="shared" si="24"/>
        <v>0.20818198150518413</v>
      </c>
      <c r="BI56" s="22">
        <f t="shared" si="24"/>
        <v>0.22489286314012061</v>
      </c>
      <c r="BJ56" s="22">
        <f t="shared" si="24"/>
        <v>0.22593567735292464</v>
      </c>
      <c r="BK56" s="22">
        <f t="shared" si="24"/>
        <v>0.22701982476693475</v>
      </c>
      <c r="BL56" s="22">
        <f t="shared" si="22"/>
        <v>0.22815087820462199</v>
      </c>
      <c r="BM56" s="22">
        <f t="shared" si="22"/>
        <v>0.22933520724203296</v>
      </c>
      <c r="BN56" s="22">
        <f t="shared" si="22"/>
        <v>0.23058009663613688</v>
      </c>
      <c r="BO56" s="22">
        <f t="shared" si="22"/>
        <v>0.23189388377499787</v>
      </c>
      <c r="BP56" s="22">
        <f t="shared" si="22"/>
        <v>0.23328611861878662</v>
      </c>
      <c r="BQ56" s="22">
        <f t="shared" si="22"/>
        <v>0.23476775034251682</v>
      </c>
      <c r="BR56" s="22">
        <f t="shared" si="22"/>
        <v>0.2363513458207373</v>
      </c>
      <c r="BS56" s="22">
        <f t="shared" si="22"/>
        <v>0.2380513462635476</v>
      </c>
      <c r="BT56" s="22">
        <f t="shared" si="22"/>
        <v>0.23988436979241662</v>
      </c>
      <c r="BU56" s="22">
        <f t="shared" si="22"/>
        <v>0.24186956962634165</v>
      </c>
      <c r="BV56" s="22">
        <f t="shared" si="22"/>
        <v>0.24402905995769833</v>
      </c>
      <c r="BW56" s="22">
        <f t="shared" si="22"/>
        <v>0.24638842469861141</v>
      </c>
      <c r="BX56" s="22">
        <f t="shared" si="20"/>
        <v>0.24897732829658448</v>
      </c>
      <c r="BY56" s="22">
        <f t="shared" si="20"/>
        <v>0.25183025305623991</v>
      </c>
      <c r="BZ56" s="22">
        <f t="shared" si="20"/>
        <v>0.25498739427771366</v>
      </c>
      <c r="CA56" s="22">
        <f t="shared" si="20"/>
        <v>0.25849575360372901</v>
      </c>
      <c r="CB56" s="22">
        <f t="shared" si="20"/>
        <v>0.26241048305106807</v>
      </c>
      <c r="CC56" s="22">
        <f t="shared" si="20"/>
        <v>0.26679654840026207</v>
      </c>
      <c r="CD56" s="22">
        <f t="shared" si="20"/>
        <v>0.27173080250039233</v>
      </c>
      <c r="CE56" s="22">
        <f t="shared" si="20"/>
        <v>0.27730458885227355</v>
      </c>
      <c r="CF56" s="22">
        <f t="shared" si="20"/>
        <v>0.28362703678381584</v>
      </c>
      <c r="CG56" s="22">
        <f t="shared" si="20"/>
        <v>0.29082926630784645</v>
      </c>
      <c r="CH56" s="22">
        <f t="shared" si="20"/>
        <v>0.29906980023347257</v>
      </c>
      <c r="CI56" s="22">
        <f t="shared" si="20"/>
        <v>0.30854159350652172</v>
      </c>
      <c r="CJ56" s="22">
        <f t="shared" si="20"/>
        <v>0.31948125044605108</v>
      </c>
      <c r="CK56" s="22">
        <f t="shared" si="20"/>
        <v>0.33218123290794205</v>
      </c>
      <c r="CL56" s="22">
        <f t="shared" si="20"/>
        <v>0.34700620250979575</v>
      </c>
      <c r="CM56" s="22">
        <f t="shared" si="26"/>
        <v>0.36441514429319571</v>
      </c>
      <c r="CN56" s="22">
        <f t="shared" si="26"/>
        <v>0.38499167707557175</v>
      </c>
      <c r="CO56" s="22">
        <f t="shared" si="26"/>
        <v>0.40948611148514152</v>
      </c>
      <c r="CP56" s="22">
        <f t="shared" si="26"/>
        <v>0.43887460656959332</v>
      </c>
      <c r="CQ56" s="22">
        <f t="shared" si="26"/>
        <v>0.47444359384229634</v>
      </c>
      <c r="CR56" s="22">
        <f t="shared" si="26"/>
        <v>0.51791215266726698</v>
      </c>
      <c r="CS56" s="22">
        <f t="shared" si="26"/>
        <v>0.57161239176042422</v>
      </c>
      <c r="CT56" s="22">
        <f t="shared" si="26"/>
        <v>0.63876016812452086</v>
      </c>
      <c r="CU56" s="22">
        <f t="shared" si="18"/>
        <v>0.7238693653874454</v>
      </c>
      <c r="CV56" s="22">
        <f t="shared" si="18"/>
        <v>0.83339933062222371</v>
      </c>
      <c r="CW56" s="22">
        <f t="shared" si="18"/>
        <v>0.97679000000007343</v>
      </c>
    </row>
    <row r="57" spans="1:101">
      <c r="A57" s="22">
        <v>55</v>
      </c>
      <c r="B57" s="32" t="str">
        <f>データファイル用!$B58</f>
        <v>ASHRAE Composite Wood Siding</v>
      </c>
      <c r="C57" s="32">
        <f>データファイル用!K58</f>
        <v>1</v>
      </c>
      <c r="D57" s="32">
        <f>データファイル用!L58</f>
        <v>0.56679000000000002</v>
      </c>
      <c r="E57" s="32">
        <f>データファイル用!M58</f>
        <v>2.2326999999999999</v>
      </c>
      <c r="F57" s="32">
        <f>データファイル用!N58</f>
        <v>-1.1978</v>
      </c>
      <c r="G57" s="32">
        <f>データファイル用!O58</f>
        <v>113.08</v>
      </c>
      <c r="H57" s="32">
        <f>データファイル用!P58</f>
        <v>0</v>
      </c>
      <c r="I57" s="35">
        <f>データファイル用!Q58</f>
        <v>0</v>
      </c>
      <c r="J57" s="32">
        <f t="shared" si="2"/>
        <v>0.18475775206865863</v>
      </c>
      <c r="K57" s="32">
        <f t="shared" si="3"/>
        <v>0</v>
      </c>
      <c r="L57" s="53" t="str">
        <f t="shared" si="4"/>
        <v>N/A</v>
      </c>
      <c r="M57" s="22">
        <f t="shared" si="23"/>
        <v>0</v>
      </c>
      <c r="N57" s="22">
        <f t="shared" si="23"/>
        <v>2.7538096672149906E-5</v>
      </c>
      <c r="O57" s="22">
        <f t="shared" si="23"/>
        <v>1.2943257504813589E-4</v>
      </c>
      <c r="P57" s="22">
        <f t="shared" si="23"/>
        <v>3.2003873534632992E-4</v>
      </c>
      <c r="Q57" s="22">
        <f t="shared" si="23"/>
        <v>6.0834965041479841E-4</v>
      </c>
      <c r="R57" s="22">
        <f t="shared" si="23"/>
        <v>1.0012078564973345E-3</v>
      </c>
      <c r="S57" s="22">
        <f t="shared" si="23"/>
        <v>1.5042229724219504E-3</v>
      </c>
      <c r="T57" s="22">
        <f t="shared" si="23"/>
        <v>2.1221902461203367E-3</v>
      </c>
      <c r="U57" s="22">
        <f t="shared" si="23"/>
        <v>2.8593211332013724E-3</v>
      </c>
      <c r="V57" s="22">
        <f t="shared" si="23"/>
        <v>3.7193853061625497E-3</v>
      </c>
      <c r="W57" s="22">
        <f t="shared" si="23"/>
        <v>4.7058049279030765E-3</v>
      </c>
      <c r="X57" s="22">
        <f t="shared" si="23"/>
        <v>5.8217207299425047E-3</v>
      </c>
      <c r="Y57" s="22">
        <f t="shared" si="23"/>
        <v>7.0700402821969634E-3</v>
      </c>
      <c r="Z57" s="22">
        <f t="shared" si="23"/>
        <v>8.4534744209599604E-3</v>
      </c>
      <c r="AA57" s="22">
        <f t="shared" si="23"/>
        <v>9.9745654744245599E-3</v>
      </c>
      <c r="AB57" s="22">
        <f t="shared" si="23"/>
        <v>1.1635709614465545E-2</v>
      </c>
      <c r="AC57" s="22">
        <f t="shared" si="21"/>
        <v>1.3439174884373545E-2</v>
      </c>
      <c r="AD57" s="22">
        <f t="shared" si="21"/>
        <v>1.5387115968147489E-2</v>
      </c>
      <c r="AE57" s="22">
        <f t="shared" si="21"/>
        <v>1.7481586454726989E-2</v>
      </c>
      <c r="AF57" s="22">
        <f t="shared" si="21"/>
        <v>1.9724549142679116E-2</v>
      </c>
      <c r="AG57" s="22">
        <f t="shared" si="21"/>
        <v>2.2117884788627681E-2</v>
      </c>
      <c r="AH57" s="22">
        <f t="shared" si="21"/>
        <v>2.466339960305055E-2</v>
      </c>
      <c r="AI57" s="22">
        <f t="shared" si="21"/>
        <v>2.7362831725753586E-2</v>
      </c>
      <c r="AJ57" s="22">
        <f t="shared" si="21"/>
        <v>3.0217856861337818E-2</v>
      </c>
      <c r="AK57" s="22">
        <f t="shared" si="21"/>
        <v>3.3230093216437294E-2</v>
      </c>
      <c r="AL57" s="22">
        <f t="shared" si="21"/>
        <v>3.6401105851507895E-2</v>
      </c>
      <c r="AM57" s="22">
        <f t="shared" si="21"/>
        <v>3.973241053783319E-2</v>
      </c>
      <c r="AN57" s="22">
        <f t="shared" si="21"/>
        <v>4.3225477193339169E-2</v>
      </c>
      <c r="AO57" s="22">
        <f t="shared" si="21"/>
        <v>4.6881732957480098E-2</v>
      </c>
      <c r="AP57" s="22">
        <f t="shared" si="21"/>
        <v>5.0702564954941638E-2</v>
      </c>
      <c r="AQ57" s="22">
        <f t="shared" si="21"/>
        <v>5.4689322789535116E-2</v>
      </c>
      <c r="AR57" s="22">
        <f t="shared" si="25"/>
        <v>5.8843320802930428E-2</v>
      </c>
      <c r="AS57" s="22">
        <f t="shared" si="25"/>
        <v>6.3165840127428888E-2</v>
      </c>
      <c r="AT57" s="22">
        <f t="shared" si="25"/>
        <v>6.7658130557534113E-2</v>
      </c>
      <c r="AU57" s="22">
        <f t="shared" si="25"/>
        <v>7.2321412261428311E-2</v>
      </c>
      <c r="AV57" s="22">
        <f t="shared" si="25"/>
        <v>7.7156877350442313E-2</v>
      </c>
      <c r="AW57" s="22">
        <f t="shared" si="25"/>
        <v>8.2165691322096696E-2</v>
      </c>
      <c r="AX57" s="22">
        <f t="shared" si="25"/>
        <v>8.7348994390189907E-2</v>
      </c>
      <c r="AY57" s="22">
        <f t="shared" si="25"/>
        <v>9.2707902713642723E-2</v>
      </c>
      <c r="AZ57" s="22">
        <f t="shared" si="25"/>
        <v>9.8243509534364587E-2</v>
      </c>
      <c r="BA57" s="22">
        <f t="shared" si="25"/>
        <v>0.10395688623400783</v>
      </c>
      <c r="BB57" s="22">
        <f t="shared" si="25"/>
        <v>0.10984908333292874</v>
      </c>
      <c r="BC57" s="22">
        <f t="shared" si="25"/>
        <v>0.11592113167949197</v>
      </c>
      <c r="BD57" s="22">
        <f t="shared" si="25"/>
        <v>0.12217404735865697</v>
      </c>
      <c r="BE57" s="22">
        <f t="shared" si="25"/>
        <v>0.12860888863015563</v>
      </c>
      <c r="BF57" s="22">
        <f t="shared" si="25"/>
        <v>0.13522748854383054</v>
      </c>
      <c r="BG57" s="22">
        <f t="shared" si="25"/>
        <v>0.14204146486932082</v>
      </c>
      <c r="BH57" s="22">
        <f t="shared" si="24"/>
        <v>0.14917726942737763</v>
      </c>
      <c r="BI57" s="22">
        <f t="shared" si="24"/>
        <v>0.15804705217066112</v>
      </c>
      <c r="BJ57" s="22">
        <f t="shared" si="24"/>
        <v>0.15864952160031162</v>
      </c>
      <c r="BK57" s="22">
        <f t="shared" si="24"/>
        <v>0.15928306486337598</v>
      </c>
      <c r="BL57" s="22">
        <f t="shared" si="22"/>
        <v>0.15995162285215905</v>
      </c>
      <c r="BM57" s="22">
        <f t="shared" si="22"/>
        <v>0.16065965469127583</v>
      </c>
      <c r="BN57" s="22">
        <f t="shared" si="22"/>
        <v>0.16141220939967396</v>
      </c>
      <c r="BO57" s="22">
        <f t="shared" si="22"/>
        <v>0.16221500844831371</v>
      </c>
      <c r="BP57" s="22">
        <f t="shared" si="22"/>
        <v>0.16307454112443462</v>
      </c>
      <c r="BQ57" s="22">
        <f t="shared" si="22"/>
        <v>0.16399817500895469</v>
      </c>
      <c r="BR57" s="22">
        <f t="shared" si="22"/>
        <v>0.16499428436444011</v>
      </c>
      <c r="BS57" s="22">
        <f t="shared" si="22"/>
        <v>0.16607239984312119</v>
      </c>
      <c r="BT57" s="22">
        <f t="shared" si="22"/>
        <v>0.16724338369125857</v>
      </c>
      <c r="BU57" s="22">
        <f t="shared" si="22"/>
        <v>0.16851963559173475</v>
      </c>
      <c r="BV57" s="22">
        <f t="shared" si="22"/>
        <v>0.16991533550877705</v>
      </c>
      <c r="BW57" s="22">
        <f t="shared" si="22"/>
        <v>0.17144673145345402</v>
      </c>
      <c r="BX57" s="22">
        <f t="shared" si="20"/>
        <v>0.17313248207729309</v>
      </c>
      <c r="BY57" s="22">
        <f t="shared" si="20"/>
        <v>0.17499406655940355</v>
      </c>
      <c r="BZ57" s="22">
        <f t="shared" si="20"/>
        <v>0.1770562775619319</v>
      </c>
      <c r="CA57" s="22">
        <f t="shared" si="20"/>
        <v>0.17934781733608807</v>
      </c>
      <c r="CB57" s="22">
        <f t="shared" si="20"/>
        <v>0.18190202270263761</v>
      </c>
      <c r="CC57" s="22">
        <f t="shared" si="20"/>
        <v>0.1847577520686603</v>
      </c>
      <c r="CD57" s="22">
        <f t="shared" si="20"/>
        <v>0.18796047751621042</v>
      </c>
      <c r="CE57" s="22">
        <f t="shared" si="20"/>
        <v>0.19156363820118902</v>
      </c>
      <c r="CF57" s="22">
        <f t="shared" si="20"/>
        <v>0.19563032908923159</v>
      </c>
      <c r="CG57" s="22">
        <f t="shared" si="20"/>
        <v>0.20023542321503396</v>
      </c>
      <c r="CH57" s="22">
        <f t="shared" si="20"/>
        <v>0.20546825874169183</v>
      </c>
      <c r="CI57" s="22">
        <f t="shared" si="20"/>
        <v>0.21143606782242935</v>
      </c>
      <c r="CJ57" s="22">
        <f t="shared" si="20"/>
        <v>0.21826838804738535</v>
      </c>
      <c r="CK57" s="22">
        <f t="shared" si="20"/>
        <v>0.22612278710366077</v>
      </c>
      <c r="CL57" s="22">
        <f t="shared" si="20"/>
        <v>0.23519235916426662</v>
      </c>
      <c r="CM57" s="22">
        <f t="shared" si="26"/>
        <v>0.24571563557046455</v>
      </c>
      <c r="CN57" s="22">
        <f t="shared" si="26"/>
        <v>0.25798982033940504</v>
      </c>
      <c r="CO57" s="22">
        <f t="shared" si="26"/>
        <v>0.27238865599861617</v>
      </c>
      <c r="CP57" s="22">
        <f t="shared" si="26"/>
        <v>0.28938681502742536</v>
      </c>
      <c r="CQ57" s="22">
        <f t="shared" si="26"/>
        <v>0.30959360506386008</v>
      </c>
      <c r="CR57" s="22">
        <f t="shared" si="26"/>
        <v>0.33380014765984067</v>
      </c>
      <c r="CS57" s="22">
        <f t="shared" si="26"/>
        <v>0.36304633034083428</v>
      </c>
      <c r="CT57" s="22">
        <f t="shared" si="26"/>
        <v>0.39871722591409603</v>
      </c>
      <c r="CU57" s="22">
        <f t="shared" si="18"/>
        <v>0.44268415167945063</v>
      </c>
      <c r="CV57" s="22">
        <f t="shared" si="18"/>
        <v>0.49751455144680234</v>
      </c>
      <c r="CW57" s="22">
        <f t="shared" si="18"/>
        <v>0.56679000000003465</v>
      </c>
    </row>
    <row r="58" spans="1:101">
      <c r="A58" s="22">
        <v>56</v>
      </c>
      <c r="B58" s="32" t="str">
        <f>データファイル用!$B59</f>
        <v>ASHRAE Clay Brick</v>
      </c>
      <c r="C58" s="32">
        <f>データファイル用!K59</f>
        <v>1</v>
      </c>
      <c r="D58" s="32">
        <f>データファイル用!L59</f>
        <v>8.8002999999999998E-2</v>
      </c>
      <c r="E58" s="32">
        <f>データファイル用!M59</f>
        <v>4.5107999999999997</v>
      </c>
      <c r="F58" s="32">
        <f>データファイル用!N59</f>
        <v>-2.3555000000000001</v>
      </c>
      <c r="G58" s="32">
        <f>データファイル用!O59</f>
        <v>26.058</v>
      </c>
      <c r="H58" s="32">
        <f>データファイル用!P59</f>
        <v>0</v>
      </c>
      <c r="I58" s="35">
        <f>データファイル用!Q59</f>
        <v>0</v>
      </c>
      <c r="J58" s="32">
        <f t="shared" si="2"/>
        <v>3.0634938577449103E-2</v>
      </c>
      <c r="K58" s="32">
        <f t="shared" si="3"/>
        <v>0</v>
      </c>
      <c r="L58" s="53" t="str">
        <f t="shared" si="4"/>
        <v>N/A</v>
      </c>
      <c r="M58" s="22">
        <f t="shared" si="23"/>
        <v>0</v>
      </c>
      <c r="N58" s="22">
        <f t="shared" si="23"/>
        <v>1.8105183452660822E-10</v>
      </c>
      <c r="O58" s="22">
        <f t="shared" si="23"/>
        <v>4.1275185537438784E-9</v>
      </c>
      <c r="P58" s="22">
        <f t="shared" si="23"/>
        <v>2.5704045747910932E-8</v>
      </c>
      <c r="Q58" s="22">
        <f t="shared" si="23"/>
        <v>9.4096861575827765E-8</v>
      </c>
      <c r="R58" s="22">
        <f t="shared" si="23"/>
        <v>2.5746418557706636E-7</v>
      </c>
      <c r="S58" s="22">
        <f t="shared" si="23"/>
        <v>5.8598647181999008E-7</v>
      </c>
      <c r="T58" s="22">
        <f t="shared" si="23"/>
        <v>1.1745490788526425E-6</v>
      </c>
      <c r="U58" s="22">
        <f t="shared" si="23"/>
        <v>2.1451676699040541E-6</v>
      </c>
      <c r="V58" s="22">
        <f t="shared" si="23"/>
        <v>3.6492199570261771E-6</v>
      </c>
      <c r="W58" s="22">
        <f t="shared" si="23"/>
        <v>5.8695246346024679E-6</v>
      </c>
      <c r="X58" s="22">
        <f t="shared" si="23"/>
        <v>9.0222956418516702E-6</v>
      </c>
      <c r="Y58" s="22">
        <f t="shared" si="23"/>
        <v>1.3358992141692246E-5</v>
      </c>
      <c r="Z58" s="22">
        <f t="shared" si="23"/>
        <v>1.9168079559010316E-5</v>
      </c>
      <c r="AA58" s="22">
        <f t="shared" si="23"/>
        <v>2.6776713574446685E-5</v>
      </c>
      <c r="AB58" s="22">
        <f t="shared" ref="AB58:AQ81" si="27">IF($C58=2,IF(AB$2&lt;=$O$1,$D58*IF(AND(AB$2=0,$E58=0),1,AB$2^$E58)*EXP($F58*(1-IF(AND(AB$2=0,$G58=0),1,AB$2^$G58))),($H58-$I58)*(AB$2-$O$1)/(1-$O$1)+$I58),$D58*IF(AND(AB$2=0,$E58=0),1,AB$2^$E58)*EXP($F58*(1-IF(AND(AB$2=0,$G58=0),1,AB$2^$G58))))</f>
        <v>3.6552356521686182E-5</v>
      </c>
      <c r="AC58" s="22">
        <f t="shared" si="27"/>
        <v>4.8904333842151187E-5</v>
      </c>
      <c r="AD58" s="22">
        <f t="shared" si="27"/>
        <v>6.4285336901667058E-5</v>
      </c>
      <c r="AE58" s="22">
        <f t="shared" si="27"/>
        <v>8.3192877436443028E-5</v>
      </c>
      <c r="AF58" s="22">
        <f t="shared" si="27"/>
        <v>1.0617069808363469E-4</v>
      </c>
      <c r="AG58" s="22">
        <f t="shared" si="27"/>
        <v>1.3381014280667241E-4</v>
      </c>
      <c r="AH58" s="22">
        <f t="shared" si="27"/>
        <v>1.667514905096807E-4</v>
      </c>
      <c r="AI58" s="22">
        <f t="shared" si="27"/>
        <v>2.0568525473032697E-4</v>
      </c>
      <c r="AJ58" s="22">
        <f t="shared" si="27"/>
        <v>2.5135345201855047E-4</v>
      </c>
      <c r="AK58" s="22">
        <f t="shared" si="27"/>
        <v>3.0455084153122399E-4</v>
      </c>
      <c r="AL58" s="22">
        <f t="shared" si="27"/>
        <v>3.6612613875568368E-4</v>
      </c>
      <c r="AM58" s="22">
        <f t="shared" si="27"/>
        <v>4.3698320781359885E-4</v>
      </c>
      <c r="AN58" s="22">
        <f t="shared" si="27"/>
        <v>5.1808224126115093E-4</v>
      </c>
      <c r="AO58" s="22">
        <f t="shared" si="27"/>
        <v>6.1044094800084337E-4</v>
      </c>
      <c r="AP58" s="22">
        <f t="shared" si="27"/>
        <v>7.1513579895560121E-4</v>
      </c>
      <c r="AQ58" s="22">
        <f t="shared" si="27"/>
        <v>8.3330344942667554E-4</v>
      </c>
      <c r="AR58" s="22">
        <f t="shared" si="25"/>
        <v>9.6614261690552397E-4</v>
      </c>
      <c r="AS58" s="22">
        <f t="shared" si="25"/>
        <v>1.1149170511143077E-3</v>
      </c>
      <c r="AT58" s="22">
        <f t="shared" si="25"/>
        <v>1.2809610131442521E-3</v>
      </c>
      <c r="AU58" s="22">
        <f t="shared" si="25"/>
        <v>1.4656903377828223E-3</v>
      </c>
      <c r="AV58" s="22">
        <f t="shared" si="25"/>
        <v>1.6706255922053733E-3</v>
      </c>
      <c r="AW58" s="22">
        <f t="shared" si="25"/>
        <v>1.8974408306433879E-3</v>
      </c>
      <c r="AX58" s="22">
        <f t="shared" si="25"/>
        <v>2.1480653751108423E-3</v>
      </c>
      <c r="AY58" s="22">
        <f t="shared" si="25"/>
        <v>2.4248934185418466E-3</v>
      </c>
      <c r="AZ58" s="22">
        <f t="shared" si="25"/>
        <v>2.7312095320714547E-3</v>
      </c>
      <c r="BA58" s="22">
        <f t="shared" si="25"/>
        <v>3.0720420148760549E-3</v>
      </c>
      <c r="BB58" s="22">
        <f t="shared" si="25"/>
        <v>3.4558619035734545E-3</v>
      </c>
      <c r="BC58" s="22">
        <f t="shared" si="25"/>
        <v>3.8979704173716665E-3</v>
      </c>
      <c r="BD58" s="22">
        <f t="shared" si="25"/>
        <v>4.4273582515483197E-3</v>
      </c>
      <c r="BE58" s="22">
        <f t="shared" si="25"/>
        <v>5.101117417620581E-3</v>
      </c>
      <c r="BF58" s="22">
        <f t="shared" si="25"/>
        <v>6.0368013048417339E-3</v>
      </c>
      <c r="BG58" s="22">
        <f t="shared" si="25"/>
        <v>7.4929141923955542E-3</v>
      </c>
      <c r="BH58" s="22">
        <f t="shared" si="24"/>
        <v>1.0099579483782433E-2</v>
      </c>
      <c r="BI58" s="22">
        <f t="shared" si="24"/>
        <v>1.5654550888742642E-2</v>
      </c>
      <c r="BJ58" s="22">
        <f t="shared" si="24"/>
        <v>1.6083873282081464E-2</v>
      </c>
      <c r="BK58" s="22">
        <f t="shared" si="24"/>
        <v>1.6534652817623289E-2</v>
      </c>
      <c r="BL58" s="22">
        <f t="shared" si="22"/>
        <v>1.7008281272793666E-2</v>
      </c>
      <c r="BM58" s="22">
        <f t="shared" si="22"/>
        <v>1.7506259082731266E-2</v>
      </c>
      <c r="BN58" s="22">
        <f t="shared" si="22"/>
        <v>1.8030205216599815E-2</v>
      </c>
      <c r="BO58" s="22">
        <f t="shared" si="22"/>
        <v>1.8581868073133175E-2</v>
      </c>
      <c r="BP58" s="22">
        <f t="shared" si="22"/>
        <v>1.9163137512750655E-2</v>
      </c>
      <c r="BQ58" s="22">
        <f t="shared" si="22"/>
        <v>1.977605815845707E-2</v>
      </c>
      <c r="BR58" s="22">
        <f t="shared" si="22"/>
        <v>2.0422844114677527E-2</v>
      </c>
      <c r="BS58" s="22">
        <f t="shared" si="22"/>
        <v>2.1105895272477533E-2</v>
      </c>
      <c r="BT58" s="22">
        <f t="shared" si="22"/>
        <v>2.1827815391642545E-2</v>
      </c>
      <c r="BU58" s="22">
        <f t="shared" si="22"/>
        <v>2.2591432175252526E-2</v>
      </c>
      <c r="BV58" s="22">
        <f t="shared" si="22"/>
        <v>2.3399819581171086E-2</v>
      </c>
      <c r="BW58" s="22">
        <f t="shared" si="22"/>
        <v>2.4256322647837902E-2</v>
      </c>
      <c r="BX58" s="22">
        <f t="shared" si="20"/>
        <v>2.5164585149566428E-2</v>
      </c>
      <c r="BY58" s="22">
        <f t="shared" si="20"/>
        <v>2.6128580439975246E-2</v>
      </c>
      <c r="BZ58" s="22">
        <f t="shared" si="20"/>
        <v>2.7152645892120943E-2</v>
      </c>
      <c r="CA58" s="22">
        <f t="shared" si="20"/>
        <v>2.8241521401409852E-2</v>
      </c>
      <c r="CB58" s="22">
        <f t="shared" si="20"/>
        <v>2.9400392483682619E-2</v>
      </c>
      <c r="CC58" s="22">
        <f t="shared" si="20"/>
        <v>3.0634938577449807E-2</v>
      </c>
      <c r="CD58" s="22">
        <f t="shared" si="20"/>
        <v>3.1951387247820873E-2</v>
      </c>
      <c r="CE58" s="22">
        <f t="shared" si="20"/>
        <v>3.3356575092240347E-2</v>
      </c>
      <c r="CF58" s="22">
        <f t="shared" si="20"/>
        <v>3.485801626711215E-2</v>
      </c>
      <c r="CG58" s="22">
        <f t="shared" si="20"/>
        <v>3.6463979692586267E-2</v>
      </c>
      <c r="CH58" s="22">
        <f t="shared" si="20"/>
        <v>3.8183576153552855E-2</v>
      </c>
      <c r="CI58" s="22">
        <f t="shared" si="20"/>
        <v>4.0026856702217013E-2</v>
      </c>
      <c r="CJ58" s="22">
        <f t="shared" si="20"/>
        <v>4.2004923986244919E-2</v>
      </c>
      <c r="CK58" s="22">
        <f t="shared" si="20"/>
        <v>4.4130058382013733E-2</v>
      </c>
      <c r="CL58" s="22">
        <f t="shared" si="20"/>
        <v>4.6415861111688134E-2</v>
      </c>
      <c r="CM58" s="22">
        <f t="shared" si="26"/>
        <v>4.8877416873721359E-2</v>
      </c>
      <c r="CN58" s="22">
        <f t="shared" si="26"/>
        <v>5.1531478928560262E-2</v>
      </c>
      <c r="CO58" s="22">
        <f t="shared" si="26"/>
        <v>5.439668006636373E-2</v>
      </c>
      <c r="CP58" s="22">
        <f t="shared" si="26"/>
        <v>5.7493773455290567E-2</v>
      </c>
      <c r="CQ58" s="22">
        <f t="shared" si="26"/>
        <v>6.0845908044074221E-2</v>
      </c>
      <c r="CR58" s="22">
        <f t="shared" si="26"/>
        <v>6.4478943991317456E-2</v>
      </c>
      <c r="CS58" s="22">
        <f t="shared" si="26"/>
        <v>6.8421814540551712E-2</v>
      </c>
      <c r="CT58" s="22">
        <f t="shared" si="26"/>
        <v>7.2706941884085732E-2</v>
      </c>
      <c r="CU58" s="22">
        <f t="shared" si="18"/>
        <v>7.7370715895777736E-2</v>
      </c>
      <c r="CV58" s="22">
        <f t="shared" si="18"/>
        <v>8.2454046206581491E-2</v>
      </c>
      <c r="CW58" s="22">
        <f t="shared" si="18"/>
        <v>8.8003000000002565E-2</v>
      </c>
    </row>
    <row r="59" spans="1:101">
      <c r="A59" s="22">
        <v>57</v>
      </c>
      <c r="B59" s="32" t="str">
        <f>データファイル用!$B60</f>
        <v>ASHRAE Mortar</v>
      </c>
      <c r="C59" s="32">
        <f>データファイル用!K60</f>
        <v>1</v>
      </c>
      <c r="D59" s="32">
        <f>データファイル用!L60</f>
        <v>0.24457999999999999</v>
      </c>
      <c r="E59" s="32">
        <f>データファイル用!M60</f>
        <v>1.7562</v>
      </c>
      <c r="F59" s="32">
        <f>データファイル用!N60</f>
        <v>-1.3651</v>
      </c>
      <c r="G59" s="32">
        <f>データファイル用!O60</f>
        <v>24.411999999999999</v>
      </c>
      <c r="H59" s="32">
        <f>データファイル用!P60</f>
        <v>0</v>
      </c>
      <c r="I59" s="35">
        <f>データファイル用!Q60</f>
        <v>0</v>
      </c>
      <c r="J59" s="32">
        <f t="shared" si="2"/>
        <v>0.13873927789716084</v>
      </c>
      <c r="K59" s="32">
        <f t="shared" si="3"/>
        <v>0</v>
      </c>
      <c r="L59" s="53" t="str">
        <f t="shared" si="4"/>
        <v>N/A</v>
      </c>
      <c r="M59" s="22">
        <f t="shared" ref="M59:AB81" si="28">IF($C59=2,IF(M$2&lt;=$O$1,$D59*IF(AND(M$2=0,$E59=0),1,M$2^$E59)*EXP($F59*(1-IF(AND(M$2=0,$G59=0),1,M$2^$G59))),($H59-$I59)*(M$2-$O$1)/(1-$O$1)+$I59),$D59*IF(AND(M$2=0,$E59=0),1,M$2^$E59)*EXP($F59*(1-IF(AND(M$2=0,$G59=0),1,M$2^$G59))))</f>
        <v>0</v>
      </c>
      <c r="N59" s="22">
        <f t="shared" si="28"/>
        <v>6.4838718368561121E-5</v>
      </c>
      <c r="O59" s="22">
        <f t="shared" si="28"/>
        <v>2.1902984719896995E-4</v>
      </c>
      <c r="P59" s="22">
        <f t="shared" si="28"/>
        <v>4.4643143699767726E-4</v>
      </c>
      <c r="Q59" s="22">
        <f t="shared" si="28"/>
        <v>7.3989855399834081E-4</v>
      </c>
      <c r="R59" s="22">
        <f t="shared" si="28"/>
        <v>1.0948775312925754E-3</v>
      </c>
      <c r="S59" s="22">
        <f t="shared" si="28"/>
        <v>1.5080774557356162E-3</v>
      </c>
      <c r="T59" s="22">
        <f t="shared" si="28"/>
        <v>1.9769496093059039E-3</v>
      </c>
      <c r="U59" s="22">
        <f t="shared" si="28"/>
        <v>2.4994304530173241E-3</v>
      </c>
      <c r="V59" s="22">
        <f t="shared" si="28"/>
        <v>3.0737965363061216E-3</v>
      </c>
      <c r="W59" s="22">
        <f t="shared" si="28"/>
        <v>3.6985749319942908E-3</v>
      </c>
      <c r="X59" s="22">
        <f t="shared" si="28"/>
        <v>4.3724842669258784E-3</v>
      </c>
      <c r="Y59" s="22">
        <f t="shared" si="28"/>
        <v>5.0943939517186006E-3</v>
      </c>
      <c r="Z59" s="22">
        <f t="shared" si="28"/>
        <v>5.8632948882916675E-3</v>
      </c>
      <c r="AA59" s="22">
        <f t="shared" si="28"/>
        <v>6.6782777596713187E-3</v>
      </c>
      <c r="AB59" s="22">
        <f t="shared" si="28"/>
        <v>7.5385165211490496E-3</v>
      </c>
      <c r="AC59" s="22">
        <f t="shared" si="27"/>
        <v>8.4432555729680222E-3</v>
      </c>
      <c r="AD59" s="22">
        <f t="shared" si="27"/>
        <v>9.3917996085942073E-3</v>
      </c>
      <c r="AE59" s="22">
        <f t="shared" si="27"/>
        <v>1.0383505452011589E-2</v>
      </c>
      <c r="AF59" s="22">
        <f t="shared" si="27"/>
        <v>1.1417775402997411E-2</v>
      </c>
      <c r="AG59" s="22">
        <f t="shared" si="27"/>
        <v>1.249405174570581E-2</v>
      </c>
      <c r="AH59" s="22">
        <f t="shared" si="27"/>
        <v>1.3611812169122066E-2</v>
      </c>
      <c r="AI59" s="22">
        <f t="shared" si="27"/>
        <v>1.4770565914107641E-2</v>
      </c>
      <c r="AJ59" s="22">
        <f t="shared" si="27"/>
        <v>1.5969850511975543E-2</v>
      </c>
      <c r="AK59" s="22">
        <f t="shared" si="27"/>
        <v>1.7209229023671248E-2</v>
      </c>
      <c r="AL59" s="22">
        <f t="shared" si="27"/>
        <v>1.8488287739175373E-2</v>
      </c>
      <c r="AM59" s="22">
        <f t="shared" si="27"/>
        <v>1.9806634374764747E-2</v>
      </c>
      <c r="AN59" s="22">
        <f t="shared" si="27"/>
        <v>2.1163896951475702E-2</v>
      </c>
      <c r="AO59" s="22">
        <f t="shared" si="27"/>
        <v>2.2559723830289743E-2</v>
      </c>
      <c r="AP59" s="22">
        <f t="shared" si="27"/>
        <v>2.3993785971117589E-2</v>
      </c>
      <c r="AQ59" s="22">
        <f t="shared" si="27"/>
        <v>2.5465783664556627E-2</v>
      </c>
      <c r="AR59" s="22">
        <f t="shared" si="25"/>
        <v>2.6975462299181553E-2</v>
      </c>
      <c r="AS59" s="22">
        <f t="shared" si="25"/>
        <v>2.8522646159180272E-2</v>
      </c>
      <c r="AT59" s="22">
        <f t="shared" si="25"/>
        <v>3.0107307558178475E-2</v>
      </c>
      <c r="AU59" s="22">
        <f t="shared" si="25"/>
        <v>3.1729703891167305E-2</v>
      </c>
      <c r="AV59" s="22">
        <f t="shared" si="25"/>
        <v>3.3390642753049871E-2</v>
      </c>
      <c r="AW59" s="22">
        <f t="shared" si="25"/>
        <v>3.5091984214028295E-2</v>
      </c>
      <c r="AX59" s="22">
        <f t="shared" si="25"/>
        <v>3.6837575079361411E-2</v>
      </c>
      <c r="AY59" s="22">
        <f t="shared" si="25"/>
        <v>3.8634958825833648E-2</v>
      </c>
      <c r="AZ59" s="22">
        <f t="shared" si="25"/>
        <v>4.0498462919735717E-2</v>
      </c>
      <c r="BA59" s="22">
        <f t="shared" si="25"/>
        <v>4.2454716697420215E-2</v>
      </c>
      <c r="BB59" s="22">
        <f t="shared" si="25"/>
        <v>4.4552464184487064E-2</v>
      </c>
      <c r="BC59" s="22">
        <f t="shared" si="25"/>
        <v>4.6880066522184814E-2</v>
      </c>
      <c r="BD59" s="22">
        <f t="shared" si="25"/>
        <v>4.9597191963367988E-2</v>
      </c>
      <c r="BE59" s="22">
        <f t="shared" si="25"/>
        <v>5.2994077840530812E-2</v>
      </c>
      <c r="BF59" s="22">
        <f t="shared" si="25"/>
        <v>5.7608601605933653E-2</v>
      </c>
      <c r="BG59" s="22">
        <f t="shared" si="25"/>
        <v>6.4476983458243195E-2</v>
      </c>
      <c r="BH59" s="22">
        <f t="shared" si="24"/>
        <v>7.5731154370538081E-2</v>
      </c>
      <c r="BI59" s="22">
        <f t="shared" si="24"/>
        <v>9.6224152912300964E-2</v>
      </c>
      <c r="BJ59" s="22">
        <f t="shared" si="24"/>
        <v>9.7658901120231928E-2</v>
      </c>
      <c r="BK59" s="22">
        <f t="shared" si="24"/>
        <v>9.9146566090094243E-2</v>
      </c>
      <c r="BL59" s="22">
        <f t="shared" si="22"/>
        <v>0.10068966747693227</v>
      </c>
      <c r="BM59" s="22">
        <f t="shared" si="22"/>
        <v>0.10229087027687128</v>
      </c>
      <c r="BN59" s="22">
        <f t="shared" si="22"/>
        <v>0.10395299471698534</v>
      </c>
      <c r="BO59" s="22">
        <f t="shared" si="22"/>
        <v>0.10567902691605294</v>
      </c>
      <c r="BP59" s="22">
        <f t="shared" si="22"/>
        <v>0.10747213038361313</v>
      </c>
      <c r="BQ59" s="22">
        <f t="shared" si="22"/>
        <v>0.1093356584312542</v>
      </c>
      <c r="BR59" s="22">
        <f t="shared" si="22"/>
        <v>0.11127316757727936</v>
      </c>
      <c r="BS59" s="22">
        <f t="shared" si="22"/>
        <v>0.11328843203387384</v>
      </c>
      <c r="BT59" s="22">
        <f t="shared" si="22"/>
        <v>0.11538545937473821</v>
      </c>
      <c r="BU59" s="22">
        <f t="shared" si="22"/>
        <v>0.11756850749095092</v>
      </c>
      <c r="BV59" s="22">
        <f t="shared" si="22"/>
        <v>0.11984210295369452</v>
      </c>
      <c r="BW59" s="22">
        <f t="shared" si="22"/>
        <v>0.12221106091454853</v>
      </c>
      <c r="BX59" s="22">
        <f t="shared" si="20"/>
        <v>0.12468050668746579</v>
      </c>
      <c r="BY59" s="22">
        <f t="shared" si="20"/>
        <v>0.12725589917146446</v>
      </c>
      <c r="BZ59" s="22">
        <f t="shared" si="20"/>
        <v>0.12994305628967229</v>
      </c>
      <c r="CA59" s="22">
        <f t="shared" si="20"/>
        <v>0.13274818263885849</v>
      </c>
      <c r="CB59" s="22">
        <f t="shared" si="20"/>
        <v>0.13567789956421417</v>
      </c>
      <c r="CC59" s="22">
        <f t="shared" si="20"/>
        <v>0.13873927789716256</v>
      </c>
      <c r="CD59" s="22">
        <f t="shared" si="20"/>
        <v>0.1419398736196959</v>
      </c>
      <c r="CE59" s="22">
        <f t="shared" si="20"/>
        <v>0.14528776674748486</v>
      </c>
      <c r="CF59" s="22">
        <f t="shared" si="20"/>
        <v>0.14879160375618364</v>
      </c>
      <c r="CG59" s="22">
        <f t="shared" si="20"/>
        <v>0.15246064391139302</v>
      </c>
      <c r="CH59" s="22">
        <f t="shared" si="20"/>
        <v>0.15630480990315568</v>
      </c>
      <c r="CI59" s="22">
        <f t="shared" si="20"/>
        <v>0.16033474323120717</v>
      </c>
      <c r="CJ59" s="22">
        <f t="shared" si="20"/>
        <v>0.16456186483815835</v>
      </c>
      <c r="CK59" s="22">
        <f t="shared" si="20"/>
        <v>0.16899844154507079</v>
      </c>
      <c r="CL59" s="22">
        <f t="shared" si="20"/>
        <v>0.17365765890838117</v>
      </c>
      <c r="CM59" s="22">
        <f t="shared" si="26"/>
        <v>0.17855370118979072</v>
      </c>
      <c r="CN59" s="22">
        <f t="shared" si="26"/>
        <v>0.18370183921270028</v>
      </c>
      <c r="CO59" s="22">
        <f t="shared" si="26"/>
        <v>0.18911852697131221</v>
      </c>
      <c r="CP59" s="22">
        <f t="shared" si="26"/>
        <v>0.19482150796312614</v>
      </c>
      <c r="CQ59" s="22">
        <f t="shared" si="26"/>
        <v>0.20082993233391649</v>
      </c>
      <c r="CR59" s="22">
        <f t="shared" si="26"/>
        <v>0.207164486058354</v>
      </c>
      <c r="CS59" s="22">
        <f t="shared" si="26"/>
        <v>0.21384753353147901</v>
      </c>
      <c r="CT59" s="22">
        <f t="shared" si="26"/>
        <v>0.22090327511884658</v>
      </c>
      <c r="CU59" s="22">
        <f t="shared" si="18"/>
        <v>0.22835792140934955</v>
      </c>
      <c r="CV59" s="22">
        <f t="shared" si="18"/>
        <v>0.23623988613796729</v>
      </c>
      <c r="CW59" s="22">
        <f t="shared" si="18"/>
        <v>0.24458000000000385</v>
      </c>
    </row>
    <row r="60" spans="1:101">
      <c r="A60" s="22">
        <v>58</v>
      </c>
      <c r="B60" s="32" t="str">
        <f>データファイル用!$B61</f>
        <v>ASHRAE Stucco</v>
      </c>
      <c r="C60" s="32">
        <f>データファイル用!K61</f>
        <v>1</v>
      </c>
      <c r="D60" s="32">
        <f>データファイル用!L61</f>
        <v>0.12118</v>
      </c>
      <c r="E60" s="32">
        <f>データファイル用!M61</f>
        <v>0.59931999999999996</v>
      </c>
      <c r="F60" s="32">
        <f>データファイル用!N61</f>
        <v>-0.86068999999999996</v>
      </c>
      <c r="G60" s="32">
        <f>データファイル用!O61</f>
        <v>7.9137000000000004</v>
      </c>
      <c r="H60" s="32">
        <f>データファイル用!P61</f>
        <v>0</v>
      </c>
      <c r="I60" s="35">
        <f>データファイル用!Q61</f>
        <v>0</v>
      </c>
      <c r="J60" s="32">
        <f t="shared" si="2"/>
        <v>0.10542503776551886</v>
      </c>
      <c r="K60" s="32">
        <f t="shared" si="3"/>
        <v>0</v>
      </c>
      <c r="L60" s="53" t="str">
        <f t="shared" si="4"/>
        <v>N/A</v>
      </c>
      <c r="M60" s="22">
        <f t="shared" si="28"/>
        <v>0</v>
      </c>
      <c r="N60" s="22">
        <f t="shared" si="28"/>
        <v>4.9137304342222604E-3</v>
      </c>
      <c r="O60" s="22">
        <f t="shared" si="28"/>
        <v>7.4443129924204442E-3</v>
      </c>
      <c r="P60" s="22">
        <f t="shared" si="28"/>
        <v>9.4920417113471909E-3</v>
      </c>
      <c r="Q60" s="22">
        <f t="shared" si="28"/>
        <v>1.1278151451256909E-2</v>
      </c>
      <c r="R60" s="22">
        <f t="shared" si="28"/>
        <v>1.2891932860307464E-2</v>
      </c>
      <c r="S60" s="22">
        <f t="shared" si="28"/>
        <v>1.4380465821004456E-2</v>
      </c>
      <c r="T60" s="22">
        <f t="shared" si="28"/>
        <v>1.5772318927705753E-2</v>
      </c>
      <c r="U60" s="22">
        <f t="shared" si="28"/>
        <v>1.7086432946561685E-2</v>
      </c>
      <c r="V60" s="22">
        <f t="shared" si="28"/>
        <v>1.8336161519190475E-2</v>
      </c>
      <c r="W60" s="22">
        <f t="shared" si="28"/>
        <v>1.9531357394327837E-2</v>
      </c>
      <c r="X60" s="22">
        <f t="shared" si="28"/>
        <v>2.0679552149903319E-2</v>
      </c>
      <c r="Y60" s="22">
        <f t="shared" si="28"/>
        <v>2.1786671528743824E-2</v>
      </c>
      <c r="Z60" s="22">
        <f t="shared" si="28"/>
        <v>2.2857494584253096E-2</v>
      </c>
      <c r="AA60" s="22">
        <f t="shared" si="28"/>
        <v>2.3895963358886978E-2</v>
      </c>
      <c r="AB60" s="22">
        <f t="shared" si="28"/>
        <v>2.4905401691266864E-2</v>
      </c>
      <c r="AC60" s="22">
        <f t="shared" si="27"/>
        <v>2.5888677250723618E-2</v>
      </c>
      <c r="AD60" s="22">
        <f t="shared" si="27"/>
        <v>2.6848327697212383E-2</v>
      </c>
      <c r="AE60" s="22">
        <f t="shared" si="27"/>
        <v>2.7786664414420865E-2</v>
      </c>
      <c r="AF60" s="22">
        <f t="shared" si="27"/>
        <v>2.8705862902097645E-2</v>
      </c>
      <c r="AG60" s="22">
        <f t="shared" si="27"/>
        <v>2.9608046290655214E-2</v>
      </c>
      <c r="AH60" s="22">
        <f t="shared" si="27"/>
        <v>3.049536684213127E-2</v>
      </c>
      <c r="AI60" s="22">
        <f t="shared" si="27"/>
        <v>3.1370089335434725E-2</v>
      </c>
      <c r="AJ60" s="22">
        <f t="shared" si="27"/>
        <v>3.2234679683048169E-2</v>
      </c>
      <c r="AK60" s="22">
        <f t="shared" si="27"/>
        <v>3.309190187235958E-2</v>
      </c>
      <c r="AL60" s="22">
        <f t="shared" si="27"/>
        <v>3.3944926309295374E-2</v>
      </c>
      <c r="AM60" s="22">
        <f t="shared" si="27"/>
        <v>3.4797452847641026E-2</v>
      </c>
      <c r="AN60" s="22">
        <f t="shared" si="27"/>
        <v>3.5653852229164597E-2</v>
      </c>
      <c r="AO60" s="22">
        <f t="shared" si="27"/>
        <v>3.6519330381932863E-2</v>
      </c>
      <c r="AP60" s="22">
        <f t="shared" si="27"/>
        <v>3.7400121103770848E-2</v>
      </c>
      <c r="AQ60" s="22">
        <f t="shared" si="27"/>
        <v>3.8303714210633083E-2</v>
      </c>
      <c r="AR60" s="22">
        <f t="shared" si="25"/>
        <v>3.9239128423224488E-2</v>
      </c>
      <c r="AS60" s="22">
        <f t="shared" si="25"/>
        <v>4.0217241337992003E-2</v>
      </c>
      <c r="AT60" s="22">
        <f t="shared" si="25"/>
        <v>4.1251193119893823E-2</v>
      </c>
      <c r="AU60" s="22">
        <f t="shared" si="25"/>
        <v>4.2356886549947036E-2</v>
      </c>
      <c r="AV60" s="22">
        <f t="shared" si="25"/>
        <v>4.3553614463013035E-2</v>
      </c>
      <c r="AW60" s="22">
        <f t="shared" si="25"/>
        <v>4.4864857448736167E-2</v>
      </c>
      <c r="AX60" s="22">
        <f t="shared" si="25"/>
        <v>4.6319311485012539E-2</v>
      </c>
      <c r="AY60" s="22">
        <f t="shared" si="25"/>
        <v>4.7952229218046705E-2</v>
      </c>
      <c r="AZ60" s="22">
        <f t="shared" si="25"/>
        <v>4.9807193381378942E-2</v>
      </c>
      <c r="BA60" s="22">
        <f t="shared" si="25"/>
        <v>5.193849173832938E-2</v>
      </c>
      <c r="BB60" s="22">
        <f t="shared" si="25"/>
        <v>5.4414338360412005E-2</v>
      </c>
      <c r="BC60" s="22">
        <f t="shared" si="25"/>
        <v>5.7321299396079953E-2</v>
      </c>
      <c r="BD60" s="22">
        <f t="shared" si="25"/>
        <v>6.0770454312830985E-2</v>
      </c>
      <c r="BE60" s="22">
        <f t="shared" si="25"/>
        <v>6.4906091259748749E-2</v>
      </c>
      <c r="BF60" s="22">
        <f t="shared" si="25"/>
        <v>6.9918156601810652E-2</v>
      </c>
      <c r="BG60" s="22">
        <f t="shared" si="25"/>
        <v>7.6060353752361573E-2</v>
      </c>
      <c r="BH60" s="22">
        <f t="shared" si="24"/>
        <v>8.3676887959548446E-2</v>
      </c>
      <c r="BI60" s="22">
        <f t="shared" si="24"/>
        <v>9.3242686538878392E-2</v>
      </c>
      <c r="BJ60" s="22">
        <f t="shared" si="24"/>
        <v>9.3783082376500723E-2</v>
      </c>
      <c r="BK60" s="22">
        <f t="shared" si="24"/>
        <v>9.433005975270542E-2</v>
      </c>
      <c r="BL60" s="22">
        <f t="shared" si="22"/>
        <v>9.4883719092673041E-2</v>
      </c>
      <c r="BM60" s="22">
        <f t="shared" si="22"/>
        <v>9.5444162643347721E-2</v>
      </c>
      <c r="BN60" s="22">
        <f t="shared" si="22"/>
        <v>9.6011494511744566E-2</v>
      </c>
      <c r="BO60" s="22">
        <f t="shared" si="22"/>
        <v>9.6585820704163911E-2</v>
      </c>
      <c r="BP60" s="22">
        <f t="shared" si="22"/>
        <v>9.7167249166335901E-2</v>
      </c>
      <c r="BQ60" s="22">
        <f t="shared" si="22"/>
        <v>9.7755889824520145E-2</v>
      </c>
      <c r="BR60" s="22">
        <f t="shared" si="22"/>
        <v>9.8351854627585222E-2</v>
      </c>
      <c r="BS60" s="22">
        <f t="shared" si="22"/>
        <v>9.895525759009427E-2</v>
      </c>
      <c r="BT60" s="22">
        <f t="shared" si="22"/>
        <v>9.9566214836422709E-2</v>
      </c>
      <c r="BU60" s="22">
        <f t="shared" si="22"/>
        <v>0.10018484464593594</v>
      </c>
      <c r="BV60" s="22">
        <f t="shared" si="22"/>
        <v>0.1008112674992549</v>
      </c>
      <c r="BW60" s="22">
        <f t="shared" si="22"/>
        <v>0.10144560612563833</v>
      </c>
      <c r="BX60" s="22">
        <f t="shared" si="20"/>
        <v>0.10208798555151188</v>
      </c>
      <c r="BY60" s="22">
        <f t="shared" si="20"/>
        <v>0.10273853315017431</v>
      </c>
      <c r="BZ60" s="22">
        <f t="shared" si="20"/>
        <v>0.10339737869271265</v>
      </c>
      <c r="CA60" s="22">
        <f t="shared" si="20"/>
        <v>0.10406465440015855</v>
      </c>
      <c r="CB60" s="22">
        <f t="shared" si="20"/>
        <v>0.10474049499691955</v>
      </c>
      <c r="CC60" s="22">
        <f t="shared" si="20"/>
        <v>0.10542503776551924</v>
      </c>
      <c r="CD60" s="22">
        <f t="shared" si="20"/>
        <v>0.10611842260268221</v>
      </c>
      <c r="CE60" s="22">
        <f t="shared" si="20"/>
        <v>0.10682079207679979</v>
      </c>
      <c r="CF60" s="22">
        <f t="shared" si="20"/>
        <v>0.10753229148681462</v>
      </c>
      <c r="CG60" s="22">
        <f t="shared" si="20"/>
        <v>0.10825306892256212</v>
      </c>
      <c r="CH60" s="22">
        <f t="shared" si="20"/>
        <v>0.10898327532660937</v>
      </c>
      <c r="CI60" s="22">
        <f t="shared" si="20"/>
        <v>0.10972306455763164</v>
      </c>
      <c r="CJ60" s="22">
        <f t="shared" si="20"/>
        <v>0.11047259345536936</v>
      </c>
      <c r="CK60" s="22">
        <f t="shared" si="20"/>
        <v>0.11123202190720884</v>
      </c>
      <c r="CL60" s="22">
        <f t="shared" si="20"/>
        <v>0.11200151291643123</v>
      </c>
      <c r="CM60" s="22">
        <f t="shared" si="26"/>
        <v>0.11278123267217655</v>
      </c>
      <c r="CN60" s="22">
        <f t="shared" si="26"/>
        <v>0.1135713506211693</v>
      </c>
      <c r="CO60" s="22">
        <f t="shared" si="26"/>
        <v>0.11437203954125577</v>
      </c>
      <c r="CP60" s="22">
        <f t="shared" si="26"/>
        <v>0.11518347561680238</v>
      </c>
      <c r="CQ60" s="22">
        <f t="shared" si="26"/>
        <v>0.11600583851600792</v>
      </c>
      <c r="CR60" s="22">
        <f t="shared" si="26"/>
        <v>0.11683931147018262</v>
      </c>
      <c r="CS60" s="22">
        <f t="shared" si="26"/>
        <v>0.11768408135504951</v>
      </c>
      <c r="CT60" s="22">
        <f t="shared" si="26"/>
        <v>0.11854033877412502</v>
      </c>
      <c r="CU60" s="22">
        <f t="shared" si="18"/>
        <v>0.11940827814423721</v>
      </c>
      <c r="CV60" s="22">
        <f t="shared" si="18"/>
        <v>0.12028809778324211</v>
      </c>
      <c r="CW60" s="22">
        <f t="shared" si="18"/>
        <v>0.1211800000000004</v>
      </c>
    </row>
    <row r="61" spans="1:101">
      <c r="A61" s="22">
        <v>59</v>
      </c>
      <c r="B61" s="32" t="str">
        <f>データファイル用!$B62</f>
        <v>ASHRAE Fibre Cement Board</v>
      </c>
      <c r="C61" s="32">
        <f>データファイル用!K62</f>
        <v>1</v>
      </c>
      <c r="D61" s="32">
        <f>データファイル用!L62</f>
        <v>0.33889000000000002</v>
      </c>
      <c r="E61" s="32">
        <f>データファイル用!M62</f>
        <v>1.4054</v>
      </c>
      <c r="F61" s="32">
        <f>データファイル用!N62</f>
        <v>-0.91218999999999995</v>
      </c>
      <c r="G61" s="32">
        <f>データファイル用!O62</f>
        <v>7.1334999999999997</v>
      </c>
      <c r="H61" s="32">
        <f>データファイル用!P62</f>
        <v>0</v>
      </c>
      <c r="I61" s="35">
        <f>データファイル用!Q62</f>
        <v>0</v>
      </c>
      <c r="J61" s="32">
        <f t="shared" si="2"/>
        <v>0.29144613503079314</v>
      </c>
      <c r="K61" s="32">
        <f t="shared" si="3"/>
        <v>0</v>
      </c>
      <c r="L61" s="53" t="str">
        <f t="shared" si="4"/>
        <v>N/A</v>
      </c>
      <c r="M61" s="22">
        <f t="shared" si="28"/>
        <v>0</v>
      </c>
      <c r="N61" s="22">
        <f t="shared" si="28"/>
        <v>5.5740033614276488E-4</v>
      </c>
      <c r="O61" s="22">
        <f t="shared" si="28"/>
        <v>1.4765045248504836E-3</v>
      </c>
      <c r="P61" s="22">
        <f t="shared" si="28"/>
        <v>2.6104383341904146E-3</v>
      </c>
      <c r="Q61" s="22">
        <f t="shared" si="28"/>
        <v>3.9111308334247421E-3</v>
      </c>
      <c r="R61" s="22">
        <f t="shared" si="28"/>
        <v>5.3517978347341465E-3</v>
      </c>
      <c r="S61" s="22">
        <f t="shared" si="28"/>
        <v>6.9148235199285582E-3</v>
      </c>
      <c r="T61" s="22">
        <f t="shared" si="28"/>
        <v>8.5875312984132479E-3</v>
      </c>
      <c r="U61" s="22">
        <f t="shared" si="28"/>
        <v>1.0360261719692961E-2</v>
      </c>
      <c r="V61" s="22">
        <f t="shared" si="28"/>
        <v>1.222535779036416E-2</v>
      </c>
      <c r="W61" s="22">
        <f t="shared" si="28"/>
        <v>1.4176574897694581E-2</v>
      </c>
      <c r="X61" s="22">
        <f t="shared" si="28"/>
        <v>1.6208714741024512E-2</v>
      </c>
      <c r="Y61" s="22">
        <f t="shared" si="28"/>
        <v>1.8317388949717215E-2</v>
      </c>
      <c r="Z61" s="22">
        <f t="shared" si="28"/>
        <v>2.0498864054135979E-2</v>
      </c>
      <c r="AA61" s="22">
        <f t="shared" si="28"/>
        <v>2.274996155550172E-2</v>
      </c>
      <c r="AB61" s="22">
        <f t="shared" si="28"/>
        <v>2.5067998358212877E-2</v>
      </c>
      <c r="AC61" s="22">
        <f t="shared" si="27"/>
        <v>2.7450759275461995E-2</v>
      </c>
      <c r="AD61" s="22">
        <f t="shared" si="27"/>
        <v>2.9896497168098793E-2</v>
      </c>
      <c r="AE61" s="22">
        <f t="shared" si="27"/>
        <v>3.2403958726895103E-2</v>
      </c>
      <c r="AF61" s="22">
        <f t="shared" si="27"/>
        <v>3.4972435581110135E-2</v>
      </c>
      <c r="AG61" s="22">
        <f t="shared" si="27"/>
        <v>3.7601841655641351E-2</v>
      </c>
      <c r="AH61" s="22">
        <f t="shared" si="27"/>
        <v>4.0292818711231769E-2</v>
      </c>
      <c r="AI61" s="22">
        <f t="shared" si="27"/>
        <v>4.304687292463942E-2</v>
      </c>
      <c r="AJ61" s="22">
        <f t="shared" si="27"/>
        <v>4.5866546304275578E-2</v>
      </c>
      <c r="AK61" s="22">
        <f t="shared" si="27"/>
        <v>4.8755627788057677E-2</v>
      </c>
      <c r="AL61" s="22">
        <f t="shared" si="27"/>
        <v>5.1719410136343139E-2</v>
      </c>
      <c r="AM61" s="22">
        <f t="shared" si="27"/>
        <v>5.4765000334479542E-2</v>
      </c>
      <c r="AN61" s="22">
        <f t="shared" si="27"/>
        <v>5.7901693308622083E-2</v>
      </c>
      <c r="AO61" s="22">
        <f t="shared" si="27"/>
        <v>6.1141421533245505E-2</v>
      </c>
      <c r="AP61" s="22">
        <f t="shared" si="27"/>
        <v>6.4499296833356715E-2</v>
      </c>
      <c r="AQ61" s="22">
        <f t="shared" si="27"/>
        <v>6.7994265715858607E-2</v>
      </c>
      <c r="AR61" s="22">
        <f t="shared" si="25"/>
        <v>7.164990639116342E-2</v>
      </c>
      <c r="AS61" s="22">
        <f t="shared" si="25"/>
        <v>7.5495404943343392E-2</v>
      </c>
      <c r="AT61" s="22">
        <f t="shared" si="25"/>
        <v>7.9566760819212906E-2</v>
      </c>
      <c r="AU61" s="22">
        <f t="shared" si="25"/>
        <v>8.3908289269434527E-2</v>
      </c>
      <c r="AV61" s="22">
        <f t="shared" si="25"/>
        <v>8.8574512499013727E-2</v>
      </c>
      <c r="AW61" s="22">
        <f t="shared" si="25"/>
        <v>9.3632564836300558E-2</v>
      </c>
      <c r="AX61" s="22">
        <f t="shared" si="25"/>
        <v>9.9165284258847519E-2</v>
      </c>
      <c r="AY61" s="22">
        <f t="shared" si="25"/>
        <v>0.10527522912066073</v>
      </c>
      <c r="AZ61" s="22">
        <f t="shared" si="25"/>
        <v>0.11208995390058771</v>
      </c>
      <c r="BA61" s="22">
        <f t="shared" si="25"/>
        <v>0.11976901487464083</v>
      </c>
      <c r="BB61" s="22">
        <f t="shared" si="25"/>
        <v>0.12851337674766508</v>
      </c>
      <c r="BC61" s="22">
        <f t="shared" si="25"/>
        <v>0.13857818702744565</v>
      </c>
      <c r="BD61" s="22">
        <f t="shared" si="25"/>
        <v>0.15029032760397956</v>
      </c>
      <c r="BE61" s="22">
        <f t="shared" si="25"/>
        <v>0.16407282460596642</v>
      </c>
      <c r="BF61" s="22">
        <f t="shared" si="25"/>
        <v>0.18047923109988662</v>
      </c>
      <c r="BG61" s="22">
        <f t="shared" ref="BG61:BV81" si="29">IF($C61=2,IF(BG$2&lt;=$O$1,$D61*IF(AND(BG$2=0,$E61=0),1,BG$2^$E61)*EXP($F61*(1-IF(AND(BG$2=0,$G61=0),1,BG$2^$G61))),($H61-$I61)*(BG$2-$O$1)/(1-$O$1)+$I61),$D61*IF(AND(BG$2=0,$E61=0),1,BG$2^$E61)*EXP($F61*(1-IF(AND(BG$2=0,$G61=0),1,BG$2^$G61))))</f>
        <v>0.20024271150582745</v>
      </c>
      <c r="BH61" s="22">
        <f t="shared" si="29"/>
        <v>0.22434711816017974</v>
      </c>
      <c r="BI61" s="22">
        <f t="shared" si="29"/>
        <v>0.2541314832168417</v>
      </c>
      <c r="BJ61" s="22">
        <f t="shared" si="29"/>
        <v>0.25580028364220875</v>
      </c>
      <c r="BK61" s="22">
        <f t="shared" si="29"/>
        <v>0.25748802905268248</v>
      </c>
      <c r="BL61" s="22">
        <f t="shared" si="29"/>
        <v>0.25919499546131675</v>
      </c>
      <c r="BM61" s="22">
        <f t="shared" si="29"/>
        <v>0.26092146361066926</v>
      </c>
      <c r="BN61" s="22">
        <f t="shared" si="29"/>
        <v>0.26266771906588782</v>
      </c>
      <c r="BO61" s="22">
        <f t="shared" si="29"/>
        <v>0.26443405230984879</v>
      </c>
      <c r="BP61" s="22">
        <f t="shared" si="29"/>
        <v>0.26622075884039836</v>
      </c>
      <c r="BQ61" s="22">
        <f t="shared" si="29"/>
        <v>0.26802813926974783</v>
      </c>
      <c r="BR61" s="22">
        <f t="shared" si="29"/>
        <v>0.26985649942607504</v>
      </c>
      <c r="BS61" s="22">
        <f t="shared" si="29"/>
        <v>0.27170615045738677</v>
      </c>
      <c r="BT61" s="22">
        <f t="shared" si="29"/>
        <v>0.27357740893769544</v>
      </c>
      <c r="BU61" s="22">
        <f t="shared" si="29"/>
        <v>0.27547059697557003</v>
      </c>
      <c r="BV61" s="22">
        <f t="shared" si="29"/>
        <v>0.27738604232511682</v>
      </c>
      <c r="BW61" s="22">
        <f t="shared" si="22"/>
        <v>0.27932407849945112</v>
      </c>
      <c r="BX61" s="22">
        <f t="shared" si="20"/>
        <v>0.28128504488672124</v>
      </c>
      <c r="BY61" s="22">
        <f t="shared" si="20"/>
        <v>0.28326928686874864</v>
      </c>
      <c r="BZ61" s="22">
        <f t="shared" si="20"/>
        <v>0.28527715594234737</v>
      </c>
      <c r="CA61" s="22">
        <f t="shared" si="20"/>
        <v>0.28730900984339164</v>
      </c>
      <c r="CB61" s="22">
        <f t="shared" si="20"/>
        <v>0.28936521267369808</v>
      </c>
      <c r="CC61" s="22">
        <f t="shared" si="20"/>
        <v>0.29144613503079431</v>
      </c>
      <c r="CD61" s="22">
        <f t="shared" si="20"/>
        <v>0.29355215414064478</v>
      </c>
      <c r="CE61" s="22">
        <f t="shared" si="20"/>
        <v>0.2956836539934094</v>
      </c>
      <c r="CF61" s="22">
        <f t="shared" si="20"/>
        <v>0.29784102548231028</v>
      </c>
      <c r="CG61" s="22">
        <f t="shared" si="20"/>
        <v>0.30002466654568483</v>
      </c>
      <c r="CH61" s="22">
        <f t="shared" si="20"/>
        <v>0.302234982312306</v>
      </c>
      <c r="CI61" s="22">
        <f t="shared" si="20"/>
        <v>0.30447238525005205</v>
      </c>
      <c r="CJ61" s="22">
        <f t="shared" si="20"/>
        <v>0.30673729531801103</v>
      </c>
      <c r="CK61" s="22">
        <f t="shared" si="20"/>
        <v>0.30903014012210633</v>
      </c>
      <c r="CL61" s="22">
        <f t="shared" si="20"/>
        <v>0.31135135507433453</v>
      </c>
      <c r="CM61" s="22">
        <f t="shared" si="26"/>
        <v>0.31370138355570548</v>
      </c>
      <c r="CN61" s="22">
        <f t="shared" si="26"/>
        <v>0.31608067708298188</v>
      </c>
      <c r="CO61" s="22">
        <f t="shared" si="26"/>
        <v>0.31848969547931294</v>
      </c>
      <c r="CP61" s="22">
        <f t="shared" si="26"/>
        <v>0.32092890704886423</v>
      </c>
      <c r="CQ61" s="22">
        <f t="shared" si="26"/>
        <v>0.32339878875554534</v>
      </c>
      <c r="CR61" s="22">
        <f t="shared" si="26"/>
        <v>0.32589982640594189</v>
      </c>
      <c r="CS61" s="22">
        <f t="shared" si="26"/>
        <v>0.32843251483655939</v>
      </c>
      <c r="CT61" s="22">
        <f t="shared" si="26"/>
        <v>0.33099735810549108</v>
      </c>
      <c r="CU61" s="22">
        <f t="shared" si="18"/>
        <v>0.33359486968862612</v>
      </c>
      <c r="CV61" s="22">
        <f t="shared" si="18"/>
        <v>0.33622557268051273</v>
      </c>
      <c r="CW61" s="22">
        <f t="shared" si="18"/>
        <v>0.33889000000000125</v>
      </c>
    </row>
    <row r="62" spans="1:101">
      <c r="A62" s="22">
        <v>60</v>
      </c>
      <c r="B62" s="32" t="str">
        <f>データファイル用!$B63</f>
        <v>ASHRAE Cement Board</v>
      </c>
      <c r="C62" s="32">
        <f>データファイル用!K63</f>
        <v>1</v>
      </c>
      <c r="D62" s="32">
        <f>データファイル用!L63</f>
        <v>0.31934000000000001</v>
      </c>
      <c r="E62" s="32">
        <f>データファイル用!M63</f>
        <v>3.1625000000000001</v>
      </c>
      <c r="F62" s="32">
        <f>データファイル用!N63</f>
        <v>-1.3264</v>
      </c>
      <c r="G62" s="32">
        <f>データファイル用!O63</f>
        <v>77.632000000000005</v>
      </c>
      <c r="H62" s="32">
        <f>データファイル用!P63</f>
        <v>0</v>
      </c>
      <c r="I62" s="35">
        <f>データファイル用!Q63</f>
        <v>0</v>
      </c>
      <c r="J62" s="32">
        <f t="shared" si="2"/>
        <v>0.10483259912171475</v>
      </c>
      <c r="K62" s="32">
        <f t="shared" si="3"/>
        <v>0</v>
      </c>
      <c r="L62" s="53" t="str">
        <f t="shared" si="4"/>
        <v>N/A</v>
      </c>
      <c r="M62" s="22">
        <f t="shared" si="28"/>
        <v>0</v>
      </c>
      <c r="N62" s="22">
        <f t="shared" si="28"/>
        <v>3.5909758253877838E-7</v>
      </c>
      <c r="O62" s="22">
        <f t="shared" si="28"/>
        <v>3.2152877266271264E-6</v>
      </c>
      <c r="P62" s="22">
        <f t="shared" si="28"/>
        <v>1.1590667554411718E-5</v>
      </c>
      <c r="Q62" s="22">
        <f t="shared" si="28"/>
        <v>2.87890413851021E-5</v>
      </c>
      <c r="R62" s="22">
        <f t="shared" si="28"/>
        <v>5.8304908771854531E-5</v>
      </c>
      <c r="S62" s="22">
        <f t="shared" si="28"/>
        <v>1.0378051243798277E-4</v>
      </c>
      <c r="T62" s="22">
        <f t="shared" si="28"/>
        <v>1.6897989386199035E-4</v>
      </c>
      <c r="U62" s="22">
        <f t="shared" si="28"/>
        <v>2.5777130208578646E-4</v>
      </c>
      <c r="V62" s="22">
        <f t="shared" si="28"/>
        <v>3.7411439366174273E-4</v>
      </c>
      <c r="W62" s="22">
        <f t="shared" si="28"/>
        <v>5.220504584043346E-4</v>
      </c>
      <c r="X62" s="22">
        <f t="shared" si="28"/>
        <v>7.0569468782460108E-4</v>
      </c>
      <c r="Y62" s="22">
        <f t="shared" si="28"/>
        <v>9.2922989218086765E-4</v>
      </c>
      <c r="Z62" s="22">
        <f t="shared" si="28"/>
        <v>1.1969012846573554E-3</v>
      </c>
      <c r="AA62" s="22">
        <f t="shared" si="28"/>
        <v>1.513012075826322E-3</v>
      </c>
      <c r="AB62" s="22">
        <f t="shared" si="28"/>
        <v>1.8819196987824079E-3</v>
      </c>
      <c r="AC62" s="22">
        <f t="shared" si="27"/>
        <v>2.3080325353725256E-3</v>
      </c>
      <c r="AD62" s="22">
        <f t="shared" si="27"/>
        <v>2.7958070475718787E-3</v>
      </c>
      <c r="AE62" s="22">
        <f t="shared" si="27"/>
        <v>3.3497452413655611E-3</v>
      </c>
      <c r="AF62" s="22">
        <f t="shared" si="27"/>
        <v>3.974392407082754E-3</v>
      </c>
      <c r="AG62" s="22">
        <f t="shared" si="27"/>
        <v>4.6743350922064716E-3</v>
      </c>
      <c r="AH62" s="22">
        <f t="shared" si="27"/>
        <v>5.454199271649523E-3</v>
      </c>
      <c r="AI62" s="22">
        <f t="shared" si="27"/>
        <v>6.318648687264207E-3</v>
      </c>
      <c r="AJ62" s="22">
        <f t="shared" si="27"/>
        <v>7.2723833335545714E-3</v>
      </c>
      <c r="AK62" s="22">
        <f t="shared" si="27"/>
        <v>8.3201380706080068E-3</v>
      </c>
      <c r="AL62" s="22">
        <f t="shared" si="27"/>
        <v>9.4666813484526029E-3</v>
      </c>
      <c r="AM62" s="22">
        <f t="shared" si="27"/>
        <v>1.0716814029588895E-2</v>
      </c>
      <c r="AN62" s="22">
        <f t="shared" si="27"/>
        <v>1.2075368298491171E-2</v>
      </c>
      <c r="AO62" s="22">
        <f t="shared" si="27"/>
        <v>1.3547206648537282E-2</v>
      </c>
      <c r="AP62" s="22">
        <f t="shared" si="27"/>
        <v>1.5137220938189155E-2</v>
      </c>
      <c r="AQ62" s="22">
        <f t="shared" si="27"/>
        <v>1.685033150937313E-2</v>
      </c>
      <c r="AR62" s="22">
        <f t="shared" ref="AR62:BG81" si="30">IF($C62=2,IF(AR$2&lt;=$O$1,$D62*IF(AND(AR$2=0,$E62=0),1,AR$2^$E62)*EXP($F62*(1-IF(AND(AR$2=0,$G62=0),1,AR$2^$G62))),($H62-$I62)*(AR$2-$O$1)/(1-$O$1)+$I62),$D62*IF(AND(AR$2=0,$E62=0),1,AR$2^$E62)*EXP($F62*(1-IF(AND(AR$2=0,$G62=0),1,AR$2^$G62))))</f>
        <v>1.8691486361946851E-2</v>
      </c>
      <c r="AS62" s="22">
        <f t="shared" si="30"/>
        <v>2.0665660378924984E-2</v>
      </c>
      <c r="AT62" s="22">
        <f t="shared" si="30"/>
        <v>2.2777854597799047E-2</v>
      </c>
      <c r="AU62" s="22">
        <f t="shared" si="30"/>
        <v>2.5033095523849486E-2</v>
      </c>
      <c r="AV62" s="22">
        <f t="shared" si="30"/>
        <v>2.7436434481842811E-2</v>
      </c>
      <c r="AW62" s="22">
        <f t="shared" si="30"/>
        <v>2.9992947003053883E-2</v>
      </c>
      <c r="AX62" s="22">
        <f t="shared" si="30"/>
        <v>3.2707732246087466E-2</v>
      </c>
      <c r="AY62" s="22">
        <f t="shared" si="30"/>
        <v>3.5585912459842911E-2</v>
      </c>
      <c r="AZ62" s="22">
        <f t="shared" si="30"/>
        <v>3.8632632570477277E-2</v>
      </c>
      <c r="BA62" s="22">
        <f t="shared" si="30"/>
        <v>4.185306050600715E-2</v>
      </c>
      <c r="BB62" s="22">
        <f t="shared" si="30"/>
        <v>4.525239253787057E-2</v>
      </c>
      <c r="BC62" s="22">
        <f t="shared" si="30"/>
        <v>4.8835891996826315E-2</v>
      </c>
      <c r="BD62" s="22">
        <f t="shared" si="30"/>
        <v>5.2609140738518717E-2</v>
      </c>
      <c r="BE62" s="22">
        <f t="shared" si="30"/>
        <v>5.6579589156560771E-2</v>
      </c>
      <c r="BF62" s="22">
        <f t="shared" si="30"/>
        <v>6.0765709267944126E-2</v>
      </c>
      <c r="BG62" s="22">
        <f t="shared" si="30"/>
        <v>6.524899208681964E-2</v>
      </c>
      <c r="BH62" s="22">
        <f t="shared" si="29"/>
        <v>7.0460556837792981E-2</v>
      </c>
      <c r="BI62" s="22">
        <f t="shared" si="29"/>
        <v>7.8769111285293764E-2</v>
      </c>
      <c r="BJ62" s="22">
        <f t="shared" si="29"/>
        <v>7.9400744905642501E-2</v>
      </c>
      <c r="BK62" s="22">
        <f t="shared" si="29"/>
        <v>8.006836246697567E-2</v>
      </c>
      <c r="BL62" s="22">
        <f t="shared" si="29"/>
        <v>8.0775360793222922E-2</v>
      </c>
      <c r="BM62" s="22">
        <f t="shared" si="29"/>
        <v>8.1525491487560442E-2</v>
      </c>
      <c r="BN62" s="22">
        <f t="shared" si="29"/>
        <v>8.2322903398305378E-2</v>
      </c>
      <c r="BO62" s="22">
        <f t="shared" si="29"/>
        <v>8.3172191097449263E-2</v>
      </c>
      <c r="BP62" s="22">
        <f t="shared" si="29"/>
        <v>8.4078450374363248E-2</v>
      </c>
      <c r="BQ62" s="22">
        <f t="shared" si="29"/>
        <v>8.5047341939014073E-2</v>
      </c>
      <c r="BR62" s="22">
        <f t="shared" si="29"/>
        <v>8.6085164761991392E-2</v>
      </c>
      <c r="BS62" s="22">
        <f t="shared" si="29"/>
        <v>8.7198940762544058E-2</v>
      </c>
      <c r="BT62" s="22">
        <f t="shared" si="29"/>
        <v>8.8396512902996036E-2</v>
      </c>
      <c r="BU62" s="22">
        <f t="shared" si="29"/>
        <v>8.9686659173991282E-2</v>
      </c>
      <c r="BV62" s="22">
        <f t="shared" si="29"/>
        <v>9.1079225479881565E-2</v>
      </c>
      <c r="BW62" s="22">
        <f t="shared" si="22"/>
        <v>9.2585281082622609E-2</v>
      </c>
      <c r="BX62" s="22">
        <f t="shared" si="20"/>
        <v>9.4217301068368023E-2</v>
      </c>
      <c r="BY62" s="22">
        <f t="shared" si="20"/>
        <v>9.5989381305561769E-2</v>
      </c>
      <c r="BZ62" s="22">
        <f t="shared" si="20"/>
        <v>9.7917492621141342E-2</v>
      </c>
      <c r="CA62" s="22">
        <f t="shared" si="20"/>
        <v>0.10001978250330153</v>
      </c>
      <c r="CB62" s="22">
        <f t="shared" si="20"/>
        <v>0.10231693463778552</v>
      </c>
      <c r="CC62" s="22">
        <f t="shared" si="20"/>
        <v>0.10483259912171626</v>
      </c>
      <c r="CD62" s="22">
        <f t="shared" si="20"/>
        <v>0.10759390943566352</v>
      </c>
      <c r="CE62" s="22">
        <f t="shared" si="20"/>
        <v>0.11063210640518555</v>
      </c>
      <c r="CF62" s="22">
        <f t="shared" si="20"/>
        <v>0.11398329473398421</v>
      </c>
      <c r="CG62" s="22">
        <f t="shared" si="20"/>
        <v>0.11768936462754771</v>
      </c>
      <c r="CH62" s="22">
        <f t="shared" si="20"/>
        <v>0.12179912007060485</v>
      </c>
      <c r="CI62" s="22">
        <f t="shared" si="20"/>
        <v>0.12636966718502135</v>
      </c>
      <c r="CJ62" s="22">
        <f t="shared" si="20"/>
        <v>0.13146813175248134</v>
      </c>
      <c r="CK62" s="22">
        <f t="shared" si="20"/>
        <v>0.13717379578601863</v>
      </c>
      <c r="CL62" s="22">
        <f t="shared" si="20"/>
        <v>0.14358077085123339</v>
      </c>
      <c r="CM62" s="22">
        <f t="shared" si="26"/>
        <v>0.15080136330043534</v>
      </c>
      <c r="CN62" s="22">
        <f t="shared" si="26"/>
        <v>0.15897033740476993</v>
      </c>
      <c r="CO62" s="22">
        <f t="shared" si="26"/>
        <v>0.16825035184040069</v>
      </c>
      <c r="CP62" s="22">
        <f t="shared" si="26"/>
        <v>0.17883894070349168</v>
      </c>
      <c r="CQ62" s="22">
        <f t="shared" si="26"/>
        <v>0.19097754320620608</v>
      </c>
      <c r="CR62" s="22">
        <f t="shared" si="26"/>
        <v>0.20496327254563479</v>
      </c>
      <c r="CS62" s="22">
        <f t="shared" si="26"/>
        <v>0.22116437791621593</v>
      </c>
      <c r="CT62" s="22">
        <f t="shared" si="26"/>
        <v>0.24004072971166665</v>
      </c>
      <c r="CU62" s="22">
        <f t="shared" si="18"/>
        <v>0.26217120006524547</v>
      </c>
      <c r="CV62" s="22">
        <f t="shared" si="18"/>
        <v>0.28829060039943966</v>
      </c>
      <c r="CW62" s="22">
        <f t="shared" si="18"/>
        <v>0.31934000000001506</v>
      </c>
    </row>
    <row r="63" spans="1:101">
      <c r="A63" s="22">
        <v>61</v>
      </c>
      <c r="B63" s="32" t="str">
        <f>データファイル用!$B64</f>
        <v>ASHRAE Lime Stone</v>
      </c>
      <c r="C63" s="32">
        <f>データファイル用!K64</f>
        <v>1</v>
      </c>
      <c r="D63" s="32">
        <f>データファイル用!L64</f>
        <v>1.316E-2</v>
      </c>
      <c r="E63" s="32">
        <f>データファイル用!M64</f>
        <v>6.9414999999999996</v>
      </c>
      <c r="F63" s="32">
        <f>データファイル用!N64</f>
        <v>-1.6180000000000001</v>
      </c>
      <c r="G63" s="32">
        <f>データファイル用!O64</f>
        <v>51.518999999999998</v>
      </c>
      <c r="H63" s="32">
        <f>データファイル用!P64</f>
        <v>0</v>
      </c>
      <c r="I63" s="35">
        <f>データファイル用!Q64</f>
        <v>0</v>
      </c>
      <c r="J63" s="32">
        <f t="shared" si="2"/>
        <v>4.0163112338841333E-3</v>
      </c>
      <c r="K63" s="32">
        <f t="shared" si="3"/>
        <v>0</v>
      </c>
      <c r="L63" s="53" t="str">
        <f t="shared" si="4"/>
        <v>N/A</v>
      </c>
      <c r="M63" s="22">
        <f t="shared" si="28"/>
        <v>0</v>
      </c>
      <c r="N63" s="22">
        <f t="shared" si="28"/>
        <v>4.1992055374479291E-15</v>
      </c>
      <c r="O63" s="22">
        <f t="shared" si="28"/>
        <v>5.1613920359252315E-13</v>
      </c>
      <c r="P63" s="22">
        <f t="shared" si="28"/>
        <v>8.612005967701894E-12</v>
      </c>
      <c r="Q63" s="22">
        <f t="shared" si="28"/>
        <v>6.3440494900620606E-11</v>
      </c>
      <c r="R63" s="22">
        <f t="shared" si="28"/>
        <v>2.9858460897616038E-10</v>
      </c>
      <c r="S63" s="22">
        <f t="shared" si="28"/>
        <v>1.0585321108633234E-9</v>
      </c>
      <c r="T63" s="22">
        <f t="shared" si="28"/>
        <v>3.0861368282757867E-9</v>
      </c>
      <c r="U63" s="22">
        <f t="shared" si="28"/>
        <v>7.797695593015001E-9</v>
      </c>
      <c r="V63" s="22">
        <f t="shared" si="28"/>
        <v>1.7662066342389105E-8</v>
      </c>
      <c r="W63" s="22">
        <f t="shared" si="28"/>
        <v>3.6700090268884786E-8</v>
      </c>
      <c r="X63" s="22">
        <f t="shared" si="28"/>
        <v>7.1120443548816731E-8</v>
      </c>
      <c r="Y63" s="22">
        <f t="shared" si="28"/>
        <v>1.3010792536965262E-7</v>
      </c>
      <c r="Z63" s="22">
        <f t="shared" si="28"/>
        <v>2.2678008435254497E-7</v>
      </c>
      <c r="AA63" s="22">
        <f t="shared" si="28"/>
        <v>3.793279920496317E-7</v>
      </c>
      <c r="AB63" s="22">
        <f t="shared" si="28"/>
        <v>6.123568878529816E-7</v>
      </c>
      <c r="AC63" s="22">
        <f t="shared" si="27"/>
        <v>9.5844234280604044E-7</v>
      </c>
      <c r="AD63" s="22">
        <f t="shared" si="27"/>
        <v>1.4599175192587935E-6</v>
      </c>
      <c r="AE63" s="22">
        <f t="shared" si="27"/>
        <v>2.1709070381201988E-6</v>
      </c>
      <c r="AF63" s="22">
        <f t="shared" si="27"/>
        <v>3.1596229048940588E-6</v>
      </c>
      <c r="AG63" s="22">
        <f t="shared" si="27"/>
        <v>4.5109378891389507E-6</v>
      </c>
      <c r="AH63" s="22">
        <f t="shared" si="27"/>
        <v>6.3292516989793281E-6</v>
      </c>
      <c r="AI63" s="22">
        <f t="shared" si="27"/>
        <v>8.7416652424074267E-6</v>
      </c>
      <c r="AJ63" s="22">
        <f t="shared" si="27"/>
        <v>1.1901478220013831E-5</v>
      </c>
      <c r="AK63" s="22">
        <f t="shared" si="27"/>
        <v>1.5992025249181037E-5</v>
      </c>
      <c r="AL63" s="22">
        <f t="shared" si="27"/>
        <v>2.1230865677422678E-5</v>
      </c>
      <c r="AM63" s="22">
        <f t="shared" si="27"/>
        <v>2.7874342202240914E-5</v>
      </c>
      <c r="AN63" s="22">
        <f t="shared" si="27"/>
        <v>3.6222523376421452E-5</v>
      </c>
      <c r="AO63" s="22">
        <f t="shared" si="27"/>
        <v>4.6624545040934423E-5</v>
      </c>
      <c r="AP63" s="22">
        <f t="shared" si="27"/>
        <v>5.9484365692431105E-5</v>
      </c>
      <c r="AQ63" s="22">
        <f t="shared" si="27"/>
        <v>7.5266950758696172E-5</v>
      </c>
      <c r="AR63" s="22">
        <f t="shared" si="30"/>
        <v>9.4504900723793039E-5</v>
      </c>
      <c r="AS63" s="22">
        <f t="shared" si="30"/>
        <v>1.1780553801819515E-4</v>
      </c>
      <c r="AT63" s="22">
        <f t="shared" si="30"/>
        <v>1.4585846758538966E-4</v>
      </c>
      <c r="AU63" s="22">
        <f t="shared" si="30"/>
        <v>1.7944362614453007E-4</v>
      </c>
      <c r="AV63" s="22">
        <f t="shared" si="30"/>
        <v>2.1943983582085229E-4</v>
      </c>
      <c r="AW63" s="22">
        <f t="shared" si="30"/>
        <v>2.6683388100482179E-4</v>
      </c>
      <c r="AX63" s="22">
        <f t="shared" si="30"/>
        <v>3.2273014181203051E-4</v>
      </c>
      <c r="AY63" s="22">
        <f t="shared" si="30"/>
        <v>3.8836088044904996E-4</v>
      </c>
      <c r="AZ63" s="22">
        <f t="shared" si="30"/>
        <v>4.6509753863298867E-4</v>
      </c>
      <c r="BA63" s="22">
        <f t="shared" si="30"/>
        <v>5.5446445250142561E-4</v>
      </c>
      <c r="BB63" s="22">
        <f t="shared" si="30"/>
        <v>6.5816043872000474E-4</v>
      </c>
      <c r="BC63" s="22">
        <f t="shared" si="30"/>
        <v>7.7810880587592091E-4</v>
      </c>
      <c r="BD63" s="22">
        <f t="shared" si="30"/>
        <v>9.1661092392028955E-4</v>
      </c>
      <c r="BE63" s="22">
        <f t="shared" si="30"/>
        <v>1.0768703662327149E-3</v>
      </c>
      <c r="BF63" s="22">
        <f t="shared" si="30"/>
        <v>1.2648170247833161E-3</v>
      </c>
      <c r="BG63" s="22">
        <f t="shared" si="30"/>
        <v>1.4954635158710649E-3</v>
      </c>
      <c r="BH63" s="22">
        <f t="shared" si="29"/>
        <v>1.8156424232304398E-3</v>
      </c>
      <c r="BI63" s="22">
        <f t="shared" si="29"/>
        <v>2.3948860213498986E-3</v>
      </c>
      <c r="BJ63" s="22">
        <f t="shared" si="29"/>
        <v>2.4386543261165168E-3</v>
      </c>
      <c r="BK63" s="22">
        <f t="shared" si="29"/>
        <v>2.4846630621530707E-3</v>
      </c>
      <c r="BL63" s="22">
        <f t="shared" si="29"/>
        <v>2.5330870658692968E-3</v>
      </c>
      <c r="BM63" s="22">
        <f t="shared" si="29"/>
        <v>2.5841175969574396E-3</v>
      </c>
      <c r="BN63" s="22">
        <f t="shared" si="29"/>
        <v>2.6379641710599288E-3</v>
      </c>
      <c r="BO63" s="22">
        <f t="shared" si="29"/>
        <v>2.6948566321555426E-3</v>
      </c>
      <c r="BP63" s="22">
        <f t="shared" si="29"/>
        <v>2.755047500571831E-3</v>
      </c>
      <c r="BQ63" s="22">
        <f t="shared" si="29"/>
        <v>2.8188146385745259E-3</v>
      </c>
      <c r="BR63" s="22">
        <f t="shared" si="29"/>
        <v>2.8864642826558103E-3</v>
      </c>
      <c r="BS63" s="22">
        <f t="shared" si="29"/>
        <v>2.9583345001744752E-3</v>
      </c>
      <c r="BT63" s="22">
        <f t="shared" si="29"/>
        <v>3.0347991381754432E-3</v>
      </c>
      <c r="BU63" s="22">
        <f t="shared" si="29"/>
        <v>3.1162723443820808E-3</v>
      </c>
      <c r="BV63" s="22">
        <f t="shared" si="29"/>
        <v>3.2032137549404759E-3</v>
      </c>
      <c r="BW63" s="22">
        <f t="shared" si="22"/>
        <v>3.2961344610293406E-3</v>
      </c>
      <c r="BX63" s="22">
        <f t="shared" si="20"/>
        <v>3.3956038875875513E-3</v>
      </c>
      <c r="BY63" s="22">
        <f t="shared" si="20"/>
        <v>3.5022577429673074E-3</v>
      </c>
      <c r="BZ63" s="22">
        <f t="shared" si="20"/>
        <v>3.6168072293086429E-3</v>
      </c>
      <c r="CA63" s="22">
        <f t="shared" si="20"/>
        <v>3.7400497411186964E-3</v>
      </c>
      <c r="CB63" s="22">
        <f t="shared" si="20"/>
        <v>3.8728813255175538E-3</v>
      </c>
      <c r="CC63" s="22">
        <f t="shared" si="20"/>
        <v>4.0163112338842157E-3</v>
      </c>
      <c r="CD63" s="22">
        <f t="shared" si="20"/>
        <v>4.171478963731429E-3</v>
      </c>
      <c r="CE63" s="22">
        <f t="shared" si="20"/>
        <v>4.3396742747642139E-3</v>
      </c>
      <c r="CF63" s="22">
        <f t="shared" si="20"/>
        <v>4.5223607683161707E-3</v>
      </c>
      <c r="CG63" s="22">
        <f t="shared" si="20"/>
        <v>4.7212037499248499E-3</v>
      </c>
      <c r="CH63" s="22">
        <f t="shared" si="20"/>
        <v>4.9381032573901883E-3</v>
      </c>
      <c r="CI63" s="22">
        <f t="shared" si="20"/>
        <v>5.1752333398701359E-3</v>
      </c>
      <c r="CJ63" s="22">
        <f t="shared" si="20"/>
        <v>5.4350889285395589E-3</v>
      </c>
      <c r="CK63" s="22">
        <f t="shared" si="20"/>
        <v>5.7205419605305917E-3</v>
      </c>
      <c r="CL63" s="22">
        <f t="shared" si="20"/>
        <v>6.0349088241410907E-3</v>
      </c>
      <c r="CM63" s="22">
        <f t="shared" si="26"/>
        <v>6.3820317093449307E-3</v>
      </c>
      <c r="CN63" s="22">
        <f t="shared" si="26"/>
        <v>6.7663771059750912E-3</v>
      </c>
      <c r="CO63" s="22">
        <f t="shared" si="26"/>
        <v>7.1931555355696786E-3</v>
      </c>
      <c r="CP63" s="22">
        <f t="shared" si="26"/>
        <v>7.6684676889036416E-3</v>
      </c>
      <c r="CQ63" s="22">
        <f t="shared" si="26"/>
        <v>8.1994835459767521E-3</v>
      </c>
      <c r="CR63" s="22">
        <f t="shared" si="26"/>
        <v>8.7946628811284167E-3</v>
      </c>
      <c r="CS63" s="22">
        <f t="shared" si="26"/>
        <v>9.4640279412593481E-3</v>
      </c>
      <c r="CT63" s="22">
        <f t="shared" si="26"/>
        <v>1.0219502217493105E-2</v>
      </c>
      <c r="CU63" s="22">
        <f t="shared" si="18"/>
        <v>1.1075333366096247E-2</v>
      </c>
      <c r="CV63" s="22">
        <f t="shared" si="18"/>
        <v>1.2048623824661799E-2</v>
      </c>
      <c r="CW63" s="22">
        <f t="shared" si="18"/>
        <v>1.3160000000000529E-2</v>
      </c>
    </row>
    <row r="64" spans="1:101">
      <c r="A64" s="22">
        <v>62</v>
      </c>
      <c r="B64" s="32" t="str">
        <f>データファイル用!$B65</f>
        <v>ASHRAE Low-density Glassfibre Batt Insulation</v>
      </c>
      <c r="C64" s="32">
        <f>データファイル用!K65</f>
        <v>2</v>
      </c>
      <c r="D64" s="32">
        <f>データファイル用!L65</f>
        <v>2.7903000000000001E-2</v>
      </c>
      <c r="E64" s="32">
        <f>データファイル用!M65</f>
        <v>0.64024000000000003</v>
      </c>
      <c r="F64" s="32">
        <f>データファイル用!N65</f>
        <v>-1.5874999999999999</v>
      </c>
      <c r="G64" s="32">
        <f>データファイル用!O65</f>
        <v>7.1897000000000002</v>
      </c>
      <c r="H64" s="32">
        <f>データファイル用!P65</f>
        <v>87</v>
      </c>
      <c r="I64" s="35">
        <f>データファイル用!Q65</f>
        <v>2.2224100929699547E-2</v>
      </c>
      <c r="J64" s="32">
        <f t="shared" si="2"/>
        <v>2.2224100929699411E-2</v>
      </c>
      <c r="K64" s="32">
        <f t="shared" si="3"/>
        <v>2.2224100929699547E-2</v>
      </c>
      <c r="L64" s="53">
        <f t="shared" si="4"/>
        <v>-1.3530843112619095E-16</v>
      </c>
      <c r="M64" s="22">
        <f t="shared" si="28"/>
        <v>0</v>
      </c>
      <c r="N64" s="22">
        <f t="shared" si="28"/>
        <v>4.6607934129197997E-4</v>
      </c>
      <c r="O64" s="22">
        <f t="shared" si="28"/>
        <v>7.2642586295257295E-4</v>
      </c>
      <c r="P64" s="22">
        <f t="shared" si="28"/>
        <v>9.4174205886415907E-4</v>
      </c>
      <c r="Q64" s="22">
        <f t="shared" si="28"/>
        <v>1.1321989591630518E-3</v>
      </c>
      <c r="R64" s="22">
        <f t="shared" si="28"/>
        <v>1.3060760136376327E-3</v>
      </c>
      <c r="S64" s="22">
        <f t="shared" si="28"/>
        <v>1.4677888195718024E-3</v>
      </c>
      <c r="T64" s="22">
        <f t="shared" si="28"/>
        <v>1.6200406916584752E-3</v>
      </c>
      <c r="U64" s="22">
        <f t="shared" si="28"/>
        <v>1.7646374590308111E-3</v>
      </c>
      <c r="V64" s="22">
        <f t="shared" si="28"/>
        <v>1.9028612690571952E-3</v>
      </c>
      <c r="W64" s="22">
        <f t="shared" si="28"/>
        <v>2.0356652193032404E-3</v>
      </c>
      <c r="X64" s="22">
        <f t="shared" si="28"/>
        <v>2.1637845223826785E-3</v>
      </c>
      <c r="Y64" s="22">
        <f t="shared" si="28"/>
        <v>2.2878048476206447E-3</v>
      </c>
      <c r="Z64" s="22">
        <f t="shared" si="28"/>
        <v>2.4082071029193465E-3</v>
      </c>
      <c r="AA64" s="22">
        <f t="shared" si="28"/>
        <v>2.5253986010387434E-3</v>
      </c>
      <c r="AB64" s="22">
        <f t="shared" si="28"/>
        <v>2.6397361165256712E-3</v>
      </c>
      <c r="AC64" s="22">
        <f t="shared" si="27"/>
        <v>2.7515440732805859E-3</v>
      </c>
      <c r="AD64" s="22">
        <f t="shared" si="27"/>
        <v>2.861129879514391E-3</v>
      </c>
      <c r="AE64" s="22">
        <f t="shared" si="27"/>
        <v>2.9687977378559014E-3</v>
      </c>
      <c r="AF64" s="22">
        <f t="shared" si="27"/>
        <v>3.0748618593636162E-3</v>
      </c>
      <c r="AG64" s="22">
        <f t="shared" si="27"/>
        <v>3.1796597780781506E-3</v>
      </c>
      <c r="AH64" s="22">
        <f t="shared" si="27"/>
        <v>3.2835663335792475E-3</v>
      </c>
      <c r="AI64" s="22">
        <f t="shared" si="27"/>
        <v>3.3870088295965533E-3</v>
      </c>
      <c r="AJ64" s="22">
        <f t="shared" si="27"/>
        <v>3.4904838710913132E-3</v>
      </c>
      <c r="AK64" s="22">
        <f t="shared" si="27"/>
        <v>3.5945764250507289E-3</v>
      </c>
      <c r="AL64" s="22">
        <f t="shared" si="27"/>
        <v>3.6999817438094751E-3</v>
      </c>
      <c r="AM64" s="22">
        <f t="shared" si="27"/>
        <v>3.80753094289955E-3</v>
      </c>
      <c r="AN64" s="22">
        <f t="shared" si="27"/>
        <v>3.9182212539685532E-3</v>
      </c>
      <c r="AO64" s="22">
        <f t="shared" si="27"/>
        <v>4.0332523012819293E-3</v>
      </c>
      <c r="AP64" s="22">
        <f t="shared" si="27"/>
        <v>4.1540702129750744E-3</v>
      </c>
      <c r="AQ64" s="22">
        <f t="shared" si="27"/>
        <v>4.2824220265502283E-3</v>
      </c>
      <c r="AR64" s="22">
        <f t="shared" si="30"/>
        <v>4.4204237561595687E-3</v>
      </c>
      <c r="AS64" s="22">
        <f t="shared" si="30"/>
        <v>4.5706467654125799E-3</v>
      </c>
      <c r="AT64" s="22">
        <f t="shared" si="30"/>
        <v>4.7362288944088893E-3</v>
      </c>
      <c r="AU64" s="22">
        <f t="shared" si="30"/>
        <v>4.9210193642945767E-3</v>
      </c>
      <c r="AV64" s="22">
        <f t="shared" si="30"/>
        <v>5.1297701927204859E-3</v>
      </c>
      <c r="AW64" s="22">
        <f t="shared" si="30"/>
        <v>5.3683922621051107E-3</v>
      </c>
      <c r="AX64" s="22">
        <f t="shared" si="30"/>
        <v>5.6443021674782339E-3</v>
      </c>
      <c r="AY64" s="22">
        <f t="shared" si="30"/>
        <v>5.9668979200228926E-3</v>
      </c>
      <c r="AZ64" s="22">
        <f t="shared" si="30"/>
        <v>6.3482197231125659E-3</v>
      </c>
      <c r="BA64" s="22">
        <f t="shared" si="30"/>
        <v>6.8038799970654385E-3</v>
      </c>
      <c r="BB64" s="22">
        <f t="shared" si="30"/>
        <v>7.3543906121483144E-3</v>
      </c>
      <c r="BC64" s="22">
        <f t="shared" si="30"/>
        <v>8.027085010146805E-3</v>
      </c>
      <c r="BD64" s="22">
        <f t="shared" si="30"/>
        <v>8.8589458993175579E-3</v>
      </c>
      <c r="BE64" s="22">
        <f t="shared" si="30"/>
        <v>9.9008358288393845E-3</v>
      </c>
      <c r="BF64" s="22">
        <f t="shared" si="30"/>
        <v>1.1223942332736899E-2</v>
      </c>
      <c r="BG64" s="22">
        <f t="shared" si="30"/>
        <v>1.2929790269122401E-2</v>
      </c>
      <c r="BH64" s="22">
        <f t="shared" si="29"/>
        <v>1.5166125952500756E-2</v>
      </c>
      <c r="BI64" s="22">
        <f t="shared" si="29"/>
        <v>1.8152693835093107E-2</v>
      </c>
      <c r="BJ64" s="22">
        <f t="shared" si="29"/>
        <v>1.8327073183974536E-2</v>
      </c>
      <c r="BK64" s="22">
        <f t="shared" si="29"/>
        <v>1.8504178225540662E-2</v>
      </c>
      <c r="BL64" s="22">
        <f t="shared" si="29"/>
        <v>1.8684061346235306E-2</v>
      </c>
      <c r="BM64" s="22">
        <f t="shared" si="29"/>
        <v>1.8866776112042238E-2</v>
      </c>
      <c r="BN64" s="22">
        <f t="shared" si="29"/>
        <v>1.9052377298650131E-2</v>
      </c>
      <c r="BO64" s="22">
        <f t="shared" si="29"/>
        <v>1.9240920922474682E-2</v>
      </c>
      <c r="BP64" s="22">
        <f t="shared" si="29"/>
        <v>1.9432464272564721E-2</v>
      </c>
      <c r="BQ64" s="22">
        <f t="shared" si="29"/>
        <v>1.9627065943419664E-2</v>
      </c>
      <c r="BR64" s="22">
        <f t="shared" si="29"/>
        <v>1.9824785868747054E-2</v>
      </c>
      <c r="BS64" s="22">
        <f t="shared" si="29"/>
        <v>2.0025685356189479E-2</v>
      </c>
      <c r="BT64" s="22">
        <f t="shared" si="29"/>
        <v>2.0229827123051422E-2</v>
      </c>
      <c r="BU64" s="22">
        <f t="shared" si="29"/>
        <v>2.0437275333057565E-2</v>
      </c>
      <c r="BV64" s="22">
        <f t="shared" si="29"/>
        <v>2.0648095634175113E-2</v>
      </c>
      <c r="BW64" s="22">
        <f t="shared" si="22"/>
        <v>2.0862355197533801E-2</v>
      </c>
      <c r="BX64" s="22">
        <f t="shared" ref="BX64:CM81" si="31">IF($C64=2,IF(BX$2&lt;=$O$1,$D64*IF(AND(BX$2=0,$E64=0),1,BX$2^$E64)*EXP($F64*(1-IF(AND(BX$2=0,$G64=0),1,BX$2^$G64))),($H64-$I64)*(BX$2-$O$1)/(1-$O$1)+$I64),$D64*IF(AND(BX$2=0,$E64=0),1,BX$2^$E64)*EXP($F64*(1-IF(AND(BX$2=0,$G64=0),1,BX$2^$G64))))</f>
        <v>2.1080122757478528E-2</v>
      </c>
      <c r="BY64" s="22">
        <f t="shared" si="31"/>
        <v>2.1301468652790565E-2</v>
      </c>
      <c r="BZ64" s="22">
        <f t="shared" si="31"/>
        <v>2.1526464869114754E-2</v>
      </c>
      <c r="CA64" s="22">
        <f t="shared" si="31"/>
        <v>2.1755185082631159E-2</v>
      </c>
      <c r="CB64" s="22">
        <f t="shared" si="31"/>
        <v>2.1987704705011213E-2</v>
      </c>
      <c r="CC64" s="22">
        <f t="shared" si="31"/>
        <v>2.2224100932113664E-2</v>
      </c>
      <c r="CD64" s="22">
        <f t="shared" si="31"/>
        <v>4.3711128958856325</v>
      </c>
      <c r="CE64" s="22">
        <f t="shared" si="31"/>
        <v>8.7200016908391511</v>
      </c>
      <c r="CF64" s="22">
        <f t="shared" si="31"/>
        <v>13.06889048579267</v>
      </c>
      <c r="CG64" s="22">
        <f t="shared" si="31"/>
        <v>17.417779280746185</v>
      </c>
      <c r="CH64" s="22">
        <f t="shared" si="31"/>
        <v>21.766668075699702</v>
      </c>
      <c r="CI64" s="22">
        <f t="shared" si="31"/>
        <v>26.115556870653222</v>
      </c>
      <c r="CJ64" s="22">
        <f t="shared" si="31"/>
        <v>30.464445665606743</v>
      </c>
      <c r="CK64" s="22">
        <f t="shared" si="31"/>
        <v>34.813334460560256</v>
      </c>
      <c r="CL64" s="22">
        <f t="shared" si="31"/>
        <v>39.16222325551378</v>
      </c>
      <c r="CM64" s="22">
        <f t="shared" si="31"/>
        <v>43.511112050467297</v>
      </c>
      <c r="CN64" s="22">
        <f t="shared" si="26"/>
        <v>47.860000845420814</v>
      </c>
      <c r="CO64" s="22">
        <f t="shared" si="26"/>
        <v>52.208889640374331</v>
      </c>
      <c r="CP64" s="22">
        <f t="shared" si="26"/>
        <v>56.557778435327847</v>
      </c>
      <c r="CQ64" s="22">
        <f t="shared" si="26"/>
        <v>60.906667230281371</v>
      </c>
      <c r="CR64" s="22">
        <f t="shared" si="26"/>
        <v>65.255556025234895</v>
      </c>
      <c r="CS64" s="22">
        <f t="shared" si="26"/>
        <v>69.604444820188419</v>
      </c>
      <c r="CT64" s="22">
        <f t="shared" si="26"/>
        <v>73.953333615141943</v>
      </c>
      <c r="CU64" s="22">
        <f t="shared" si="18"/>
        <v>78.302222410095453</v>
      </c>
      <c r="CV64" s="22">
        <f t="shared" si="18"/>
        <v>82.651111205048963</v>
      </c>
      <c r="CW64" s="22">
        <f t="shared" si="18"/>
        <v>87.000000000002004</v>
      </c>
    </row>
    <row r="65" spans="1:101">
      <c r="A65" s="22">
        <v>63</v>
      </c>
      <c r="B65" s="32" t="str">
        <f>データファイル用!$B66</f>
        <v>ASHRAE Cellulose Insulation</v>
      </c>
      <c r="C65" s="32">
        <f>データファイル用!K66</f>
        <v>1</v>
      </c>
      <c r="D65" s="32">
        <f>データファイル用!L66</f>
        <v>122.1</v>
      </c>
      <c r="E65" s="32">
        <f>データファイル用!M66</f>
        <v>1.4007000000000001</v>
      </c>
      <c r="F65" s="32">
        <f>データファイル用!N66</f>
        <v>-6.5054999999999996</v>
      </c>
      <c r="G65" s="32">
        <f>データファイル用!O66</f>
        <v>197.85</v>
      </c>
      <c r="H65" s="32">
        <f>データファイル用!P66</f>
        <v>0</v>
      </c>
      <c r="I65" s="35">
        <f>データファイル用!Q66</f>
        <v>0</v>
      </c>
      <c r="J65" s="32">
        <f t="shared" si="2"/>
        <v>0.19999562391774225</v>
      </c>
      <c r="K65" s="32">
        <f t="shared" si="3"/>
        <v>0</v>
      </c>
      <c r="L65" s="53" t="str">
        <f t="shared" si="4"/>
        <v>N/A</v>
      </c>
      <c r="M65" s="22">
        <f t="shared" si="28"/>
        <v>0</v>
      </c>
      <c r="N65" s="22">
        <f t="shared" si="28"/>
        <v>7.6149249396386667E-4</v>
      </c>
      <c r="O65" s="22">
        <f t="shared" si="28"/>
        <v>2.0105660356568248E-3</v>
      </c>
      <c r="P65" s="22">
        <f t="shared" si="28"/>
        <v>3.5478836441327666E-3</v>
      </c>
      <c r="Q65" s="22">
        <f t="shared" si="28"/>
        <v>5.3084906493229443E-3</v>
      </c>
      <c r="R65" s="22">
        <f t="shared" si="28"/>
        <v>7.2562612753357949E-3</v>
      </c>
      <c r="S65" s="22">
        <f t="shared" si="28"/>
        <v>9.3674650898058365E-3</v>
      </c>
      <c r="T65" s="22">
        <f t="shared" si="28"/>
        <v>1.1625039882001824E-2</v>
      </c>
      <c r="U65" s="22">
        <f t="shared" si="28"/>
        <v>1.4015989763172892E-2</v>
      </c>
      <c r="V65" s="22">
        <f t="shared" si="28"/>
        <v>1.6530009753322784E-2</v>
      </c>
      <c r="W65" s="22">
        <f t="shared" si="28"/>
        <v>1.9158681906501208E-2</v>
      </c>
      <c r="X65" s="22">
        <f t="shared" si="28"/>
        <v>2.1894970326841227E-2</v>
      </c>
      <c r="Y65" s="22">
        <f t="shared" si="28"/>
        <v>2.4732886140120369E-2</v>
      </c>
      <c r="Z65" s="22">
        <f t="shared" si="28"/>
        <v>2.7667255482221875E-2</v>
      </c>
      <c r="AA65" s="22">
        <f t="shared" si="28"/>
        <v>3.0693553167206837E-2</v>
      </c>
      <c r="AB65" s="22">
        <f t="shared" si="28"/>
        <v>3.3807779985208126E-2</v>
      </c>
      <c r="AC65" s="22">
        <f t="shared" si="27"/>
        <v>3.7006369986998605E-2</v>
      </c>
      <c r="AD65" s="22">
        <f t="shared" si="27"/>
        <v>4.0286118979192417E-2</v>
      </c>
      <c r="AE65" s="22">
        <f t="shared" si="27"/>
        <v>4.3644128395944282E-2</v>
      </c>
      <c r="AF65" s="22">
        <f t="shared" si="27"/>
        <v>4.7077760557564567E-2</v>
      </c>
      <c r="AG65" s="22">
        <f t="shared" si="27"/>
        <v>5.0584602520050655E-2</v>
      </c>
      <c r="AH65" s="22">
        <f t="shared" si="27"/>
        <v>5.4162436513395848E-2</v>
      </c>
      <c r="AI65" s="22">
        <f t="shared" si="27"/>
        <v>5.7809215507447727E-2</v>
      </c>
      <c r="AJ65" s="22">
        <f t="shared" si="27"/>
        <v>6.1523042820621578E-2</v>
      </c>
      <c r="AK65" s="22">
        <f t="shared" si="27"/>
        <v>6.5302154953943675E-2</v>
      </c>
      <c r="AL65" s="22">
        <f t="shared" si="27"/>
        <v>6.9144907025749741E-2</v>
      </c>
      <c r="AM65" s="22">
        <f t="shared" si="27"/>
        <v>7.3049760323750365E-2</v>
      </c>
      <c r="AN65" s="22">
        <f t="shared" si="27"/>
        <v>7.7015271596297383E-2</v>
      </c>
      <c r="AO65" s="22">
        <f t="shared" si="27"/>
        <v>8.1040083783861003E-2</v>
      </c>
      <c r="AP65" s="22">
        <f t="shared" si="27"/>
        <v>8.5122917952063504E-2</v>
      </c>
      <c r="AQ65" s="22">
        <f t="shared" si="27"/>
        <v>8.9262566234097923E-2</v>
      </c>
      <c r="AR65" s="22">
        <f t="shared" si="30"/>
        <v>9.3457885626528514E-2</v>
      </c>
      <c r="AS65" s="22">
        <f t="shared" si="30"/>
        <v>9.7707792510874039E-2</v>
      </c>
      <c r="AT65" s="22">
        <f t="shared" si="30"/>
        <v>0.10201125779587575</v>
      </c>
      <c r="AU65" s="22">
        <f t="shared" si="30"/>
        <v>0.10636730259331677</v>
      </c>
      <c r="AV65" s="22">
        <f t="shared" si="30"/>
        <v>0.11077499435471355</v>
      </c>
      <c r="AW65" s="22">
        <f t="shared" si="30"/>
        <v>0.11523344340790692</v>
      </c>
      <c r="AX65" s="22">
        <f t="shared" si="30"/>
        <v>0.11974179984212888</v>
      </c>
      <c r="AY65" s="22">
        <f t="shared" si="30"/>
        <v>0.12429925069795258</v>
      </c>
      <c r="AZ65" s="22">
        <f t="shared" si="30"/>
        <v>0.12890501742499838</v>
      </c>
      <c r="BA65" s="22">
        <f t="shared" si="30"/>
        <v>0.13355835357563006</v>
      </c>
      <c r="BB65" s="22">
        <f t="shared" si="30"/>
        <v>0.13825854270735038</v>
      </c>
      <c r="BC65" s="22">
        <f t="shared" si="30"/>
        <v>0.14300489647035267</v>
      </c>
      <c r="BD65" s="22">
        <f t="shared" si="30"/>
        <v>0.14779675285994165</v>
      </c>
      <c r="BE65" s="22">
        <f t="shared" si="30"/>
        <v>0.15263347462568488</v>
      </c>
      <c r="BF65" s="22">
        <f t="shared" si="30"/>
        <v>0.15751444865866848</v>
      </c>
      <c r="BG65" s="22">
        <f t="shared" si="30"/>
        <v>0.16243915255121308</v>
      </c>
      <c r="BH65" s="22">
        <f t="shared" si="29"/>
        <v>0.16741205359323322</v>
      </c>
      <c r="BI65" s="22">
        <f t="shared" si="29"/>
        <v>0.17276592688789832</v>
      </c>
      <c r="BJ65" s="22">
        <f t="shared" si="29"/>
        <v>0.17309807080941739</v>
      </c>
      <c r="BK65" s="22">
        <f t="shared" si="29"/>
        <v>0.17344881958422206</v>
      </c>
      <c r="BL65" s="22">
        <f t="shared" si="29"/>
        <v>0.17382241146849498</v>
      </c>
      <c r="BM65" s="22">
        <f t="shared" si="29"/>
        <v>0.17422405698176094</v>
      </c>
      <c r="BN65" s="22">
        <f t="shared" si="29"/>
        <v>0.17466016424300848</v>
      </c>
      <c r="BO65" s="22">
        <f t="shared" si="29"/>
        <v>0.17513861806075601</v>
      </c>
      <c r="BP65" s="22">
        <f t="shared" si="29"/>
        <v>0.17566912644110683</v>
      </c>
      <c r="BQ65" s="22">
        <f t="shared" si="29"/>
        <v>0.17626365207545519</v>
      </c>
      <c r="BR65" s="22">
        <f t="shared" si="29"/>
        <v>0.17693695157751566</v>
      </c>
      <c r="BS65" s="22">
        <f t="shared" si="29"/>
        <v>0.17770725228339909</v>
      </c>
      <c r="BT65" s="22">
        <f t="shared" si="29"/>
        <v>0.17859710607852849</v>
      </c>
      <c r="BU65" s="22">
        <f t="shared" si="29"/>
        <v>0.17963447311295111</v>
      </c>
      <c r="BV65" s="22">
        <f t="shared" si="29"/>
        <v>0.18085410712531394</v>
      </c>
      <c r="BW65" s="22">
        <f t="shared" si="22"/>
        <v>0.18229934101889442</v>
      </c>
      <c r="BX65" s="22">
        <f t="shared" si="31"/>
        <v>0.1840244103288067</v>
      </c>
      <c r="BY65" s="22">
        <f t="shared" si="31"/>
        <v>0.18609750954495707</v>
      </c>
      <c r="BZ65" s="22">
        <f t="shared" si="31"/>
        <v>0.18860486182453551</v>
      </c>
      <c r="CA65" s="22">
        <f t="shared" si="31"/>
        <v>0.19165621240368208</v>
      </c>
      <c r="CB65" s="22">
        <f t="shared" si="31"/>
        <v>0.1953923561554573</v>
      </c>
      <c r="CC65" s="22">
        <f t="shared" si="31"/>
        <v>0.19999562391774511</v>
      </c>
      <c r="CD65" s="22">
        <f t="shared" si="31"/>
        <v>0.20570475489589182</v>
      </c>
      <c r="CE65" s="22">
        <f t="shared" si="31"/>
        <v>0.21283640348373511</v>
      </c>
      <c r="CF65" s="22">
        <f t="shared" si="31"/>
        <v>0.22181690030670187</v>
      </c>
      <c r="CG65" s="22">
        <f t="shared" si="31"/>
        <v>0.23323023511884777</v>
      </c>
      <c r="CH65" s="22">
        <f t="shared" si="31"/>
        <v>0.24789235824439518</v>
      </c>
      <c r="CI65" s="22">
        <f t="shared" si="31"/>
        <v>0.26696937732921328</v>
      </c>
      <c r="CJ65" s="22">
        <f t="shared" si="31"/>
        <v>0.2921712267288526</v>
      </c>
      <c r="CK65" s="22">
        <f t="shared" si="31"/>
        <v>0.32607955462498028</v>
      </c>
      <c r="CL65" s="22">
        <f t="shared" si="31"/>
        <v>0.37272344099617483</v>
      </c>
      <c r="CM65" s="22">
        <f t="shared" si="31"/>
        <v>0.43863240469695197</v>
      </c>
      <c r="CN65" s="22">
        <f t="shared" si="26"/>
        <v>0.53485317861274195</v>
      </c>
      <c r="CO65" s="22">
        <f t="shared" si="26"/>
        <v>0.68101957049642814</v>
      </c>
      <c r="CP65" s="22">
        <f t="shared" si="26"/>
        <v>0.91407009728639343</v>
      </c>
      <c r="CQ65" s="22">
        <f t="shared" si="26"/>
        <v>1.3082438240236689</v>
      </c>
      <c r="CR65" s="22">
        <f t="shared" si="26"/>
        <v>2.024716719588564</v>
      </c>
      <c r="CS65" s="22">
        <f t="shared" si="26"/>
        <v>3.4466668762214834</v>
      </c>
      <c r="CT65" s="22">
        <f t="shared" si="26"/>
        <v>6.5884928037301886</v>
      </c>
      <c r="CU65" s="22">
        <f t="shared" si="18"/>
        <v>14.503064112167664</v>
      </c>
      <c r="CV65" s="22">
        <f t="shared" si="18"/>
        <v>37.90667801864052</v>
      </c>
      <c r="CW65" s="22">
        <f t="shared" si="18"/>
        <v>122.10000000006993</v>
      </c>
    </row>
    <row r="66" spans="1:101">
      <c r="A66" s="22">
        <v>64</v>
      </c>
      <c r="B66" s="32" t="str">
        <f>データファイル用!$B67</f>
        <v>ASHRAE Expanded Polystyrene Insulation</v>
      </c>
      <c r="C66" s="32">
        <f>データファイル用!K67</f>
        <v>2</v>
      </c>
      <c r="D66" s="32">
        <f>データファイル用!L67</f>
        <v>6.3819000000000001E-2</v>
      </c>
      <c r="E66" s="32">
        <f>データファイル用!M67</f>
        <v>0.42612</v>
      </c>
      <c r="F66" s="32">
        <f>データファイル用!N67</f>
        <v>-0.22771</v>
      </c>
      <c r="G66" s="32">
        <f>データファイル用!O67</f>
        <v>3.9582999999999999</v>
      </c>
      <c r="H66" s="32">
        <f>データファイル用!P67</f>
        <v>56</v>
      </c>
      <c r="I66" s="35">
        <f>データファイル用!Q67</f>
        <v>6.217420285814261E-2</v>
      </c>
      <c r="J66" s="32">
        <f t="shared" si="2"/>
        <v>6.2174294631271575E-2</v>
      </c>
      <c r="K66" s="32">
        <f t="shared" si="3"/>
        <v>6.217420285814261E-2</v>
      </c>
      <c r="L66" s="53">
        <f t="shared" si="4"/>
        <v>9.1773128964300899E-8</v>
      </c>
      <c r="M66" s="22">
        <f t="shared" si="28"/>
        <v>0</v>
      </c>
      <c r="N66" s="22">
        <f t="shared" si="28"/>
        <v>9.5960326887999953E-3</v>
      </c>
      <c r="O66" s="22">
        <f t="shared" si="28"/>
        <v>1.2893383229679947E-2</v>
      </c>
      <c r="P66" s="22">
        <f t="shared" si="28"/>
        <v>1.532512587519856E-2</v>
      </c>
      <c r="Q66" s="22">
        <f t="shared" si="28"/>
        <v>1.7323913403399387E-2</v>
      </c>
      <c r="R66" s="22">
        <f t="shared" si="28"/>
        <v>1.9052311973788563E-2</v>
      </c>
      <c r="S66" s="22">
        <f t="shared" si="28"/>
        <v>2.0592065597904729E-2</v>
      </c>
      <c r="T66" s="22">
        <f t="shared" si="28"/>
        <v>2.1991057480288442E-2</v>
      </c>
      <c r="U66" s="22">
        <f t="shared" si="28"/>
        <v>2.3280181553414672E-2</v>
      </c>
      <c r="V66" s="22">
        <f t="shared" si="28"/>
        <v>2.4480767405494087E-2</v>
      </c>
      <c r="W66" s="22">
        <f t="shared" si="28"/>
        <v>2.5608309674943808E-2</v>
      </c>
      <c r="X66" s="22">
        <f t="shared" si="28"/>
        <v>2.6674526131452856E-2</v>
      </c>
      <c r="Y66" s="22">
        <f t="shared" si="28"/>
        <v>2.7688576894452536E-2</v>
      </c>
      <c r="Z66" s="22">
        <f t="shared" si="28"/>
        <v>2.8657827992796397E-2</v>
      </c>
      <c r="AA66" s="22">
        <f t="shared" si="28"/>
        <v>2.9588351533522017E-2</v>
      </c>
      <c r="AB66" s="22">
        <f t="shared" si="28"/>
        <v>3.0485265762525967E-2</v>
      </c>
      <c r="AC66" s="22">
        <f t="shared" si="27"/>
        <v>3.1352973671425158E-2</v>
      </c>
      <c r="AD66" s="22">
        <f t="shared" si="27"/>
        <v>3.2195335038752305E-2</v>
      </c>
      <c r="AE66" s="22">
        <f t="shared" si="27"/>
        <v>3.3015793487950931E-2</v>
      </c>
      <c r="AF66" s="22">
        <f t="shared" si="27"/>
        <v>3.3817472372448115E-2</v>
      </c>
      <c r="AG66" s="22">
        <f t="shared" si="27"/>
        <v>3.4603248589639E-2</v>
      </c>
      <c r="AH66" s="22">
        <f t="shared" si="27"/>
        <v>3.53758104815469E-2</v>
      </c>
      <c r="AI66" s="22">
        <f t="shared" si="27"/>
        <v>3.6137704087427613E-2</v>
      </c>
      <c r="AJ66" s="22">
        <f t="shared" si="27"/>
        <v>3.6891370767099148E-2</v>
      </c>
      <c r="AK66" s="22">
        <f t="shared" si="27"/>
        <v>3.7639178374988071E-2</v>
      </c>
      <c r="AL66" s="22">
        <f t="shared" si="27"/>
        <v>3.8383447589701684E-2</v>
      </c>
      <c r="AM66" s="22">
        <f t="shared" si="27"/>
        <v>3.9126474602986343E-2</v>
      </c>
      <c r="AN66" s="22">
        <f t="shared" si="27"/>
        <v>3.9870551088496971E-2</v>
      </c>
      <c r="AO66" s="22">
        <f t="shared" si="27"/>
        <v>4.0617982168139027E-2</v>
      </c>
      <c r="AP66" s="22">
        <f t="shared" si="27"/>
        <v>4.137110294760854E-2</v>
      </c>
      <c r="AQ66" s="22">
        <f t="shared" si="27"/>
        <v>4.2132294086888289E-2</v>
      </c>
      <c r="AR66" s="22">
        <f t="shared" si="30"/>
        <v>4.2903996794798921E-2</v>
      </c>
      <c r="AS66" s="22">
        <f t="shared" si="30"/>
        <v>4.3688727581637755E-2</v>
      </c>
      <c r="AT66" s="22">
        <f t="shared" si="30"/>
        <v>4.4489093065178238E-2</v>
      </c>
      <c r="AU66" s="22">
        <f t="shared" si="30"/>
        <v>4.5307805099156127E-2</v>
      </c>
      <c r="AV66" s="22">
        <f t="shared" si="30"/>
        <v>4.6147696477258762E-2</v>
      </c>
      <c r="AW66" s="22">
        <f t="shared" si="30"/>
        <v>4.7011737457779305E-2</v>
      </c>
      <c r="AX66" s="22">
        <f t="shared" si="30"/>
        <v>4.790305335329522E-2</v>
      </c>
      <c r="AY66" s="22">
        <f t="shared" si="30"/>
        <v>4.882494343520994E-2</v>
      </c>
      <c r="AZ66" s="22">
        <f t="shared" si="30"/>
        <v>4.9780901414323536E-2</v>
      </c>
      <c r="BA66" s="22">
        <f t="shared" si="30"/>
        <v>5.07746377756065E-2</v>
      </c>
      <c r="BB66" s="22">
        <f t="shared" si="30"/>
        <v>5.1810104268103341E-2</v>
      </c>
      <c r="BC66" s="22">
        <f t="shared" si="30"/>
        <v>5.2891520879653951E-2</v>
      </c>
      <c r="BD66" s="22">
        <f t="shared" si="30"/>
        <v>5.4023405661350665E-2</v>
      </c>
      <c r="BE66" s="22">
        <f t="shared" si="30"/>
        <v>5.5210607808993839E-2</v>
      </c>
      <c r="BF66" s="22">
        <f t="shared" si="30"/>
        <v>5.6458344459121991E-2</v>
      </c>
      <c r="BG66" s="22">
        <f t="shared" si="30"/>
        <v>5.7772241716539045E-2</v>
      </c>
      <c r="BH66" s="22">
        <f t="shared" si="29"/>
        <v>5.9158380499955289E-2</v>
      </c>
      <c r="BI66" s="22">
        <f t="shared" si="29"/>
        <v>6.0623347873990319E-2</v>
      </c>
      <c r="BJ66" s="22">
        <f t="shared" si="29"/>
        <v>6.0698791197297826E-2</v>
      </c>
      <c r="BK66" s="22">
        <f t="shared" si="29"/>
        <v>6.0774450271641176E-2</v>
      </c>
      <c r="BL66" s="22">
        <f t="shared" si="29"/>
        <v>6.0850326033911058E-2</v>
      </c>
      <c r="BM66" s="22">
        <f t="shared" si="29"/>
        <v>6.0926419424960548E-2</v>
      </c>
      <c r="BN66" s="22">
        <f t="shared" si="29"/>
        <v>6.1002731389626676E-2</v>
      </c>
      <c r="BO66" s="22">
        <f t="shared" si="29"/>
        <v>6.107926287675234E-2</v>
      </c>
      <c r="BP66" s="22">
        <f t="shared" si="29"/>
        <v>6.1156014839208253E-2</v>
      </c>
      <c r="BQ66" s="22">
        <f t="shared" si="29"/>
        <v>6.123298823391498E-2</v>
      </c>
      <c r="BR66" s="22">
        <f t="shared" si="29"/>
        <v>6.1310184021865201E-2</v>
      </c>
      <c r="BS66" s="22">
        <f t="shared" si="29"/>
        <v>6.1387603168146079E-2</v>
      </c>
      <c r="BT66" s="22">
        <f t="shared" si="29"/>
        <v>6.1465246641961693E-2</v>
      </c>
      <c r="BU66" s="22">
        <f t="shared" si="29"/>
        <v>6.1543115416655671E-2</v>
      </c>
      <c r="BV66" s="22">
        <f t="shared" si="29"/>
        <v>6.1621210469734004E-2</v>
      </c>
      <c r="BW66" s="22">
        <f t="shared" si="22"/>
        <v>6.1699532782887888E-2</v>
      </c>
      <c r="BX66" s="22">
        <f t="shared" si="31"/>
        <v>6.1778083342016697E-2</v>
      </c>
      <c r="BY66" s="22">
        <f t="shared" si="31"/>
        <v>6.1856863137251264E-2</v>
      </c>
      <c r="BZ66" s="22">
        <f t="shared" si="31"/>
        <v>6.1935873162977141E-2</v>
      </c>
      <c r="CA66" s="22">
        <f t="shared" si="31"/>
        <v>6.201511441785796E-2</v>
      </c>
      <c r="CB66" s="22">
        <f t="shared" si="31"/>
        <v>6.209458790485916E-2</v>
      </c>
      <c r="CC66" s="22">
        <f t="shared" si="31"/>
        <v>6.2174202859695195E-2</v>
      </c>
      <c r="CD66" s="22">
        <f t="shared" si="31"/>
        <v>2.8590654927167902</v>
      </c>
      <c r="CE66" s="22">
        <f t="shared" si="31"/>
        <v>5.6559567825738855</v>
      </c>
      <c r="CF66" s="22">
        <f t="shared" si="31"/>
        <v>8.4528480724309816</v>
      </c>
      <c r="CG66" s="22">
        <f t="shared" si="31"/>
        <v>11.249739362288077</v>
      </c>
      <c r="CH66" s="22">
        <f t="shared" si="31"/>
        <v>14.04663065214517</v>
      </c>
      <c r="CI66" s="22">
        <f t="shared" si="31"/>
        <v>16.843521942002265</v>
      </c>
      <c r="CJ66" s="22">
        <f t="shared" si="31"/>
        <v>19.640413231859359</v>
      </c>
      <c r="CK66" s="22">
        <f t="shared" si="31"/>
        <v>22.437304521716456</v>
      </c>
      <c r="CL66" s="22">
        <f t="shared" si="31"/>
        <v>25.234195811573553</v>
      </c>
      <c r="CM66" s="22">
        <f t="shared" si="31"/>
        <v>28.031087101430646</v>
      </c>
      <c r="CN66" s="22">
        <f t="shared" si="26"/>
        <v>30.827978391287743</v>
      </c>
      <c r="CO66" s="22">
        <f t="shared" si="26"/>
        <v>33.624869681144844</v>
      </c>
      <c r="CP66" s="22">
        <f t="shared" si="26"/>
        <v>36.421760971001937</v>
      </c>
      <c r="CQ66" s="22">
        <f t="shared" si="26"/>
        <v>39.218652260859031</v>
      </c>
      <c r="CR66" s="22">
        <f t="shared" si="26"/>
        <v>42.015543550716124</v>
      </c>
      <c r="CS66" s="22">
        <f t="shared" si="26"/>
        <v>44.812434840573225</v>
      </c>
      <c r="CT66" s="22">
        <f t="shared" si="26"/>
        <v>47.609326130430318</v>
      </c>
      <c r="CU66" s="22">
        <f t="shared" si="18"/>
        <v>50.406217420287412</v>
      </c>
      <c r="CV66" s="22">
        <f t="shared" si="18"/>
        <v>53.203108710144505</v>
      </c>
      <c r="CW66" s="22">
        <f t="shared" si="18"/>
        <v>56.000000000001293</v>
      </c>
    </row>
    <row r="67" spans="1:101">
      <c r="A67" s="22">
        <v>65</v>
      </c>
      <c r="B67" s="32" t="str">
        <f>データファイル用!$B68</f>
        <v>ASHRAE Extruded Polystyrene Insulation</v>
      </c>
      <c r="C67" s="32">
        <f>データファイル用!K68</f>
        <v>2</v>
      </c>
      <c r="D67" s="32">
        <f>データファイル用!L68</f>
        <v>6.3819000000000001E-2</v>
      </c>
      <c r="E67" s="32">
        <f>データファイル用!M68</f>
        <v>0.42613000000000001</v>
      </c>
      <c r="F67" s="32">
        <f>データファイル用!N68</f>
        <v>-0.22771</v>
      </c>
      <c r="G67" s="32">
        <f>データファイル用!O68</f>
        <v>3.9586000000000001</v>
      </c>
      <c r="H67" s="32">
        <f>データファイル用!P68</f>
        <v>21</v>
      </c>
      <c r="I67" s="35">
        <f>データファイル用!Q68</f>
        <v>6.217420285814261E-2</v>
      </c>
      <c r="J67" s="32">
        <f t="shared" si="2"/>
        <v>6.2174202858142569E-2</v>
      </c>
      <c r="K67" s="32">
        <f t="shared" si="3"/>
        <v>6.217420285814261E-2</v>
      </c>
      <c r="L67" s="53">
        <f t="shared" si="4"/>
        <v>-4.163336342344337E-17</v>
      </c>
      <c r="M67" s="22">
        <f t="shared" si="28"/>
        <v>0</v>
      </c>
      <c r="N67" s="22">
        <f t="shared" si="28"/>
        <v>9.5956572966536362E-3</v>
      </c>
      <c r="O67" s="22">
        <f t="shared" si="28"/>
        <v>1.2892968206067302E-2</v>
      </c>
      <c r="P67" s="22">
        <f t="shared" si="28"/>
        <v>1.5324694679625569E-2</v>
      </c>
      <c r="Q67" s="22">
        <f t="shared" si="28"/>
        <v>1.7323475717906118E-2</v>
      </c>
      <c r="R67" s="22">
        <f t="shared" si="28"/>
        <v>1.9051872953377163E-2</v>
      </c>
      <c r="S67" s="22">
        <f t="shared" si="28"/>
        <v>2.0591628321062861E-2</v>
      </c>
      <c r="T67" s="22">
        <f t="shared" si="28"/>
        <v>2.1990623884298472E-2</v>
      </c>
      <c r="U67" s="22">
        <f t="shared" si="28"/>
        <v>2.3279752867956992E-2</v>
      </c>
      <c r="V67" s="22">
        <f t="shared" si="28"/>
        <v>2.4480344380563585E-2</v>
      </c>
      <c r="W67" s="22">
        <f t="shared" si="28"/>
        <v>2.5607892712114375E-2</v>
      </c>
      <c r="X67" s="22">
        <f t="shared" si="28"/>
        <v>2.6674115365251515E-2</v>
      </c>
      <c r="Y67" s="22">
        <f t="shared" si="28"/>
        <v>2.7688172246203371E-2</v>
      </c>
      <c r="Z67" s="22">
        <f t="shared" si="28"/>
        <v>2.8657429208540187E-2</v>
      </c>
      <c r="AA67" s="22">
        <f t="shared" si="28"/>
        <v>2.9587958212433773E-2</v>
      </c>
      <c r="AB67" s="22">
        <f t="shared" si="28"/>
        <v>3.0484877379571274E-2</v>
      </c>
      <c r="AC67" s="22">
        <f t="shared" si="27"/>
        <v>3.1352589596527772E-2</v>
      </c>
      <c r="AD67" s="22">
        <f t="shared" si="27"/>
        <v>3.2194954553903067E-2</v>
      </c>
      <c r="AE67" s="22">
        <f t="shared" si="27"/>
        <v>3.3015415803186093E-2</v>
      </c>
      <c r="AF67" s="22">
        <f t="shared" si="27"/>
        <v>3.3817096641317261E-2</v>
      </c>
      <c r="AG67" s="22">
        <f t="shared" si="27"/>
        <v>3.460287392458939E-2</v>
      </c>
      <c r="AH67" s="22">
        <f t="shared" si="27"/>
        <v>3.5375435969528655E-2</v>
      </c>
      <c r="AI67" s="22">
        <f t="shared" si="27"/>
        <v>3.6137328805946542E-2</v>
      </c>
      <c r="AJ67" s="22">
        <f t="shared" si="27"/>
        <v>3.6890993800895992E-2</v>
      </c>
      <c r="AK67" s="22">
        <f t="shared" si="27"/>
        <v>3.7638798833495517E-2</v>
      </c>
      <c r="AL67" s="22">
        <f t="shared" si="27"/>
        <v>3.8383064625417178E-2</v>
      </c>
      <c r="AM67" s="22">
        <f t="shared" si="27"/>
        <v>3.9126087430896676E-2</v>
      </c>
      <c r="AN67" s="22">
        <f t="shared" si="27"/>
        <v>3.9870159006696541E-2</v>
      </c>
      <c r="AO67" s="22">
        <f t="shared" si="27"/>
        <v>4.0617584579797361E-2</v>
      </c>
      <c r="AP67" s="22">
        <f t="shared" si="27"/>
        <v>4.1370699384462091E-2</v>
      </c>
      <c r="AQ67" s="22">
        <f t="shared" si="27"/>
        <v>4.2131884234457184E-2</v>
      </c>
      <c r="AR67" s="22">
        <f t="shared" si="30"/>
        <v>4.2903580519560801E-2</v>
      </c>
      <c r="AS67" s="22">
        <f t="shared" si="30"/>
        <v>4.3688304960428331E-2</v>
      </c>
      <c r="AT67" s="22">
        <f t="shared" si="30"/>
        <v>4.4488664417132277E-2</v>
      </c>
      <c r="AU67" s="22">
        <f t="shared" si="30"/>
        <v>4.5307371020553565E-2</v>
      </c>
      <c r="AV67" s="22">
        <f t="shared" si="30"/>
        <v>4.6147257879699595E-2</v>
      </c>
      <c r="AW67" s="22">
        <f t="shared" si="30"/>
        <v>4.7011295610179367E-2</v>
      </c>
      <c r="AX67" s="22">
        <f t="shared" si="30"/>
        <v>4.7902609928272881E-2</v>
      </c>
      <c r="AY67" s="22">
        <f t="shared" si="30"/>
        <v>4.8824500560524349E-2</v>
      </c>
      <c r="AZ67" s="22">
        <f t="shared" si="30"/>
        <v>4.9780461730129205E-2</v>
      </c>
      <c r="BA67" s="22">
        <f t="shared" si="30"/>
        <v>5.0774204498409137E-2</v>
      </c>
      <c r="BB67" s="22">
        <f t="shared" si="30"/>
        <v>5.1809681262441246E-2</v>
      </c>
      <c r="BC67" s="22">
        <f t="shared" si="30"/>
        <v>5.2891112738690439E-2</v>
      </c>
      <c r="BD67" s="22">
        <f t="shared" si="30"/>
        <v>5.4023017797750268E-2</v>
      </c>
      <c r="BE67" s="22">
        <f t="shared" si="30"/>
        <v>5.521024655767328E-2</v>
      </c>
      <c r="BF67" s="22">
        <f t="shared" si="30"/>
        <v>5.6458017193720712E-2</v>
      </c>
      <c r="BG67" s="22">
        <f t="shared" si="30"/>
        <v>5.7771956981751256E-2</v>
      </c>
      <c r="BH67" s="22">
        <f t="shared" si="29"/>
        <v>5.9158148162212897E-2</v>
      </c>
      <c r="BI67" s="22">
        <f t="shared" si="29"/>
        <v>6.0623179293393441E-2</v>
      </c>
      <c r="BJ67" s="22">
        <f t="shared" si="29"/>
        <v>6.0698626132171266E-2</v>
      </c>
      <c r="BK67" s="22">
        <f t="shared" si="29"/>
        <v>6.0774288754789178E-2</v>
      </c>
      <c r="BL67" s="22">
        <f t="shared" si="29"/>
        <v>6.0850168098364375E-2</v>
      </c>
      <c r="BM67" s="22">
        <f t="shared" si="29"/>
        <v>6.0926265103977834E-2</v>
      </c>
      <c r="BN67" s="22">
        <f t="shared" si="29"/>
        <v>6.1002580716695981E-2</v>
      </c>
      <c r="BO67" s="22">
        <f t="shared" si="29"/>
        <v>6.1079115885592478E-2</v>
      </c>
      <c r="BP67" s="22">
        <f t="shared" si="29"/>
        <v>6.1155871563770309E-2</v>
      </c>
      <c r="BQ67" s="22">
        <f t="shared" si="29"/>
        <v>6.1232848708383719E-2</v>
      </c>
      <c r="BR67" s="22">
        <f t="shared" si="29"/>
        <v>6.1310048280660591E-2</v>
      </c>
      <c r="BS67" s="22">
        <f t="shared" si="29"/>
        <v>6.1387471245924752E-2</v>
      </c>
      <c r="BT67" s="22">
        <f t="shared" si="29"/>
        <v>6.1465118573618416E-2</v>
      </c>
      <c r="BU67" s="22">
        <f t="shared" si="29"/>
        <v>6.154299123732488E-2</v>
      </c>
      <c r="BV67" s="22">
        <f t="shared" si="29"/>
        <v>6.162109021479132E-2</v>
      </c>
      <c r="BW67" s="22">
        <f t="shared" si="22"/>
        <v>6.1699416487951554E-2</v>
      </c>
      <c r="BX67" s="22">
        <f t="shared" si="31"/>
        <v>6.1777971042949249E-2</v>
      </c>
      <c r="BY67" s="22">
        <f t="shared" si="31"/>
        <v>6.1856754870160985E-2</v>
      </c>
      <c r="BZ67" s="22">
        <f t="shared" si="31"/>
        <v>6.1935768964219581E-2</v>
      </c>
      <c r="CA67" s="22">
        <f t="shared" si="31"/>
        <v>6.2015014324037637E-2</v>
      </c>
      <c r="CB67" s="22">
        <f t="shared" si="31"/>
        <v>6.2094491952831003E-2</v>
      </c>
      <c r="CC67" s="22">
        <f t="shared" si="31"/>
        <v>6.217420285872375E-2</v>
      </c>
      <c r="CD67" s="22">
        <f t="shared" si="31"/>
        <v>1.1090654927158177</v>
      </c>
      <c r="CE67" s="22">
        <f t="shared" si="31"/>
        <v>2.1559567825729111</v>
      </c>
      <c r="CF67" s="22">
        <f t="shared" si="31"/>
        <v>3.202848072430005</v>
      </c>
      <c r="CG67" s="22">
        <f t="shared" si="31"/>
        <v>4.2497393622870989</v>
      </c>
      <c r="CH67" s="22">
        <f t="shared" si="31"/>
        <v>5.2966306521441933</v>
      </c>
      <c r="CI67" s="22">
        <f t="shared" si="31"/>
        <v>6.3435219420012876</v>
      </c>
      <c r="CJ67" s="22">
        <f t="shared" si="31"/>
        <v>7.3904132318583811</v>
      </c>
      <c r="CK67" s="22">
        <f t="shared" si="31"/>
        <v>8.4373045217154754</v>
      </c>
      <c r="CL67" s="22">
        <f t="shared" si="31"/>
        <v>9.4841958115725689</v>
      </c>
      <c r="CM67" s="22">
        <f t="shared" si="31"/>
        <v>10.531087101429662</v>
      </c>
      <c r="CN67" s="22">
        <f t="shared" si="26"/>
        <v>11.577978391286756</v>
      </c>
      <c r="CO67" s="22">
        <f t="shared" si="26"/>
        <v>12.624869681143849</v>
      </c>
      <c r="CP67" s="22">
        <f t="shared" si="26"/>
        <v>13.671760971000944</v>
      </c>
      <c r="CQ67" s="22">
        <f t="shared" si="26"/>
        <v>14.718652260858038</v>
      </c>
      <c r="CR67" s="22">
        <f t="shared" si="26"/>
        <v>15.765543550715131</v>
      </c>
      <c r="CS67" s="22">
        <f t="shared" si="26"/>
        <v>16.812434840572223</v>
      </c>
      <c r="CT67" s="22">
        <f t="shared" si="26"/>
        <v>17.859326130429316</v>
      </c>
      <c r="CU67" s="22">
        <f t="shared" si="18"/>
        <v>18.906217420286413</v>
      </c>
      <c r="CV67" s="22">
        <f t="shared" si="18"/>
        <v>19.953108710143507</v>
      </c>
      <c r="CW67" s="22">
        <f t="shared" si="18"/>
        <v>21.000000000000483</v>
      </c>
    </row>
    <row r="68" spans="1:101">
      <c r="A68" s="22">
        <v>66</v>
      </c>
      <c r="B68" s="32" t="str">
        <f>データファイル用!$B69</f>
        <v>ASHRAE Spray Polyurethane Foam Insulation</v>
      </c>
      <c r="C68" s="32">
        <f>データファイル用!K69</f>
        <v>1</v>
      </c>
      <c r="D68" s="32">
        <f>データファイル用!L69</f>
        <v>3.8792</v>
      </c>
      <c r="E68" s="32">
        <f>データファイル用!M69</f>
        <v>7.8729999999999998E-3</v>
      </c>
      <c r="F68" s="32">
        <f>データファイル用!N69</f>
        <v>-6.3666</v>
      </c>
      <c r="G68" s="32">
        <f>データファイル用!O69</f>
        <v>63.591999999999999</v>
      </c>
      <c r="H68" s="32">
        <f>データファイル用!P69</f>
        <v>0</v>
      </c>
      <c r="I68" s="35">
        <f>データファイル用!Q69</f>
        <v>0</v>
      </c>
      <c r="J68" s="32">
        <f t="shared" ref="J68:J82" si="32">$D68*$O$1^$E68*EXP($F68*(1-$O$1^$G68))</f>
        <v>3.8800122506896913E-2</v>
      </c>
      <c r="K68" s="32">
        <f t="shared" ref="K68:K82" si="33">($H68-$I68)*($O$1-$O$1)/(1-$O$1)+$I68</f>
        <v>0</v>
      </c>
      <c r="L68" s="53" t="str">
        <f t="shared" ref="L68:L82" si="34">IF($C68=2,$J68-$K68,"N/A")</f>
        <v>N/A</v>
      </c>
      <c r="M68" s="22">
        <f t="shared" si="28"/>
        <v>0</v>
      </c>
      <c r="N68" s="22">
        <f t="shared" si="28"/>
        <v>6.4622972670252792E-3</v>
      </c>
      <c r="O68" s="22">
        <f t="shared" si="28"/>
        <v>6.4976593784073639E-3</v>
      </c>
      <c r="P68" s="22">
        <f t="shared" si="28"/>
        <v>6.5184345226312222E-3</v>
      </c>
      <c r="Q68" s="22">
        <f t="shared" si="28"/>
        <v>6.5332149935652308E-3</v>
      </c>
      <c r="R68" s="22">
        <f t="shared" si="28"/>
        <v>6.5447026935313117E-3</v>
      </c>
      <c r="S68" s="22">
        <f t="shared" si="28"/>
        <v>6.5541038207308777E-3</v>
      </c>
      <c r="T68" s="22">
        <f t="shared" si="28"/>
        <v>6.5620628953259857E-3</v>
      </c>
      <c r="U68" s="22">
        <f t="shared" si="28"/>
        <v>6.5689651713641394E-3</v>
      </c>
      <c r="V68" s="22">
        <f t="shared" si="28"/>
        <v>6.5750594363155161E-3</v>
      </c>
      <c r="W68" s="22">
        <f t="shared" si="28"/>
        <v>6.5805157327723579E-3</v>
      </c>
      <c r="X68" s="22">
        <f t="shared" si="28"/>
        <v>6.585455453821297E-3</v>
      </c>
      <c r="Y68" s="22">
        <f t="shared" si="28"/>
        <v>6.5899683035520332E-3</v>
      </c>
      <c r="Z68" s="22">
        <f t="shared" si="28"/>
        <v>6.5941224537688021E-3</v>
      </c>
      <c r="AA68" s="22">
        <f t="shared" si="28"/>
        <v>6.5979709307215136E-3</v>
      </c>
      <c r="AB68" s="22">
        <f t="shared" si="28"/>
        <v>6.6015557958864742E-3</v>
      </c>
      <c r="AC68" s="22">
        <f t="shared" si="27"/>
        <v>6.6049109764635301E-3</v>
      </c>
      <c r="AD68" s="22">
        <f t="shared" si="27"/>
        <v>6.6080642373970936E-3</v>
      </c>
      <c r="AE68" s="22">
        <f t="shared" si="27"/>
        <v>6.6110385896294959E-3</v>
      </c>
      <c r="AF68" s="22">
        <f t="shared" si="27"/>
        <v>6.6138533176096203E-3</v>
      </c>
      <c r="AG68" s="22">
        <f t="shared" si="27"/>
        <v>6.616524743295789E-3</v>
      </c>
      <c r="AH68" s="22">
        <f t="shared" si="27"/>
        <v>6.6190668038179209E-3</v>
      </c>
      <c r="AI68" s="22">
        <f t="shared" si="27"/>
        <v>6.6214914948199161E-3</v>
      </c>
      <c r="AJ68" s="22">
        <f t="shared" si="27"/>
        <v>6.6238092153085345E-3</v>
      </c>
      <c r="AK68" s="22">
        <f t="shared" si="27"/>
        <v>6.6260290391581935E-3</v>
      </c>
      <c r="AL68" s="22">
        <f t="shared" si="27"/>
        <v>6.6281589312329687E-3</v>
      </c>
      <c r="AM68" s="22">
        <f t="shared" si="27"/>
        <v>6.6302059211554099E-3</v>
      </c>
      <c r="AN68" s="22">
        <f t="shared" si="27"/>
        <v>6.6321762443094989E-3</v>
      </c>
      <c r="AO68" s="22">
        <f t="shared" si="27"/>
        <v>6.634075457224573E-3</v>
      </c>
      <c r="AP68" s="22">
        <f t="shared" si="27"/>
        <v>6.6359085327317626E-3</v>
      </c>
      <c r="AQ68" s="22">
        <f t="shared" si="27"/>
        <v>6.6376799390054381E-3</v>
      </c>
      <c r="AR68" s="22">
        <f t="shared" si="30"/>
        <v>6.6393937056592406E-3</v>
      </c>
      <c r="AS68" s="22">
        <f t="shared" si="30"/>
        <v>6.6410534793687149E-3</v>
      </c>
      <c r="AT68" s="22">
        <f t="shared" si="30"/>
        <v>6.6426625710013414E-3</v>
      </c>
      <c r="AU68" s="22">
        <f t="shared" si="30"/>
        <v>6.6442239960760345E-3</v>
      </c>
      <c r="AV68" s="22">
        <f t="shared" si="30"/>
        <v>6.6457405114863505E-3</v>
      </c>
      <c r="AW68" s="22">
        <f t="shared" si="30"/>
        <v>6.6472146590254438E-3</v>
      </c>
      <c r="AX68" s="22">
        <f t="shared" si="30"/>
        <v>6.6486488672225568E-3</v>
      </c>
      <c r="AY68" s="22">
        <f t="shared" si="30"/>
        <v>6.6500458689664615E-3</v>
      </c>
      <c r="AZ68" s="22">
        <f t="shared" si="30"/>
        <v>6.6514106797761607E-3</v>
      </c>
      <c r="BA68" s="22">
        <f t="shared" si="30"/>
        <v>6.6527599185117348E-3</v>
      </c>
      <c r="BB68" s="22">
        <f t="shared" si="30"/>
        <v>6.6541642852755659E-3</v>
      </c>
      <c r="BC68" s="22">
        <f t="shared" si="30"/>
        <v>6.6559351994379288E-3</v>
      </c>
      <c r="BD68" s="22">
        <f t="shared" si="30"/>
        <v>6.6594163200068271E-3</v>
      </c>
      <c r="BE68" s="22">
        <f t="shared" si="30"/>
        <v>6.6702325905731302E-3</v>
      </c>
      <c r="BF68" s="22">
        <f t="shared" si="30"/>
        <v>6.7112872487411924E-3</v>
      </c>
      <c r="BG68" s="22">
        <f t="shared" si="30"/>
        <v>6.8745828200973249E-3</v>
      </c>
      <c r="BH68" s="22">
        <f t="shared" si="29"/>
        <v>7.5440866107704969E-3</v>
      </c>
      <c r="BI68" s="22">
        <f t="shared" si="29"/>
        <v>1.0710782286528135E-2</v>
      </c>
      <c r="BJ68" s="22">
        <f t="shared" si="29"/>
        <v>1.1064673300568996E-2</v>
      </c>
      <c r="BK68" s="22">
        <f t="shared" si="29"/>
        <v>1.145528378270488E-2</v>
      </c>
      <c r="BL68" s="22">
        <f t="shared" si="29"/>
        <v>1.1887370526247032E-2</v>
      </c>
      <c r="BM68" s="22">
        <f t="shared" si="29"/>
        <v>1.236645891119393E-2</v>
      </c>
      <c r="BN68" s="22">
        <f t="shared" si="29"/>
        <v>1.2898992709870974E-2</v>
      </c>
      <c r="BO68" s="22">
        <f t="shared" si="29"/>
        <v>1.3492517994239355E-2</v>
      </c>
      <c r="BP68" s="22">
        <f t="shared" si="29"/>
        <v>1.4155910017794359E-2</v>
      </c>
      <c r="BQ68" s="22">
        <f t="shared" si="29"/>
        <v>1.4899654545405169E-2</v>
      </c>
      <c r="BR68" s="22">
        <f t="shared" si="29"/>
        <v>1.5736198553849393E-2</v>
      </c>
      <c r="BS68" s="22">
        <f t="shared" si="29"/>
        <v>1.6680389830205092E-2</v>
      </c>
      <c r="BT68" s="22">
        <f t="shared" si="29"/>
        <v>1.7750031181663382E-2</v>
      </c>
      <c r="BU68" s="22">
        <f t="shared" si="29"/>
        <v>1.8966583338753458E-2</v>
      </c>
      <c r="BV68" s="22">
        <f t="shared" si="29"/>
        <v>2.0356062033955083E-2</v>
      </c>
      <c r="BW68" s="22">
        <f t="shared" si="22"/>
        <v>2.1950190381306918E-2</v>
      </c>
      <c r="BX68" s="22">
        <f t="shared" si="31"/>
        <v>2.378788931323635E-2</v>
      </c>
      <c r="BY68" s="22">
        <f t="shared" si="31"/>
        <v>2.5917218976807939E-2</v>
      </c>
      <c r="BZ68" s="22">
        <f t="shared" si="31"/>
        <v>2.8397926351667289E-2</v>
      </c>
      <c r="CA68" s="22">
        <f t="shared" si="31"/>
        <v>3.1304814385891458E-2</v>
      </c>
      <c r="CB68" s="22">
        <f t="shared" si="31"/>
        <v>3.4732233788479096E-2</v>
      </c>
      <c r="CC68" s="22">
        <f t="shared" si="31"/>
        <v>3.8800122506899362E-2</v>
      </c>
      <c r="CD68" s="22">
        <f t="shared" si="31"/>
        <v>4.3662198454601314E-2</v>
      </c>
      <c r="CE68" s="22">
        <f t="shared" si="31"/>
        <v>4.9517176802233193E-2</v>
      </c>
      <c r="CF68" s="22">
        <f t="shared" si="31"/>
        <v>5.6624278461765459E-2</v>
      </c>
      <c r="CG68" s="22">
        <f t="shared" si="31"/>
        <v>6.5324890934096574E-2</v>
      </c>
      <c r="CH68" s="22">
        <f t="shared" si="31"/>
        <v>7.6073147167728769E-2</v>
      </c>
      <c r="CI68" s="22">
        <f t="shared" si="31"/>
        <v>8.9479580634153788E-2</v>
      </c>
      <c r="CJ68" s="22">
        <f t="shared" si="31"/>
        <v>0.10637418585363273</v>
      </c>
      <c r="CK68" s="22">
        <f t="shared" si="31"/>
        <v>0.12789864288985242</v>
      </c>
      <c r="CL68" s="22">
        <f t="shared" si="31"/>
        <v>0.155642955843345</v>
      </c>
      <c r="CM68" s="22">
        <f t="shared" si="31"/>
        <v>0.19185067630496053</v>
      </c>
      <c r="CN68" s="22">
        <f t="shared" si="26"/>
        <v>0.23973159415912562</v>
      </c>
      <c r="CO68" s="22">
        <f t="shared" si="26"/>
        <v>0.30394542375579636</v>
      </c>
      <c r="CP68" s="22">
        <f t="shared" si="26"/>
        <v>0.39136198921686077</v>
      </c>
      <c r="CQ68" s="22">
        <f t="shared" si="26"/>
        <v>0.51227615438425855</v>
      </c>
      <c r="CR68" s="22">
        <f t="shared" si="26"/>
        <v>0.68238411501347451</v>
      </c>
      <c r="CS68" s="22">
        <f t="shared" si="26"/>
        <v>0.92605858858110446</v>
      </c>
      <c r="CT68" s="22">
        <f t="shared" si="26"/>
        <v>1.2818842426887016</v>
      </c>
      <c r="CU68" s="22">
        <f t="shared" si="18"/>
        <v>1.8122091192699425</v>
      </c>
      <c r="CV68" s="22">
        <f t="shared" si="18"/>
        <v>2.6199903890412335</v>
      </c>
      <c r="CW68" s="22">
        <f t="shared" si="18"/>
        <v>3.8792000000006968</v>
      </c>
    </row>
    <row r="69" spans="1:101">
      <c r="A69" s="22">
        <v>67</v>
      </c>
      <c r="B69" s="32" t="str">
        <f>データファイル用!$B70</f>
        <v>ASHRAE Polyisocyanurate Insulation</v>
      </c>
      <c r="C69" s="32">
        <f>データファイル用!K70</f>
        <v>1</v>
      </c>
      <c r="D69" s="32">
        <f>データファイル用!L70</f>
        <v>635.94000000000005</v>
      </c>
      <c r="E69" s="32">
        <f>データファイル用!M70</f>
        <v>0.48787999999999998</v>
      </c>
      <c r="F69" s="32">
        <f>データファイル用!N70</f>
        <v>-10.622999999999999</v>
      </c>
      <c r="G69" s="32">
        <f>データファイル用!O70</f>
        <v>19.853000000000002</v>
      </c>
      <c r="H69" s="32">
        <f>データファイル用!P70</f>
        <v>0</v>
      </c>
      <c r="I69" s="35">
        <f>データファイル用!Q70</f>
        <v>0</v>
      </c>
      <c r="J69" s="32">
        <f t="shared" si="32"/>
        <v>18.827909516320165</v>
      </c>
      <c r="K69" s="32">
        <f t="shared" si="33"/>
        <v>0</v>
      </c>
      <c r="L69" s="53" t="str">
        <f t="shared" si="34"/>
        <v>N/A</v>
      </c>
      <c r="M69" s="22">
        <f t="shared" si="28"/>
        <v>0</v>
      </c>
      <c r="N69" s="22">
        <f t="shared" si="28"/>
        <v>2.2962140796148143E-3</v>
      </c>
      <c r="O69" s="22">
        <f t="shared" si="28"/>
        <v>3.2201706685682052E-3</v>
      </c>
      <c r="P69" s="22">
        <f t="shared" si="28"/>
        <v>3.9245538569570313E-3</v>
      </c>
      <c r="Q69" s="22">
        <f t="shared" si="28"/>
        <v>4.5159113110422441E-3</v>
      </c>
      <c r="R69" s="22">
        <f t="shared" si="28"/>
        <v>5.0353059203295837E-3</v>
      </c>
      <c r="S69" s="22">
        <f t="shared" si="28"/>
        <v>5.5037260373863783E-3</v>
      </c>
      <c r="T69" s="22">
        <f t="shared" si="28"/>
        <v>5.9336073958926681E-3</v>
      </c>
      <c r="U69" s="22">
        <f t="shared" si="28"/>
        <v>6.3330354407168544E-3</v>
      </c>
      <c r="V69" s="22">
        <f t="shared" si="28"/>
        <v>6.7076162945313286E-3</v>
      </c>
      <c r="W69" s="22">
        <f t="shared" si="28"/>
        <v>7.0614254027374567E-3</v>
      </c>
      <c r="X69" s="22">
        <f t="shared" si="28"/>
        <v>7.3975351734403222E-3</v>
      </c>
      <c r="Y69" s="22">
        <f t="shared" si="28"/>
        <v>7.7183296239055664E-3</v>
      </c>
      <c r="Z69" s="22">
        <f t="shared" si="28"/>
        <v>8.0257025223084994E-3</v>
      </c>
      <c r="AA69" s="22">
        <f t="shared" si="28"/>
        <v>8.3211877615546048E-3</v>
      </c>
      <c r="AB69" s="22">
        <f t="shared" si="28"/>
        <v>8.6060483013150769E-3</v>
      </c>
      <c r="AC69" s="22">
        <f t="shared" si="27"/>
        <v>8.8813387143284583E-3</v>
      </c>
      <c r="AD69" s="22">
        <f t="shared" si="27"/>
        <v>9.1479503247004022E-3</v>
      </c>
      <c r="AE69" s="22">
        <f t="shared" si="27"/>
        <v>9.4066445266756601E-3</v>
      </c>
      <c r="AF69" s="22">
        <f t="shared" si="27"/>
        <v>9.6580778856804102E-3</v>
      </c>
      <c r="AG69" s="22">
        <f t="shared" si="27"/>
        <v>9.9028214315636989E-3</v>
      </c>
      <c r="AH69" s="22">
        <f t="shared" si="27"/>
        <v>1.0141375839590338E-2</v>
      </c>
      <c r="AI69" s="22">
        <f t="shared" si="27"/>
        <v>1.0374183799306999E-2</v>
      </c>
      <c r="AJ69" s="22">
        <f t="shared" si="27"/>
        <v>1.0601640732371543E-2</v>
      </c>
      <c r="AK69" s="22">
        <f t="shared" si="27"/>
        <v>1.0824105147849877E-2</v>
      </c>
      <c r="AL69" s="22">
        <f t="shared" si="27"/>
        <v>1.1041910400088291E-2</v>
      </c>
      <c r="AM69" s="22">
        <f t="shared" si="27"/>
        <v>1.1255380613863502E-2</v>
      </c>
      <c r="AN69" s="22">
        <f t="shared" si="27"/>
        <v>1.1464855366045102E-2</v>
      </c>
      <c r="AO69" s="22">
        <f t="shared" si="27"/>
        <v>1.1670730853011499E-2</v>
      </c>
      <c r="AP69" s="22">
        <f t="shared" si="27"/>
        <v>1.1873530501100682E-2</v>
      </c>
      <c r="AQ69" s="22">
        <f t="shared" si="27"/>
        <v>1.2074026493155664E-2</v>
      </c>
      <c r="AR69" s="22">
        <f t="shared" si="30"/>
        <v>1.2273447350853933E-2</v>
      </c>
      <c r="AS69" s="22">
        <f t="shared" si="30"/>
        <v>1.2473828474973143E-2</v>
      </c>
      <c r="AT69" s="22">
        <f t="shared" si="30"/>
        <v>1.267859725355267E-2</v>
      </c>
      <c r="AU69" s="22">
        <f t="shared" si="30"/>
        <v>1.2893540536384957E-2</v>
      </c>
      <c r="AV69" s="22">
        <f t="shared" si="30"/>
        <v>1.3128396299109443E-2</v>
      </c>
      <c r="AW69" s="22">
        <f t="shared" si="30"/>
        <v>1.3399477377584611E-2</v>
      </c>
      <c r="AX69" s="22">
        <f t="shared" si="30"/>
        <v>1.3734050285774754E-2</v>
      </c>
      <c r="AY69" s="22">
        <f t="shared" si="30"/>
        <v>1.4177840520080148E-2</v>
      </c>
      <c r="AZ69" s="22">
        <f t="shared" si="30"/>
        <v>1.4808481118606146E-2</v>
      </c>
      <c r="BA69" s="22">
        <f t="shared" si="30"/>
        <v>1.5761198412664369E-2</v>
      </c>
      <c r="BB69" s="22">
        <f t="shared" si="30"/>
        <v>1.7282066711496021E-2</v>
      </c>
      <c r="BC69" s="22">
        <f t="shared" si="30"/>
        <v>1.9849813784510947E-2</v>
      </c>
      <c r="BD69" s="22">
        <f t="shared" si="30"/>
        <v>2.4488272496492509E-2</v>
      </c>
      <c r="BE69" s="22">
        <f t="shared" si="30"/>
        <v>3.3685630603888538E-2</v>
      </c>
      <c r="BF69" s="22">
        <f t="shared" si="30"/>
        <v>5.4604898758759311E-2</v>
      </c>
      <c r="BG69" s="22">
        <f t="shared" si="30"/>
        <v>0.11311318146518703</v>
      </c>
      <c r="BH69" s="22">
        <f t="shared" si="29"/>
        <v>0.33684714822527012</v>
      </c>
      <c r="BI69" s="22">
        <f t="shared" si="29"/>
        <v>1.7088844904404095</v>
      </c>
      <c r="BJ69" s="22">
        <f t="shared" si="29"/>
        <v>1.8870222547928845</v>
      </c>
      <c r="BK69" s="22">
        <f t="shared" si="29"/>
        <v>2.0878049197652184</v>
      </c>
      <c r="BL69" s="22">
        <f t="shared" si="29"/>
        <v>2.3145539066621916</v>
      </c>
      <c r="BM69" s="22">
        <f t="shared" si="29"/>
        <v>2.5711378507666898</v>
      </c>
      <c r="BN69" s="22">
        <f t="shared" si="29"/>
        <v>2.86207214583172</v>
      </c>
      <c r="BO69" s="22">
        <f t="shared" si="29"/>
        <v>3.1926382428525719</v>
      </c>
      <c r="BP69" s="22">
        <f t="shared" si="29"/>
        <v>3.5690269411683224</v>
      </c>
      <c r="BQ69" s="22">
        <f t="shared" si="29"/>
        <v>3.998510885986494</v>
      </c>
      <c r="BR69" s="22">
        <f t="shared" si="29"/>
        <v>4.4896527024128048</v>
      </c>
      <c r="BS69" s="22">
        <f t="shared" si="29"/>
        <v>5.0525567146677295</v>
      </c>
      <c r="BT69" s="22">
        <f t="shared" si="29"/>
        <v>5.699174100373102</v>
      </c>
      <c r="BU69" s="22">
        <f t="shared" si="29"/>
        <v>6.443673715958516</v>
      </c>
      <c r="BV69" s="22">
        <f t="shared" si="29"/>
        <v>7.3028938316981344</v>
      </c>
      <c r="BW69" s="22">
        <f t="shared" si="22"/>
        <v>8.2968938025916223</v>
      </c>
      <c r="BX69" s="22">
        <f t="shared" si="31"/>
        <v>9.4496294921615913</v>
      </c>
      <c r="BY69" s="22">
        <f t="shared" si="31"/>
        <v>10.78978234210248</v>
      </c>
      <c r="BZ69" s="22">
        <f t="shared" si="31"/>
        <v>12.351779707120521</v>
      </c>
      <c r="CA69" s="22">
        <f t="shared" si="31"/>
        <v>14.177053926672887</v>
      </c>
      <c r="CB69" s="22">
        <f t="shared" si="31"/>
        <v>16.31560020373465</v>
      </c>
      <c r="CC69" s="22">
        <f t="shared" si="31"/>
        <v>18.827909516321682</v>
      </c>
      <c r="CD69" s="22">
        <f t="shared" si="31"/>
        <v>21.787373564407567</v>
      </c>
      <c r="CE69" s="22">
        <f t="shared" si="31"/>
        <v>25.283285553318848</v>
      </c>
      <c r="CF69" s="22">
        <f t="shared" si="31"/>
        <v>29.424595282721413</v>
      </c>
      <c r="CG69" s="22">
        <f t="shared" si="31"/>
        <v>34.344621994524886</v>
      </c>
      <c r="CH69" s="22">
        <f t="shared" si="31"/>
        <v>40.206986982561517</v>
      </c>
      <c r="CI69" s="22">
        <f t="shared" si="31"/>
        <v>47.213104410347022</v>
      </c>
      <c r="CJ69" s="22">
        <f t="shared" si="31"/>
        <v>55.611668905877565</v>
      </c>
      <c r="CK69" s="22">
        <f t="shared" si="31"/>
        <v>65.710710061737572</v>
      </c>
      <c r="CL69" s="22">
        <f t="shared" si="31"/>
        <v>77.892957401302496</v>
      </c>
      <c r="CM69" s="22">
        <f t="shared" si="31"/>
        <v>92.635488765719941</v>
      </c>
      <c r="CN69" s="22">
        <f t="shared" si="26"/>
        <v>110.53493951434164</v>
      </c>
      <c r="CO69" s="22">
        <f t="shared" si="26"/>
        <v>132.33995535122574</v>
      </c>
      <c r="CP69" s="22">
        <f t="shared" si="26"/>
        <v>158.99311337247065</v>
      </c>
      <c r="CQ69" s="22">
        <f t="shared" si="26"/>
        <v>191.68526250683206</v>
      </c>
      <c r="CR69" s="22">
        <f t="shared" si="26"/>
        <v>231.92621243934286</v>
      </c>
      <c r="CS69" s="22">
        <f t="shared" si="26"/>
        <v>281.63702113017905</v>
      </c>
      <c r="CT69" s="22">
        <f t="shared" si="26"/>
        <v>343.27092219185812</v>
      </c>
      <c r="CU69" s="22">
        <f t="shared" si="18"/>
        <v>419.97237116613866</v>
      </c>
      <c r="CV69" s="22">
        <f t="shared" si="18"/>
        <v>515.78702034642595</v>
      </c>
      <c r="CW69" s="22">
        <f t="shared" si="18"/>
        <v>635.94000000006019</v>
      </c>
    </row>
    <row r="70" spans="1:101">
      <c r="A70" s="22">
        <v>68</v>
      </c>
      <c r="B70" s="32" t="str">
        <f>データファイル用!$B71</f>
        <v>ASHRAE Low-density Polyurethane Foam Insulation</v>
      </c>
      <c r="C70" s="32">
        <f>データファイル用!K71</f>
        <v>1</v>
      </c>
      <c r="D70" s="32">
        <f>データファイル用!L71</f>
        <v>0.80418000000000001</v>
      </c>
      <c r="E70" s="32">
        <f>データファイル用!M71</f>
        <v>3.4095</v>
      </c>
      <c r="F70" s="32">
        <f>データファイル用!N71</f>
        <v>-3.4272</v>
      </c>
      <c r="G70" s="32">
        <f>データファイル用!O71</f>
        <v>380.91</v>
      </c>
      <c r="H70" s="32">
        <f>データファイル用!P71</f>
        <v>0</v>
      </c>
      <c r="I70" s="35">
        <f>データファイル用!Q71</f>
        <v>0</v>
      </c>
      <c r="J70" s="32">
        <f t="shared" si="32"/>
        <v>2.4417523679411815E-2</v>
      </c>
      <c r="K70" s="32">
        <f t="shared" si="33"/>
        <v>0</v>
      </c>
      <c r="L70" s="53" t="str">
        <f t="shared" si="34"/>
        <v>N/A</v>
      </c>
      <c r="M70" s="22">
        <f t="shared" si="28"/>
        <v>0</v>
      </c>
      <c r="N70" s="22">
        <f t="shared" si="28"/>
        <v>4.2101831599799949E-8</v>
      </c>
      <c r="O70" s="22">
        <f t="shared" si="28"/>
        <v>4.4736577911845428E-7</v>
      </c>
      <c r="P70" s="22">
        <f t="shared" si="28"/>
        <v>1.78256718654485E-6</v>
      </c>
      <c r="Q70" s="22">
        <f t="shared" si="28"/>
        <v>4.7536207504856521E-6</v>
      </c>
      <c r="R70" s="22">
        <f t="shared" si="28"/>
        <v>1.017276986213842E-5</v>
      </c>
      <c r="S70" s="22">
        <f t="shared" si="28"/>
        <v>1.8941208207279458E-5</v>
      </c>
      <c r="T70" s="22">
        <f t="shared" si="28"/>
        <v>3.2037805261393568E-5</v>
      </c>
      <c r="U70" s="22">
        <f t="shared" si="28"/>
        <v>5.0511038828172263E-5</v>
      </c>
      <c r="V70" s="22">
        <f t="shared" si="28"/>
        <v>7.5472863146446229E-5</v>
      </c>
      <c r="W70" s="22">
        <f t="shared" si="28"/>
        <v>1.0809385108057639E-4</v>
      </c>
      <c r="X70" s="22">
        <f t="shared" si="28"/>
        <v>1.4959922713234287E-4</v>
      </c>
      <c r="Y70" s="22">
        <f t="shared" si="28"/>
        <v>2.0126555176128467E-4</v>
      </c>
      <c r="Z70" s="22">
        <f t="shared" si="28"/>
        <v>2.6441789862995189E-4</v>
      </c>
      <c r="AA70" s="22">
        <f t="shared" si="28"/>
        <v>3.4042741532595817E-4</v>
      </c>
      <c r="AB70" s="22">
        <f t="shared" si="28"/>
        <v>4.3070918920796959E-4</v>
      </c>
      <c r="AC70" s="22">
        <f t="shared" si="27"/>
        <v>5.36720360630466E-4</v>
      </c>
      <c r="AD70" s="22">
        <f t="shared" si="27"/>
        <v>6.5995843994203971E-4</v>
      </c>
      <c r="AE70" s="22">
        <f t="shared" si="27"/>
        <v>8.0195979464159058E-4</v>
      </c>
      <c r="AF70" s="22">
        <f t="shared" si="27"/>
        <v>9.6429828031228189E-4</v>
      </c>
      <c r="AG70" s="22">
        <f t="shared" si="27"/>
        <v>1.1485839943078872E-3</v>
      </c>
      <c r="AH70" s="22">
        <f t="shared" si="27"/>
        <v>1.3564621352042453E-3</v>
      </c>
      <c r="AI70" s="22">
        <f t="shared" si="27"/>
        <v>1.5896119541245158E-3</v>
      </c>
      <c r="AJ70" s="22">
        <f t="shared" si="27"/>
        <v>1.8497457864557778E-3</v>
      </c>
      <c r="AK70" s="22">
        <f t="shared" si="27"/>
        <v>2.1386081543735189E-3</v>
      </c>
      <c r="AL70" s="22">
        <f t="shared" si="27"/>
        <v>2.4579749321054097E-3</v>
      </c>
      <c r="AM70" s="22">
        <f t="shared" si="27"/>
        <v>2.809652567087251E-3</v>
      </c>
      <c r="AN70" s="22">
        <f t="shared" si="27"/>
        <v>3.1954773511583883E-3</v>
      </c>
      <c r="AO70" s="22">
        <f t="shared" si="27"/>
        <v>3.6173147367608281E-3</v>
      </c>
      <c r="AP70" s="22">
        <f t="shared" si="27"/>
        <v>4.0770586937827384E-3</v>
      </c>
      <c r="AQ70" s="22">
        <f t="shared" si="27"/>
        <v>4.5766311032515014E-3</v>
      </c>
      <c r="AR70" s="22">
        <f t="shared" si="30"/>
        <v>5.1179811845556717E-3</v>
      </c>
      <c r="AS70" s="22">
        <f t="shared" si="30"/>
        <v>5.7030849532761756E-3</v>
      </c>
      <c r="AT70" s="22">
        <f t="shared" si="30"/>
        <v>6.3339447070481399E-3</v>
      </c>
      <c r="AU70" s="22">
        <f t="shared" si="30"/>
        <v>7.0125885371664747E-3</v>
      </c>
      <c r="AV70" s="22">
        <f t="shared" si="30"/>
        <v>7.7410698638990571E-3</v>
      </c>
      <c r="AW70" s="22">
        <f t="shared" si="30"/>
        <v>8.5214669936881249E-3</v>
      </c>
      <c r="AX70" s="22">
        <f t="shared" si="30"/>
        <v>9.3558826966084144E-3</v>
      </c>
      <c r="AY70" s="22">
        <f t="shared" si="30"/>
        <v>1.024644380261451E-2</v>
      </c>
      <c r="AZ70" s="22">
        <f t="shared" si="30"/>
        <v>1.1195300815253263E-2</v>
      </c>
      <c r="BA70" s="22">
        <f t="shared" si="30"/>
        <v>1.2204627541643016E-2</v>
      </c>
      <c r="BB70" s="22">
        <f t="shared" si="30"/>
        <v>1.3276620737632541E-2</v>
      </c>
      <c r="BC70" s="22">
        <f t="shared" si="30"/>
        <v>1.4413499767150586E-2</v>
      </c>
      <c r="BD70" s="22">
        <f t="shared" si="30"/>
        <v>1.5617506274844312E-2</v>
      </c>
      <c r="BE70" s="22">
        <f t="shared" si="30"/>
        <v>1.6890903871182219E-2</v>
      </c>
      <c r="BF70" s="22">
        <f t="shared" si="30"/>
        <v>1.8235977829266555E-2</v>
      </c>
      <c r="BG70" s="22">
        <f t="shared" si="30"/>
        <v>1.9655034792663156E-2</v>
      </c>
      <c r="BH70" s="22">
        <f t="shared" si="29"/>
        <v>2.1150402497814684E-2</v>
      </c>
      <c r="BI70" s="22">
        <f t="shared" si="29"/>
        <v>2.272444323306114E-2</v>
      </c>
      <c r="BJ70" s="22">
        <f t="shared" si="29"/>
        <v>2.2805258563748269E-2</v>
      </c>
      <c r="BK70" s="22">
        <f t="shared" si="29"/>
        <v>2.2886280074956581E-2</v>
      </c>
      <c r="BL70" s="22">
        <f t="shared" si="29"/>
        <v>2.2967509683473147E-2</v>
      </c>
      <c r="BM70" s="22">
        <f t="shared" si="29"/>
        <v>2.3048950093749847E-2</v>
      </c>
      <c r="BN70" s="22">
        <f t="shared" si="29"/>
        <v>2.3130605179478243E-2</v>
      </c>
      <c r="BO70" s="22">
        <f t="shared" si="29"/>
        <v>2.3212480549337111E-2</v>
      </c>
      <c r="BP70" s="22">
        <f t="shared" si="29"/>
        <v>2.3294584385469195E-2</v>
      </c>
      <c r="BQ70" s="22">
        <f t="shared" si="29"/>
        <v>2.3376928685667375E-2</v>
      </c>
      <c r="BR70" s="22">
        <f t="shared" si="29"/>
        <v>2.3459531102926479E-2</v>
      </c>
      <c r="BS70" s="22">
        <f t="shared" si="29"/>
        <v>2.3542417668586849E-2</v>
      </c>
      <c r="BT70" s="22">
        <f t="shared" si="29"/>
        <v>2.3625626821981608E-2</v>
      </c>
      <c r="BU70" s="22">
        <f t="shared" si="29"/>
        <v>2.3709215371291045E-2</v>
      </c>
      <c r="BV70" s="22">
        <f t="shared" si="29"/>
        <v>2.379326730819558E-2</v>
      </c>
      <c r="BW70" s="22">
        <f t="shared" si="22"/>
        <v>2.3877906838701824E-2</v>
      </c>
      <c r="BX70" s="22">
        <f t="shared" si="31"/>
        <v>2.3963317641997491E-2</v>
      </c>
      <c r="BY70" s="22">
        <f t="shared" si="31"/>
        <v>2.4049771328989826E-2</v>
      </c>
      <c r="BZ70" s="22">
        <f t="shared" si="31"/>
        <v>2.4137669492214974E-2</v>
      </c>
      <c r="CA70" s="22">
        <f t="shared" si="31"/>
        <v>2.422760584371297E-2</v>
      </c>
      <c r="CB70" s="22">
        <f t="shared" si="31"/>
        <v>2.4320458066693886E-2</v>
      </c>
      <c r="CC70" s="22">
        <f t="shared" si="31"/>
        <v>2.4417523679411864E-2</v>
      </c>
      <c r="CD70" s="22">
        <f t="shared" si="31"/>
        <v>2.4520721232344989E-2</v>
      </c>
      <c r="CE70" s="22">
        <f t="shared" si="31"/>
        <v>2.4632888814084267E-2</v>
      </c>
      <c r="CF70" s="22">
        <f t="shared" si="31"/>
        <v>2.4758228220762606E-2</v>
      </c>
      <c r="CG70" s="22">
        <f t="shared" si="31"/>
        <v>2.490296878688884E-2</v>
      </c>
      <c r="CH70" s="22">
        <f t="shared" si="31"/>
        <v>2.5076366003126734E-2</v>
      </c>
      <c r="CI70" s="22">
        <f t="shared" si="31"/>
        <v>2.5292218076679574E-2</v>
      </c>
      <c r="CJ70" s="22">
        <f t="shared" si="31"/>
        <v>2.557120043736931E-2</v>
      </c>
      <c r="CK70" s="22">
        <f t="shared" si="31"/>
        <v>2.594452786273237E-2</v>
      </c>
      <c r="CL70" s="22">
        <f t="shared" si="31"/>
        <v>2.6459848857683401E-2</v>
      </c>
      <c r="CM70" s="22">
        <f t="shared" si="31"/>
        <v>2.7191060810229858E-2</v>
      </c>
      <c r="CN70" s="22">
        <f t="shared" si="26"/>
        <v>2.82553789874475E-2</v>
      </c>
      <c r="CO70" s="22">
        <f t="shared" si="26"/>
        <v>2.9844654981451894E-2</v>
      </c>
      <c r="CP70" s="22">
        <f t="shared" si="26"/>
        <v>3.2286657252628775E-2</v>
      </c>
      <c r="CQ70" s="22">
        <f t="shared" si="26"/>
        <v>3.6174425550677715E-2</v>
      </c>
      <c r="CR70" s="22">
        <f t="shared" si="26"/>
        <v>4.2664853237656224E-2</v>
      </c>
      <c r="CS70" s="22">
        <f t="shared" si="26"/>
        <v>5.4245781483654214E-2</v>
      </c>
      <c r="CT70" s="22">
        <f t="shared" si="26"/>
        <v>7.6984104148384747E-2</v>
      </c>
      <c r="CU70" s="22">
        <f t="shared" si="18"/>
        <v>0.12831000891333771</v>
      </c>
      <c r="CV70" s="22">
        <f t="shared" si="18"/>
        <v>0.27052477734606278</v>
      </c>
      <c r="CW70" s="22">
        <f t="shared" si="18"/>
        <v>0.80418000000046763</v>
      </c>
    </row>
    <row r="71" spans="1:101">
      <c r="A71" s="22">
        <v>69</v>
      </c>
      <c r="B71" s="32" t="str">
        <f>データファイル用!$B72</f>
        <v>ASHRAE #15 Felt</v>
      </c>
      <c r="C71" s="32">
        <f>データファイル用!K72</f>
        <v>1</v>
      </c>
      <c r="D71" s="32">
        <f>データファイル用!L72</f>
        <v>1.0995999999999999</v>
      </c>
      <c r="E71" s="32">
        <f>データファイル用!M72</f>
        <v>1.3878999999999999</v>
      </c>
      <c r="F71" s="32">
        <f>データファイル用!N72</f>
        <v>-2.2927</v>
      </c>
      <c r="G71" s="32">
        <f>データファイル用!O72</f>
        <v>66.302000000000007</v>
      </c>
      <c r="H71" s="32">
        <f>データファイル用!P72</f>
        <v>0</v>
      </c>
      <c r="I71" s="35">
        <f>データファイル用!Q72</f>
        <v>0</v>
      </c>
      <c r="J71" s="32">
        <f t="shared" si="32"/>
        <v>0.19688273496443642</v>
      </c>
      <c r="K71" s="32">
        <f t="shared" si="33"/>
        <v>0</v>
      </c>
      <c r="L71" s="53" t="str">
        <f t="shared" si="34"/>
        <v>N/A</v>
      </c>
      <c r="M71" s="22">
        <f t="shared" si="28"/>
        <v>0</v>
      </c>
      <c r="N71" s="22">
        <f t="shared" si="28"/>
        <v>4.8699814110356502E-4</v>
      </c>
      <c r="O71" s="22">
        <f t="shared" si="28"/>
        <v>1.2744618345505556E-3</v>
      </c>
      <c r="P71" s="22">
        <f t="shared" si="28"/>
        <v>2.2372983014490692E-3</v>
      </c>
      <c r="Q71" s="22">
        <f t="shared" si="28"/>
        <v>3.3352344303518651E-3</v>
      </c>
      <c r="R71" s="22">
        <f t="shared" si="28"/>
        <v>4.5459826356510679E-3</v>
      </c>
      <c r="S71" s="22">
        <f t="shared" si="28"/>
        <v>5.8549531446676567E-3</v>
      </c>
      <c r="T71" s="22">
        <f t="shared" si="28"/>
        <v>7.2516840375234414E-3</v>
      </c>
      <c r="U71" s="22">
        <f t="shared" si="28"/>
        <v>8.7282242620685402E-3</v>
      </c>
      <c r="V71" s="22">
        <f t="shared" si="28"/>
        <v>1.0278280895126496E-2</v>
      </c>
      <c r="W71" s="22">
        <f t="shared" si="28"/>
        <v>1.1896721733963949E-2</v>
      </c>
      <c r="X71" s="22">
        <f t="shared" si="28"/>
        <v>1.357926335989316E-2</v>
      </c>
      <c r="Y71" s="22">
        <f t="shared" si="28"/>
        <v>1.5322264493764941E-2</v>
      </c>
      <c r="Z71" s="22">
        <f t="shared" si="28"/>
        <v>1.7122583081795904E-2</v>
      </c>
      <c r="AA71" s="22">
        <f t="shared" si="28"/>
        <v>1.8977473961399986E-2</v>
      </c>
      <c r="AB71" s="22">
        <f t="shared" si="28"/>
        <v>2.0884513452375138E-2</v>
      </c>
      <c r="AC71" s="22">
        <f t="shared" si="27"/>
        <v>2.2841542434222463E-2</v>
      </c>
      <c r="AD71" s="22">
        <f t="shared" si="27"/>
        <v>2.4846622486599142E-2</v>
      </c>
      <c r="AE71" s="22">
        <f t="shared" si="27"/>
        <v>2.6898001491227758E-2</v>
      </c>
      <c r="AF71" s="22">
        <f t="shared" si="27"/>
        <v>2.8994086234482113E-2</v>
      </c>
      <c r="AG71" s="22">
        <f t="shared" si="27"/>
        <v>3.1133420287493111E-2</v>
      </c>
      <c r="AH71" s="22">
        <f t="shared" si="27"/>
        <v>3.3314665930821892E-2</v>
      </c>
      <c r="AI71" s="22">
        <f t="shared" si="27"/>
        <v>3.5536589224504318E-2</v>
      </c>
      <c r="AJ71" s="22">
        <f t="shared" si="27"/>
        <v>3.7798047556437411E-2</v>
      </c>
      <c r="AK71" s="22">
        <f t="shared" si="27"/>
        <v>4.0097979166700277E-2</v>
      </c>
      <c r="AL71" s="22">
        <f t="shared" si="27"/>
        <v>4.2435394264156344E-2</v>
      </c>
      <c r="AM71" s="22">
        <f t="shared" si="27"/>
        <v>4.480936743869262E-2</v>
      </c>
      <c r="AN71" s="22">
        <f t="shared" si="27"/>
        <v>4.7219031137107959E-2</v>
      </c>
      <c r="AO71" s="22">
        <f t="shared" si="27"/>
        <v>4.9663570019331596E-2</v>
      </c>
      <c r="AP71" s="22">
        <f t="shared" si="27"/>
        <v>5.2142216048722878E-2</v>
      </c>
      <c r="AQ71" s="22">
        <f t="shared" si="27"/>
        <v>5.4654244198746621E-2</v>
      </c>
      <c r="AR71" s="22">
        <f t="shared" si="30"/>
        <v>5.7198968680518381E-2</v>
      </c>
      <c r="AS71" s="22">
        <f t="shared" si="30"/>
        <v>5.9775739613146202E-2</v>
      </c>
      <c r="AT71" s="22">
        <f t="shared" si="30"/>
        <v>6.2383940072644653E-2</v>
      </c>
      <c r="AU71" s="22">
        <f t="shared" si="30"/>
        <v>6.5022983466567735E-2</v>
      </c>
      <c r="AV71" s="22">
        <f t="shared" si="30"/>
        <v>6.7692311192734334E-2</v>
      </c>
      <c r="AW71" s="22">
        <f t="shared" si="30"/>
        <v>7.0391390562349845E-2</v>
      </c>
      <c r="AX71" s="22">
        <f t="shared" si="30"/>
        <v>7.3119713060854991E-2</v>
      </c>
      <c r="AY71" s="22">
        <f t="shared" si="30"/>
        <v>7.5876793514466107E-2</v>
      </c>
      <c r="AZ71" s="22">
        <f t="shared" si="30"/>
        <v>7.8662173359610607E-2</v>
      </c>
      <c r="BA71" s="22">
        <f t="shared" si="30"/>
        <v>8.1475444669845271E-2</v>
      </c>
      <c r="BB71" s="22">
        <f t="shared" si="30"/>
        <v>8.4316377679312049E-2</v>
      </c>
      <c r="BC71" s="22">
        <f t="shared" si="30"/>
        <v>8.7185546277639359E-2</v>
      </c>
      <c r="BD71" s="22">
        <f t="shared" si="30"/>
        <v>9.0087261308970518E-2</v>
      </c>
      <c r="BE71" s="22">
        <f t="shared" si="30"/>
        <v>9.3042821218198082E-2</v>
      </c>
      <c r="BF71" s="22">
        <f t="shared" si="30"/>
        <v>9.6148403197894222E-2</v>
      </c>
      <c r="BG71" s="22">
        <f t="shared" si="30"/>
        <v>9.9821550928223118E-2</v>
      </c>
      <c r="BH71" s="22">
        <f t="shared" si="29"/>
        <v>0.10585048571587306</v>
      </c>
      <c r="BI71" s="22">
        <f t="shared" si="29"/>
        <v>0.12229259287304058</v>
      </c>
      <c r="BJ71" s="22">
        <f t="shared" si="29"/>
        <v>0.12381654588668002</v>
      </c>
      <c r="BK71" s="22">
        <f t="shared" si="29"/>
        <v>0.12545576473011094</v>
      </c>
      <c r="BL71" s="22">
        <f t="shared" si="29"/>
        <v>0.12722107828644538</v>
      </c>
      <c r="BM71" s="22">
        <f t="shared" si="29"/>
        <v>0.12912451759123691</v>
      </c>
      <c r="BN71" s="22">
        <f t="shared" si="29"/>
        <v>0.13117947706807959</v>
      </c>
      <c r="BO71" s="22">
        <f t="shared" si="29"/>
        <v>0.13340090147973974</v>
      </c>
      <c r="BP71" s="22">
        <f t="shared" si="29"/>
        <v>0.13580550333269556</v>
      </c>
      <c r="BQ71" s="22">
        <f t="shared" si="29"/>
        <v>0.13841201645994991</v>
      </c>
      <c r="BR71" s="22">
        <f t="shared" si="29"/>
        <v>0.14124149272351241</v>
      </c>
      <c r="BS71" s="22">
        <f t="shared" si="29"/>
        <v>0.14431765028306903</v>
      </c>
      <c r="BT71" s="22">
        <f t="shared" si="29"/>
        <v>0.14766728374683186</v>
      </c>
      <c r="BU71" s="22">
        <f t="shared" si="29"/>
        <v>0.15132074885194974</v>
      </c>
      <c r="BV71" s="22">
        <f t="shared" si="29"/>
        <v>0.15531253724143465</v>
      </c>
      <c r="BW71" s="22">
        <f t="shared" si="22"/>
        <v>0.15968196057646247</v>
      </c>
      <c r="BX71" s="22">
        <f t="shared" si="31"/>
        <v>0.16447396786157858</v>
      </c>
      <c r="BY71" s="22">
        <f t="shared" si="31"/>
        <v>0.16974012574729833</v>
      </c>
      <c r="BZ71" s="22">
        <f t="shared" si="31"/>
        <v>0.17553979908133824</v>
      </c>
      <c r="CA71" s="22">
        <f t="shared" si="31"/>
        <v>0.18194157859908638</v>
      </c>
      <c r="CB71" s="22">
        <f t="shared" si="31"/>
        <v>0.18902501503331384</v>
      </c>
      <c r="CC71" s="22">
        <f t="shared" si="31"/>
        <v>0.19688273496444106</v>
      </c>
      <c r="CD71" s="22">
        <f t="shared" si="31"/>
        <v>0.20562303461588252</v>
      </c>
      <c r="CE71" s="22">
        <f t="shared" si="31"/>
        <v>0.2153730751395681</v>
      </c>
      <c r="CF71" s="22">
        <f t="shared" si="31"/>
        <v>0.22628283894155726</v>
      </c>
      <c r="CG71" s="22">
        <f t="shared" si="31"/>
        <v>0.2385300543011187</v>
      </c>
      <c r="CH71" s="22">
        <f t="shared" si="31"/>
        <v>0.25232635913912171</v>
      </c>
      <c r="CI71" s="22">
        <f t="shared" si="31"/>
        <v>0.26792506014806805</v>
      </c>
      <c r="CJ71" s="22">
        <f t="shared" si="31"/>
        <v>0.28563095882709688</v>
      </c>
      <c r="CK71" s="22">
        <f t="shared" si="31"/>
        <v>0.30581287289929443</v>
      </c>
      <c r="CL71" s="22">
        <f t="shared" si="31"/>
        <v>0.32891969670304821</v>
      </c>
      <c r="CM71" s="22">
        <f t="shared" si="31"/>
        <v>0.35550114126794702</v>
      </c>
      <c r="CN71" s="22">
        <f t="shared" si="26"/>
        <v>0.38623470843452479</v>
      </c>
      <c r="CO71" s="22">
        <f t="shared" si="26"/>
        <v>0.4219610340277653</v>
      </c>
      <c r="CP71" s="22">
        <f t="shared" si="26"/>
        <v>0.46373055719905526</v>
      </c>
      <c r="CQ71" s="22">
        <f t="shared" si="26"/>
        <v>0.51286564747380436</v>
      </c>
      <c r="CR71" s="22">
        <f t="shared" si="26"/>
        <v>0.57104401448584863</v>
      </c>
      <c r="CS71" s="22">
        <f t="shared" si="26"/>
        <v>0.64041169107761364</v>
      </c>
      <c r="CT71" s="22">
        <f t="shared" si="26"/>
        <v>0.72373750716952145</v>
      </c>
      <c r="CU71" s="22">
        <f t="shared" si="18"/>
        <v>0.82462636303762815</v>
      </c>
      <c r="CV71" s="22">
        <f t="shared" si="18"/>
        <v>0.94781671400396772</v>
      </c>
      <c r="CW71" s="22">
        <f t="shared" si="18"/>
        <v>1.099600000000075</v>
      </c>
    </row>
    <row r="72" spans="1:101">
      <c r="A72" s="22">
        <v>70</v>
      </c>
      <c r="B72" s="32" t="str">
        <f>データファイル用!$B73</f>
        <v>ASHRAE 10 min Paper</v>
      </c>
      <c r="C72" s="32">
        <f>データファイル用!K73</f>
        <v>1</v>
      </c>
      <c r="D72" s="32">
        <f>データファイル用!L73</f>
        <v>1.0995999999999999</v>
      </c>
      <c r="E72" s="32">
        <f>データファイル用!M73</f>
        <v>1.4</v>
      </c>
      <c r="F72" s="32">
        <f>データファイル用!N73</f>
        <v>-2.2885</v>
      </c>
      <c r="G72" s="32">
        <f>データファイル用!O73</f>
        <v>66.674999999999997</v>
      </c>
      <c r="H72" s="32">
        <f>データファイル用!P73</f>
        <v>0</v>
      </c>
      <c r="I72" s="35">
        <f>データファイル用!Q73</f>
        <v>0</v>
      </c>
      <c r="J72" s="32">
        <f t="shared" si="32"/>
        <v>0.19655898403810626</v>
      </c>
      <c r="K72" s="32">
        <f t="shared" si="33"/>
        <v>0</v>
      </c>
      <c r="L72" s="53" t="str">
        <f t="shared" si="34"/>
        <v>N/A</v>
      </c>
      <c r="M72" s="22">
        <f t="shared" si="28"/>
        <v>0</v>
      </c>
      <c r="N72" s="22">
        <f t="shared" si="28"/>
        <v>4.6643786978350194E-4</v>
      </c>
      <c r="O72" s="22">
        <f t="shared" si="28"/>
        <v>1.2309369181267762E-3</v>
      </c>
      <c r="P72" s="22">
        <f t="shared" si="28"/>
        <v>2.1715186311901096E-3</v>
      </c>
      <c r="Q72" s="22">
        <f t="shared" si="28"/>
        <v>3.2484620022613744E-3</v>
      </c>
      <c r="R72" s="22">
        <f t="shared" si="28"/>
        <v>4.4396814398980399E-3</v>
      </c>
      <c r="S72" s="22">
        <f t="shared" si="28"/>
        <v>5.7306720244921514E-3</v>
      </c>
      <c r="T72" s="22">
        <f t="shared" si="28"/>
        <v>7.111006232564861E-3</v>
      </c>
      <c r="U72" s="22">
        <f t="shared" si="28"/>
        <v>8.5727426196580778E-3</v>
      </c>
      <c r="V72" s="22">
        <f t="shared" si="28"/>
        <v>1.0109584729461333E-2</v>
      </c>
      <c r="W72" s="22">
        <f t="shared" si="28"/>
        <v>1.1716389562514109E-2</v>
      </c>
      <c r="X72" s="22">
        <f t="shared" si="28"/>
        <v>1.3388858831066761E-2</v>
      </c>
      <c r="Y72" s="22">
        <f t="shared" si="28"/>
        <v>1.5123334140724623E-2</v>
      </c>
      <c r="Z72" s="22">
        <f t="shared" si="28"/>
        <v>1.6916655161375766E-2</v>
      </c>
      <c r="AA72" s="22">
        <f t="shared" si="28"/>
        <v>1.8766057954849369E-2</v>
      </c>
      <c r="AB72" s="22">
        <f t="shared" si="28"/>
        <v>2.0669099976299819E-2</v>
      </c>
      <c r="AC72" s="22">
        <f t="shared" si="27"/>
        <v>2.2623603407317557E-2</v>
      </c>
      <c r="AD72" s="22">
        <f t="shared" si="27"/>
        <v>2.4627611455025043E-2</v>
      </c>
      <c r="AE72" s="22">
        <f t="shared" si="27"/>
        <v>2.6679354050306164E-2</v>
      </c>
      <c r="AF72" s="22">
        <f t="shared" si="27"/>
        <v>2.8777220506151162E-2</v>
      </c>
      <c r="AG72" s="22">
        <f t="shared" si="27"/>
        <v>3.0919737426868682E-2</v>
      </c>
      <c r="AH72" s="22">
        <f t="shared" si="27"/>
        <v>3.3105550644270947E-2</v>
      </c>
      <c r="AI72" s="22">
        <f t="shared" si="27"/>
        <v>3.533341028762825E-2</v>
      </c>
      <c r="AJ72" s="22">
        <f t="shared" si="27"/>
        <v>3.7602158324377903E-2</v>
      </c>
      <c r="AK72" s="22">
        <f t="shared" si="27"/>
        <v>3.9910718071895883E-2</v>
      </c>
      <c r="AL72" s="22">
        <f t="shared" si="27"/>
        <v>4.2258085298528418E-2</v>
      </c>
      <c r="AM72" s="22">
        <f t="shared" si="27"/>
        <v>4.4643320618504893E-2</v>
      </c>
      <c r="AN72" s="22">
        <f t="shared" si="27"/>
        <v>4.7065542949610649E-2</v>
      </c>
      <c r="AO72" s="22">
        <f t="shared" si="27"/>
        <v>4.9523923850892722E-2</v>
      </c>
      <c r="AP72" s="22">
        <f t="shared" si="27"/>
        <v>5.201768259454962E-2</v>
      </c>
      <c r="AQ72" s="22">
        <f t="shared" si="27"/>
        <v>5.4546081854567149E-2</v>
      </c>
      <c r="AR72" s="22">
        <f t="shared" si="30"/>
        <v>5.7108423916767306E-2</v>
      </c>
      <c r="AS72" s="22">
        <f t="shared" si="30"/>
        <v>5.9704047332304604E-2</v>
      </c>
      <c r="AT72" s="22">
        <f t="shared" si="30"/>
        <v>6.2332323950438161E-2</v>
      </c>
      <c r="AU72" s="22">
        <f t="shared" si="30"/>
        <v>6.4992656277704869E-2</v>
      </c>
      <c r="AV72" s="22">
        <f t="shared" si="30"/>
        <v>6.7684475121553303E-2</v>
      </c>
      <c r="AW72" s="22">
        <f t="shared" si="30"/>
        <v>7.0407237496903349E-2</v>
      </c>
      <c r="AX72" s="22">
        <f t="shared" si="30"/>
        <v>7.3160424859049986E-2</v>
      </c>
      <c r="AY72" s="22">
        <f t="shared" si="30"/>
        <v>7.5943542180507653E-2</v>
      </c>
      <c r="AZ72" s="22">
        <f t="shared" si="30"/>
        <v>7.8756120827340653E-2</v>
      </c>
      <c r="BA72" s="22">
        <f t="shared" si="30"/>
        <v>8.1597740796373677E-2</v>
      </c>
      <c r="BB72" s="22">
        <f t="shared" si="30"/>
        <v>8.4468150399667166E-2</v>
      </c>
      <c r="BC72" s="22">
        <f t="shared" si="30"/>
        <v>8.7367859322218272E-2</v>
      </c>
      <c r="BD72" s="22">
        <f t="shared" si="30"/>
        <v>9.0300946186979827E-2</v>
      </c>
      <c r="BE72" s="22">
        <f t="shared" si="30"/>
        <v>9.3287857448452041E-2</v>
      </c>
      <c r="BF72" s="22">
        <f t="shared" si="30"/>
        <v>9.6421820552189952E-2</v>
      </c>
      <c r="BG72" s="22">
        <f t="shared" si="30"/>
        <v>0.10011105389904751</v>
      </c>
      <c r="BH72" s="22">
        <f t="shared" si="29"/>
        <v>0.10611742724485078</v>
      </c>
      <c r="BI72" s="22">
        <f t="shared" si="29"/>
        <v>0.12242924237552549</v>
      </c>
      <c r="BJ72" s="22">
        <f t="shared" si="29"/>
        <v>0.12394128585024347</v>
      </c>
      <c r="BK72" s="22">
        <f t="shared" si="29"/>
        <v>0.12556784689060158</v>
      </c>
      <c r="BL72" s="22">
        <f t="shared" si="29"/>
        <v>0.12731970745398186</v>
      </c>
      <c r="BM72" s="22">
        <f t="shared" si="29"/>
        <v>0.12920884769383134</v>
      </c>
      <c r="BN72" s="22">
        <f t="shared" si="29"/>
        <v>0.1312486067851372</v>
      </c>
      <c r="BO72" s="22">
        <f t="shared" si="29"/>
        <v>0.13345386942808443</v>
      </c>
      <c r="BP72" s="22">
        <f t="shared" si="29"/>
        <v>0.13584128276781357</v>
      </c>
      <c r="BQ72" s="22">
        <f t="shared" si="29"/>
        <v>0.1384295094568315</v>
      </c>
      <c r="BR72" s="22">
        <f t="shared" si="29"/>
        <v>0.14123952380559165</v>
      </c>
      <c r="BS72" s="22">
        <f t="shared" si="29"/>
        <v>0.14429495947542809</v>
      </c>
      <c r="BT72" s="22">
        <f t="shared" si="29"/>
        <v>0.14762251904259188</v>
      </c>
      <c r="BU72" s="22">
        <f t="shared" si="29"/>
        <v>0.15125245810077709</v>
      </c>
      <c r="BV72" s="22">
        <f t="shared" si="29"/>
        <v>0.15521915949936754</v>
      </c>
      <c r="BW72" s="22">
        <f t="shared" si="22"/>
        <v>0.15956181700102273</v>
      </c>
      <c r="BX72" s="22">
        <f t="shared" si="31"/>
        <v>0.1643252523012769</v>
      </c>
      <c r="BY72" s="22">
        <f t="shared" si="31"/>
        <v>0.16956089526843432</v>
      </c>
      <c r="BZ72" s="22">
        <f t="shared" si="31"/>
        <v>0.17532796480906174</v>
      </c>
      <c r="CA72" s="22">
        <f t="shared" si="31"/>
        <v>0.18169489744038972</v>
      </c>
      <c r="CB72" s="22">
        <f t="shared" si="31"/>
        <v>0.18874108312012394</v>
      </c>
      <c r="CC72" s="22">
        <f t="shared" si="31"/>
        <v>0.19655898403811087</v>
      </c>
      <c r="CD72" s="22">
        <f t="shared" si="31"/>
        <v>0.20525673311695461</v>
      </c>
      <c r="CE72" s="22">
        <f t="shared" si="31"/>
        <v>0.21496133653567218</v>
      </c>
      <c r="CF72" s="22">
        <f t="shared" si="31"/>
        <v>0.22582264091802218</v>
      </c>
      <c r="CG72" s="22">
        <f t="shared" si="31"/>
        <v>0.23801827399254166</v>
      </c>
      <c r="CH72" s="22">
        <f t="shared" si="31"/>
        <v>0.25175983179806954</v>
      </c>
      <c r="CI72" s="22">
        <f t="shared" si="31"/>
        <v>0.26730067182506462</v>
      </c>
      <c r="CJ72" s="22">
        <f t="shared" si="31"/>
        <v>0.28494578820916633</v>
      </c>
      <c r="CK72" s="22">
        <f t="shared" si="31"/>
        <v>0.30506440406676166</v>
      </c>
      <c r="CL72" s="22">
        <f t="shared" si="31"/>
        <v>0.3281061341765254</v>
      </c>
      <c r="CM72" s="22">
        <f t="shared" si="31"/>
        <v>0.3546218727718482</v>
      </c>
      <c r="CN72" s="22">
        <f t="shared" si="26"/>
        <v>0.38529098148298824</v>
      </c>
      <c r="CO72" s="22">
        <f t="shared" si="26"/>
        <v>0.42095694307383108</v>
      </c>
      <c r="CP72" s="22">
        <f t="shared" si="26"/>
        <v>0.46267448380225046</v>
      </c>
      <c r="CQ72" s="22">
        <f t="shared" si="26"/>
        <v>0.51177236468879639</v>
      </c>
      <c r="CR72" s="22">
        <f t="shared" si="26"/>
        <v>0.56993777091770093</v>
      </c>
      <c r="CS72" s="22">
        <f t="shared" si="26"/>
        <v>0.63933074950486335</v>
      </c>
      <c r="CT72" s="22">
        <f t="shared" si="26"/>
        <v>0.72274085882213157</v>
      </c>
      <c r="CU72" s="22">
        <f t="shared" si="18"/>
        <v>0.82380372245476297</v>
      </c>
      <c r="CV72" s="22">
        <f t="shared" si="18"/>
        <v>0.94730350408952213</v>
      </c>
      <c r="CW72" s="22">
        <f t="shared" si="18"/>
        <v>1.0996000000000747</v>
      </c>
    </row>
    <row r="73" spans="1:101">
      <c r="A73" s="22">
        <v>71</v>
      </c>
      <c r="B73" s="32" t="str">
        <f>データファイル用!$B74</f>
        <v>ASHRAE 30 min Paper</v>
      </c>
      <c r="C73" s="32">
        <f>データファイル用!K74</f>
        <v>1</v>
      </c>
      <c r="D73" s="32">
        <f>データファイル用!L74</f>
        <v>1.0995999999999999</v>
      </c>
      <c r="E73" s="32">
        <f>データファイル用!M74</f>
        <v>1.4033</v>
      </c>
      <c r="F73" s="32">
        <f>データファイル用!N74</f>
        <v>-2.2875000000000001</v>
      </c>
      <c r="G73" s="32">
        <f>データファイル用!O74</f>
        <v>66.772000000000006</v>
      </c>
      <c r="H73" s="32">
        <f>データファイル用!P74</f>
        <v>0</v>
      </c>
      <c r="I73" s="35">
        <f>データファイル用!Q74</f>
        <v>0</v>
      </c>
      <c r="J73" s="32">
        <f t="shared" si="32"/>
        <v>0.19646247372504841</v>
      </c>
      <c r="K73" s="32">
        <f t="shared" si="33"/>
        <v>0</v>
      </c>
      <c r="L73" s="53" t="str">
        <f t="shared" si="34"/>
        <v>N/A</v>
      </c>
      <c r="M73" s="22">
        <f t="shared" si="28"/>
        <v>0</v>
      </c>
      <c r="N73" s="22">
        <f t="shared" si="28"/>
        <v>4.6091569484759152E-4</v>
      </c>
      <c r="O73" s="22">
        <f t="shared" si="28"/>
        <v>1.2191492888004494E-3</v>
      </c>
      <c r="P73" s="22">
        <f t="shared" si="28"/>
        <v>2.1536035254320005E-3</v>
      </c>
      <c r="Q73" s="22">
        <f t="shared" si="28"/>
        <v>3.2247220153223772E-3</v>
      </c>
      <c r="R73" s="22">
        <f t="shared" si="28"/>
        <v>4.4104825061210325E-3</v>
      </c>
      <c r="S73" s="22">
        <f t="shared" si="28"/>
        <v>5.6964087700609612E-3</v>
      </c>
      <c r="T73" s="22">
        <f t="shared" si="28"/>
        <v>7.0720867004774764E-3</v>
      </c>
      <c r="U73" s="22">
        <f t="shared" si="28"/>
        <v>8.5295805621446834E-3</v>
      </c>
      <c r="V73" s="22">
        <f t="shared" si="28"/>
        <v>1.0062595386964999E-2</v>
      </c>
      <c r="W73" s="22">
        <f t="shared" si="28"/>
        <v>1.1665987230880194E-2</v>
      </c>
      <c r="X73" s="22">
        <f t="shared" si="28"/>
        <v>1.3335455417465617E-2</v>
      </c>
      <c r="Y73" s="22">
        <f t="shared" si="28"/>
        <v>1.506733829715399E-2</v>
      </c>
      <c r="Z73" s="22">
        <f t="shared" si="28"/>
        <v>1.685847176971102E-2</v>
      </c>
      <c r="AA73" s="22">
        <f t="shared" si="28"/>
        <v>1.8706087832555129E-2</v>
      </c>
      <c r="AB73" s="22">
        <f t="shared" si="28"/>
        <v>2.060773972381047E-2</v>
      </c>
      <c r="AC73" s="22">
        <f t="shared" si="27"/>
        <v>2.2561245347792604E-2</v>
      </c>
      <c r="AD73" s="22">
        <f t="shared" si="27"/>
        <v>2.4564643634868915E-2</v>
      </c>
      <c r="AE73" s="22">
        <f t="shared" si="27"/>
        <v>2.6616160279726606E-2</v>
      </c>
      <c r="AF73" s="22">
        <f t="shared" si="27"/>
        <v>2.8714180425920124E-2</v>
      </c>
      <c r="AG73" s="22">
        <f t="shared" si="27"/>
        <v>3.0857226591916361E-2</v>
      </c>
      <c r="AH73" s="22">
        <f t="shared" si="27"/>
        <v>3.3043940617698511E-2</v>
      </c>
      <c r="AI73" s="22">
        <f t="shared" si="27"/>
        <v>3.5273068740714557E-2</v>
      </c>
      <c r="AJ73" s="22">
        <f t="shared" si="27"/>
        <v>3.7543449139514774E-2</v>
      </c>
      <c r="AK73" s="22">
        <f t="shared" si="27"/>
        <v>3.9854001446327718E-2</v>
      </c>
      <c r="AL73" s="22">
        <f t="shared" si="27"/>
        <v>4.2203717847429482E-2</v>
      </c>
      <c r="AM73" s="22">
        <f t="shared" si="27"/>
        <v>4.4591655476392031E-2</v>
      </c>
      <c r="AN73" s="22">
        <f t="shared" si="27"/>
        <v>4.7016929869418723E-2</v>
      </c>
      <c r="AO73" s="22">
        <f t="shared" si="27"/>
        <v>4.9478709300275182E-2</v>
      </c>
      <c r="AP73" s="22">
        <f t="shared" si="27"/>
        <v>5.1976209849134938E-2</v>
      </c>
      <c r="AQ73" s="22">
        <f t="shared" si="27"/>
        <v>5.4508691088022011E-2</v>
      </c>
      <c r="AR73" s="22">
        <f t="shared" si="30"/>
        <v>5.7075452287604203E-2</v>
      </c>
      <c r="AS73" s="22">
        <f t="shared" si="30"/>
        <v>5.9675829067430852E-2</v>
      </c>
      <c r="AT73" s="22">
        <f t="shared" si="30"/>
        <v>6.2309190425486216E-2</v>
      </c>
      <c r="AU73" s="22">
        <f t="shared" si="30"/>
        <v>6.4974936094199187E-2</v>
      </c>
      <c r="AV73" s="22">
        <f t="shared" si="30"/>
        <v>6.7672494180913145E-2</v>
      </c>
      <c r="AW73" s="22">
        <f t="shared" si="30"/>
        <v>7.0401319070846624E-2</v>
      </c>
      <c r="AX73" s="22">
        <f t="shared" si="30"/>
        <v>7.3160889653544489E-2</v>
      </c>
      <c r="AY73" s="22">
        <f t="shared" si="30"/>
        <v>7.5950708377977308E-2</v>
      </c>
      <c r="AZ73" s="22">
        <f t="shared" si="30"/>
        <v>7.8770304031690011E-2</v>
      </c>
      <c r="BA73" s="22">
        <f t="shared" si="30"/>
        <v>8.1619253531333313E-2</v>
      </c>
      <c r="BB73" s="22">
        <f t="shared" si="30"/>
        <v>8.449729963614469E-2</v>
      </c>
      <c r="BC73" s="22">
        <f t="shared" si="30"/>
        <v>8.7404935792242996E-2</v>
      </c>
      <c r="BD73" s="22">
        <f t="shared" si="30"/>
        <v>9.0346181633015832E-2</v>
      </c>
      <c r="BE73" s="22">
        <f t="shared" si="30"/>
        <v>9.3341265799307224E-2</v>
      </c>
      <c r="BF73" s="22">
        <f t="shared" si="30"/>
        <v>9.6482656172356795E-2</v>
      </c>
      <c r="BG73" s="22">
        <f t="shared" si="30"/>
        <v>0.10017615042925232</v>
      </c>
      <c r="BH73" s="22">
        <f t="shared" si="29"/>
        <v>0.10617671317731511</v>
      </c>
      <c r="BI73" s="22">
        <f t="shared" si="29"/>
        <v>0.12245435517147897</v>
      </c>
      <c r="BJ73" s="22">
        <f t="shared" si="29"/>
        <v>0.12396326235298012</v>
      </c>
      <c r="BK73" s="22">
        <f t="shared" si="29"/>
        <v>0.12558648870857728</v>
      </c>
      <c r="BL73" s="22">
        <f t="shared" si="29"/>
        <v>0.12733480371812592</v>
      </c>
      <c r="BM73" s="22">
        <f t="shared" si="29"/>
        <v>0.12922017401212588</v>
      </c>
      <c r="BN73" s="22">
        <f t="shared" si="29"/>
        <v>0.13125592408992934</v>
      </c>
      <c r="BO73" s="22">
        <f t="shared" si="29"/>
        <v>0.133456922706535</v>
      </c>
      <c r="BP73" s="22">
        <f t="shared" si="29"/>
        <v>0.13583979966595849</v>
      </c>
      <c r="BQ73" s="22">
        <f t="shared" si="29"/>
        <v>0.13842319874825576</v>
      </c>
      <c r="BR73" s="22">
        <f t="shared" si="29"/>
        <v>0.14122807371690069</v>
      </c>
      <c r="BS73" s="22">
        <f t="shared" si="29"/>
        <v>0.14427803586285146</v>
      </c>
      <c r="BT73" s="22">
        <f t="shared" si="29"/>
        <v>0.14759976341757705</v>
      </c>
      <c r="BU73" s="22">
        <f t="shared" si="29"/>
        <v>0.15122348550791667</v>
      </c>
      <c r="BV73" s="22">
        <f t="shared" si="29"/>
        <v>0.15518355625825483</v>
      </c>
      <c r="BW73" s="22">
        <f t="shared" si="22"/>
        <v>0.15951913833578263</v>
      </c>
      <c r="BX73" s="22">
        <f t="shared" si="31"/>
        <v>0.16427501989915091</v>
      </c>
      <c r="BY73" s="22">
        <f t="shared" si="31"/>
        <v>0.1695025948341293</v>
      </c>
      <c r="BZ73" s="22">
        <f t="shared" si="31"/>
        <v>0.17526104371771001</v>
      </c>
      <c r="CA73" s="22">
        <f t="shared" si="31"/>
        <v>0.18161876264330484</v>
      </c>
      <c r="CB73" s="22">
        <f t="shared" si="31"/>
        <v>0.18865509953026041</v>
      </c>
      <c r="CC73" s="22">
        <f t="shared" si="31"/>
        <v>0.19646247372505299</v>
      </c>
      <c r="CD73" s="22">
        <f t="shared" si="31"/>
        <v>0.20514897578688526</v>
      </c>
      <c r="CE73" s="22">
        <f t="shared" si="31"/>
        <v>0.21484157197804402</v>
      </c>
      <c r="CF73" s="22">
        <f t="shared" si="31"/>
        <v>0.22569007439334324</v>
      </c>
      <c r="CG73" s="22">
        <f t="shared" si="31"/>
        <v>0.23787208595206488</v>
      </c>
      <c r="CH73" s="22">
        <f t="shared" si="31"/>
        <v>0.25159919392040109</v>
      </c>
      <c r="CI73" s="22">
        <f t="shared" si="31"/>
        <v>0.26712477220596614</v>
      </c>
      <c r="CJ73" s="22">
        <f t="shared" si="31"/>
        <v>0.28475386976564349</v>
      </c>
      <c r="CK73" s="22">
        <f t="shared" si="31"/>
        <v>0.30485582198745004</v>
      </c>
      <c r="CL73" s="22">
        <f t="shared" si="31"/>
        <v>0.32788044082474849</v>
      </c>
      <c r="CM73" s="22">
        <f t="shared" si="31"/>
        <v>0.35437894221214855</v>
      </c>
      <c r="CN73" s="22">
        <f t="shared" si="26"/>
        <v>0.38503119134174812</v>
      </c>
      <c r="CO73" s="22">
        <f t="shared" si="26"/>
        <v>0.42068143965319366</v>
      </c>
      <c r="CP73" s="22">
        <f t="shared" si="26"/>
        <v>0.46238556861920299</v>
      </c>
      <c r="CQ73" s="22">
        <f t="shared" si="26"/>
        <v>0.51147405904399168</v>
      </c>
      <c r="CR73" s="22">
        <f t="shared" si="26"/>
        <v>0.56963664306027229</v>
      </c>
      <c r="CS73" s="22">
        <f t="shared" si="26"/>
        <v>0.63903713175231691</v>
      </c>
      <c r="CT73" s="22">
        <f t="shared" si="26"/>
        <v>0.72247064810016803</v>
      </c>
      <c r="CU73" s="22">
        <f t="shared" si="18"/>
        <v>0.82358106085576555</v>
      </c>
      <c r="CV73" s="22">
        <f t="shared" si="18"/>
        <v>0.94716479864044678</v>
      </c>
      <c r="CW73" s="22">
        <f t="shared" si="18"/>
        <v>1.0996000000000756</v>
      </c>
    </row>
    <row r="74" spans="1:101">
      <c r="A74" s="22">
        <v>72</v>
      </c>
      <c r="B74" s="32" t="str">
        <f>データファイル用!$B75</f>
        <v>ASHRAE 60 min Paper</v>
      </c>
      <c r="C74" s="32">
        <f>データファイル用!K75</f>
        <v>1</v>
      </c>
      <c r="D74" s="32">
        <f>データファイル用!L75</f>
        <v>1.0995999999999999</v>
      </c>
      <c r="E74" s="32">
        <f>データファイル用!M75</f>
        <v>1.4040999999999999</v>
      </c>
      <c r="F74" s="32">
        <f>データファイル用!N75</f>
        <v>-2.2871999999999999</v>
      </c>
      <c r="G74" s="32">
        <f>データファイル用!O75</f>
        <v>66.798000000000002</v>
      </c>
      <c r="H74" s="32">
        <f>データファイル用!P75</f>
        <v>0</v>
      </c>
      <c r="I74" s="35">
        <f>データファイル用!Q75</f>
        <v>0</v>
      </c>
      <c r="J74" s="32">
        <f t="shared" si="32"/>
        <v>0.19644170828504351</v>
      </c>
      <c r="K74" s="32">
        <f t="shared" si="33"/>
        <v>0</v>
      </c>
      <c r="L74" s="53" t="str">
        <f t="shared" si="34"/>
        <v>N/A</v>
      </c>
      <c r="M74" s="22">
        <f t="shared" si="28"/>
        <v>0</v>
      </c>
      <c r="N74" s="22">
        <f t="shared" si="28"/>
        <v>4.5961332279154994E-4</v>
      </c>
      <c r="O74" s="22">
        <f t="shared" si="28"/>
        <v>1.2163787542665055E-3</v>
      </c>
      <c r="P74" s="22">
        <f t="shared" si="28"/>
        <v>2.1494065244349512E-3</v>
      </c>
      <c r="Q74" s="22">
        <f t="shared" si="28"/>
        <v>3.2191783842218462E-3</v>
      </c>
      <c r="R74" s="22">
        <f t="shared" si="28"/>
        <v>4.4036864831674127E-3</v>
      </c>
      <c r="S74" s="22">
        <f t="shared" si="28"/>
        <v>5.6884609321698172E-3</v>
      </c>
      <c r="T74" s="22">
        <f t="shared" si="28"/>
        <v>7.0630904368640295E-3</v>
      </c>
      <c r="U74" s="22">
        <f t="shared" si="28"/>
        <v>8.519640311944035E-3</v>
      </c>
      <c r="V74" s="22">
        <f t="shared" si="28"/>
        <v>1.0051815685462281E-2</v>
      </c>
      <c r="W74" s="22">
        <f t="shared" si="28"/>
        <v>1.1654472168129038E-2</v>
      </c>
      <c r="X74" s="22">
        <f t="shared" si="28"/>
        <v>1.3323308323468303E-2</v>
      </c>
      <c r="Y74" s="22">
        <f t="shared" si="28"/>
        <v>1.5054661558417339E-2</v>
      </c>
      <c r="Z74" s="22">
        <f t="shared" si="28"/>
        <v>1.6845366725077023E-2</v>
      </c>
      <c r="AA74" s="22">
        <f t="shared" si="28"/>
        <v>1.8692654718281146E-2</v>
      </c>
      <c r="AB74" s="22">
        <f t="shared" ref="AB74:AQ82" si="35">IF($C74=2,IF(AB$2&lt;=$O$1,$D74*IF(AND(AB$2=0,$E74=0),1,AB$2^$E74)*EXP($F74*(1-IF(AND(AB$2=0,$G74=0),1,AB$2^$G74))),($H74-$I74)*(AB$2-$O$1)/(1-$O$1)+$I74),$D74*IF(AND(AB$2=0,$E74=0),1,AB$2^$E74)*EXP($F74*(1-IF(AND(AB$2=0,$G74=0),1,AB$2^$G74))))</f>
        <v>2.0594077649874559E-2</v>
      </c>
      <c r="AC74" s="22">
        <f t="shared" si="35"/>
        <v>2.2547452294243459E-2</v>
      </c>
      <c r="AD74" s="22">
        <f t="shared" si="35"/>
        <v>2.4550816461098909E-2</v>
      </c>
      <c r="AE74" s="22">
        <f t="shared" si="35"/>
        <v>2.6602394742034938E-2</v>
      </c>
      <c r="AF74" s="22">
        <f t="shared" si="35"/>
        <v>2.8700571200300812E-2</v>
      </c>
      <c r="AG74" s="22">
        <f t="shared" si="35"/>
        <v>3.0843867300017043E-2</v>
      </c>
      <c r="AH74" s="22">
        <f t="shared" si="35"/>
        <v>3.3030923854561474E-2</v>
      </c>
      <c r="AI74" s="22">
        <f t="shared" si="35"/>
        <v>3.5260486103356511E-2</v>
      </c>
      <c r="AJ74" s="22">
        <f t="shared" si="35"/>
        <v>3.753139125570417E-2</v>
      </c>
      <c r="AK74" s="22">
        <f t="shared" si="35"/>
        <v>3.9842558003125451E-2</v>
      </c>
      <c r="AL74" s="22">
        <f t="shared" si="35"/>
        <v>4.2192977619202952E-2</v>
      </c>
      <c r="AM74" s="22">
        <f t="shared" si="35"/>
        <v>4.4581706352112678E-2</v>
      </c>
      <c r="AN74" s="22">
        <f t="shared" si="35"/>
        <v>4.7007858879123517E-2</v>
      </c>
      <c r="AO74" s="22">
        <f t="shared" si="35"/>
        <v>4.9470602640622113E-2</v>
      </c>
      <c r="AP74" s="22">
        <f t="shared" si="35"/>
        <v>5.1969152908017381E-2</v>
      </c>
      <c r="AQ74" s="22">
        <f t="shared" si="35"/>
        <v>5.4502768468231114E-2</v>
      </c>
      <c r="AR74" s="22">
        <f t="shared" si="30"/>
        <v>5.7070747829545389E-2</v>
      </c>
      <c r="AS74" s="22">
        <f t="shared" si="30"/>
        <v>5.9672425870912281E-2</v>
      </c>
      <c r="AT74" s="22">
        <f t="shared" si="30"/>
        <v>6.230717087060391E-2</v>
      </c>
      <c r="AU74" s="22">
        <f t="shared" si="30"/>
        <v>6.4974381861345659E-2</v>
      </c>
      <c r="AV74" s="22">
        <f t="shared" si="30"/>
        <v>6.7673486269919148E-2</v>
      </c>
      <c r="AW74" s="22">
        <f t="shared" si="30"/>
        <v>7.0403937819150025E-2</v>
      </c>
      <c r="AX74" s="22">
        <f t="shared" si="30"/>
        <v>7.3165214752645244E-2</v>
      </c>
      <c r="AY74" s="22">
        <f t="shared" si="30"/>
        <v>7.5956818884168636E-2</v>
      </c>
      <c r="AZ74" s="22">
        <f t="shared" si="30"/>
        <v>7.8778278351239558E-2</v>
      </c>
      <c r="BA74" s="22">
        <f t="shared" si="30"/>
        <v>8.1629169288124664E-2</v>
      </c>
      <c r="BB74" s="22">
        <f t="shared" si="30"/>
        <v>8.4509233020123628E-2</v>
      </c>
      <c r="BC74" s="22">
        <f t="shared" si="30"/>
        <v>8.7418958742384506E-2</v>
      </c>
      <c r="BD74" s="22">
        <f t="shared" si="30"/>
        <v>9.0362350561471613E-2</v>
      </c>
      <c r="BE74" s="22">
        <f t="shared" si="30"/>
        <v>9.3359579692649172E-2</v>
      </c>
      <c r="BF74" s="22">
        <f t="shared" si="30"/>
        <v>9.6502913757901168E-2</v>
      </c>
      <c r="BG74" s="22">
        <f t="shared" si="30"/>
        <v>0.10019751315844749</v>
      </c>
      <c r="BH74" s="22">
        <f t="shared" si="29"/>
        <v>0.10619653219039883</v>
      </c>
      <c r="BI74" s="22">
        <f t="shared" si="29"/>
        <v>0.12246522737800324</v>
      </c>
      <c r="BJ74" s="22">
        <f t="shared" si="29"/>
        <v>0.12397331647258557</v>
      </c>
      <c r="BK74" s="22">
        <f t="shared" si="29"/>
        <v>0.12559567333889698</v>
      </c>
      <c r="BL74" s="22">
        <f t="shared" si="29"/>
        <v>0.12734306423570496</v>
      </c>
      <c r="BM74" s="22">
        <f t="shared" si="29"/>
        <v>0.12922745230011845</v>
      </c>
      <c r="BN74" s="22">
        <f t="shared" si="29"/>
        <v>0.13126215823728382</v>
      </c>
      <c r="BO74" s="22">
        <f t="shared" si="29"/>
        <v>0.13346204667600645</v>
      </c>
      <c r="BP74" s="22">
        <f t="shared" si="29"/>
        <v>0.13584374292827034</v>
      </c>
      <c r="BQ74" s="22">
        <f t="shared" si="29"/>
        <v>0.1384258858798193</v>
      </c>
      <c r="BR74" s="22">
        <f t="shared" si="29"/>
        <v>0.14122942395875465</v>
      </c>
      <c r="BS74" s="22">
        <f t="shared" si="29"/>
        <v>0.14427796263896853</v>
      </c>
      <c r="BT74" s="22">
        <f t="shared" si="29"/>
        <v>0.14759817381151225</v>
      </c>
      <c r="BU74" s="22">
        <f t="shared" si="29"/>
        <v>0.15122027969808771</v>
      </c>
      <c r="BV74" s="22">
        <f t="shared" si="29"/>
        <v>0.15517862691414974</v>
      </c>
      <c r="BW74" s="22">
        <f t="shared" si="22"/>
        <v>0.15951236998037563</v>
      </c>
      <c r="BX74" s="22">
        <f t="shared" si="31"/>
        <v>0.16426628824717165</v>
      </c>
      <c r="BY74" s="22">
        <f t="shared" si="31"/>
        <v>0.16949176612214015</v>
      </c>
      <c r="BZ74" s="22">
        <f t="shared" si="31"/>
        <v>0.17524797405099196</v>
      </c>
      <c r="CA74" s="22">
        <f t="shared" si="31"/>
        <v>0.18160329739745557</v>
      </c>
      <c r="CB74" s="22">
        <f t="shared" si="31"/>
        <v>0.18863707286375361</v>
      </c>
      <c r="CC74" s="22">
        <f t="shared" si="31"/>
        <v>0.19644170828504809</v>
      </c>
      <c r="CD74" s="22">
        <f t="shared" si="31"/>
        <v>0.20512528272752217</v>
      </c>
      <c r="CE74" s="22">
        <f t="shared" si="31"/>
        <v>0.21481475146291601</v>
      </c>
      <c r="CF74" s="22">
        <f t="shared" si="31"/>
        <v>0.22565991682843731</v>
      </c>
      <c r="CG74" s="22">
        <f t="shared" si="31"/>
        <v>0.237838374301788</v>
      </c>
      <c r="CH74" s="22">
        <f t="shared" si="31"/>
        <v>0.25156170761132668</v>
      </c>
      <c r="CI74" s="22">
        <f t="shared" si="31"/>
        <v>0.26708329334107905</v>
      </c>
      <c r="CJ74" s="22">
        <f t="shared" si="31"/>
        <v>0.28470819268620956</v>
      </c>
      <c r="CK74" s="22">
        <f t="shared" si="31"/>
        <v>0.30480576767481543</v>
      </c>
      <c r="CL74" s="22">
        <f t="shared" si="31"/>
        <v>0.32782587829697196</v>
      </c>
      <c r="CM74" s="22">
        <f t="shared" si="31"/>
        <v>0.35431982004053869</v>
      </c>
      <c r="CN74" s="22">
        <f t="shared" si="26"/>
        <v>0.38496758384189583</v>
      </c>
      <c r="CO74" s="22">
        <f t="shared" si="26"/>
        <v>0.42061361442581713</v>
      </c>
      <c r="CP74" s="22">
        <f t="shared" si="26"/>
        <v>0.46231408528532525</v>
      </c>
      <c r="CQ74" s="22">
        <f t="shared" si="26"/>
        <v>0.51139991379204897</v>
      </c>
      <c r="CR74" s="22">
        <f t="shared" si="26"/>
        <v>0.56956148087123626</v>
      </c>
      <c r="CS74" s="22">
        <f t="shared" si="26"/>
        <v>0.63896355927397175</v>
      </c>
      <c r="CT74" s="22">
        <f t="shared" si="26"/>
        <v>0.72240269731462337</v>
      </c>
      <c r="CU74" s="22">
        <f t="shared" si="18"/>
        <v>0.82352488050414874</v>
      </c>
      <c r="CV74" s="22">
        <f t="shared" si="18"/>
        <v>0.94712969269384994</v>
      </c>
      <c r="CW74" s="22">
        <f t="shared" si="18"/>
        <v>1.0996000000000752</v>
      </c>
    </row>
    <row r="75" spans="1:101">
      <c r="A75" s="22">
        <v>73</v>
      </c>
      <c r="B75" s="32" t="str">
        <f>データファイル用!$B76</f>
        <v>ASHRAE Spun Bonded Polyolefin Membrane</v>
      </c>
      <c r="C75" s="32">
        <f>データファイル用!K76</f>
        <v>1</v>
      </c>
      <c r="D75" s="32">
        <f>データファイル用!L76</f>
        <v>2.656E-2</v>
      </c>
      <c r="E75" s="32">
        <f>データファイル用!M76</f>
        <v>0.36109999999999998</v>
      </c>
      <c r="F75" s="32">
        <f>データファイル用!N76</f>
        <v>-1.4935</v>
      </c>
      <c r="G75" s="32">
        <f>データファイル用!O76</f>
        <v>4.7194000000000003</v>
      </c>
      <c r="H75" s="32">
        <f>データファイル用!P76</f>
        <v>0</v>
      </c>
      <c r="I75" s="35">
        <f>データファイル用!Q76</f>
        <v>0</v>
      </c>
      <c r="J75" s="32">
        <f t="shared" si="32"/>
        <v>2.3018346917740354E-2</v>
      </c>
      <c r="K75" s="32">
        <f t="shared" si="33"/>
        <v>0</v>
      </c>
      <c r="L75" s="53" t="str">
        <f t="shared" si="34"/>
        <v>N/A</v>
      </c>
      <c r="M75" s="22">
        <f t="shared" ref="M75:AB82" si="36">IF($C75=2,IF(M$2&lt;=$O$1,$D75*IF(AND(M$2=0,$E75=0),1,M$2^$E75)*EXP($F75*(1-IF(AND(M$2=0,$G75=0),1,M$2^$G75))),($H75-$I75)*(M$2-$O$1)/(1-$O$1)+$I75),$D75*IF(AND(M$2=0,$E75=0),1,M$2^$E75)*EXP($F75*(1-IF(AND(M$2=0,$G75=0),1,M$2^$G75))))</f>
        <v>0</v>
      </c>
      <c r="N75" s="22">
        <f t="shared" si="36"/>
        <v>1.4524834734457796E-3</v>
      </c>
      <c r="O75" s="22">
        <f t="shared" si="36"/>
        <v>1.8655774719789269E-3</v>
      </c>
      <c r="P75" s="22">
        <f t="shared" si="36"/>
        <v>2.1597366052920784E-3</v>
      </c>
      <c r="Q75" s="22">
        <f t="shared" si="36"/>
        <v>2.3961796403844187E-3</v>
      </c>
      <c r="R75" s="22">
        <f t="shared" si="36"/>
        <v>2.5972971456029634E-3</v>
      </c>
      <c r="S75" s="22">
        <f t="shared" si="36"/>
        <v>2.7741559418200915E-3</v>
      </c>
      <c r="T75" s="22">
        <f t="shared" si="36"/>
        <v>2.9331661288792611E-3</v>
      </c>
      <c r="U75" s="22">
        <f t="shared" si="36"/>
        <v>3.0784402432156703E-3</v>
      </c>
      <c r="V75" s="22">
        <f t="shared" si="36"/>
        <v>3.2128205094614972E-3</v>
      </c>
      <c r="W75" s="22">
        <f t="shared" si="36"/>
        <v>3.3383912477676181E-3</v>
      </c>
      <c r="X75" s="22">
        <f t="shared" si="36"/>
        <v>3.4567607755857407E-3</v>
      </c>
      <c r="Y75" s="22">
        <f t="shared" si="36"/>
        <v>3.5692286559832554E-3</v>
      </c>
      <c r="Z75" s="22">
        <f t="shared" si="36"/>
        <v>3.6768912162609673E-3</v>
      </c>
      <c r="AA75" s="22">
        <f t="shared" si="36"/>
        <v>3.7807117330762949E-3</v>
      </c>
      <c r="AB75" s="22">
        <f t="shared" si="36"/>
        <v>3.8815694122955047E-3</v>
      </c>
      <c r="AC75" s="22">
        <f t="shared" si="35"/>
        <v>3.9802951882960957E-3</v>
      </c>
      <c r="AD75" s="22">
        <f t="shared" si="35"/>
        <v>4.0776991481366771E-3</v>
      </c>
      <c r="AE75" s="22">
        <f t="shared" si="35"/>
        <v>4.1745926075433225E-3</v>
      </c>
      <c r="AF75" s="22">
        <f t="shared" si="35"/>
        <v>4.2718068486186714E-3</v>
      </c>
      <c r="AG75" s="22">
        <f t="shared" si="35"/>
        <v>4.3702099354310841E-3</v>
      </c>
      <c r="AH75" s="22">
        <f t="shared" si="35"/>
        <v>4.4707226770846218E-3</v>
      </c>
      <c r="AI75" s="22">
        <f t="shared" si="35"/>
        <v>4.574334613578414E-3</v>
      </c>
      <c r="AJ75" s="22">
        <f t="shared" si="35"/>
        <v>4.6821208055661959E-3</v>
      </c>
      <c r="AK75" s="22">
        <f t="shared" si="35"/>
        <v>4.7952601865785625E-3</v>
      </c>
      <c r="AL75" s="22">
        <f t="shared" si="35"/>
        <v>4.9150562709375251E-3</v>
      </c>
      <c r="AM75" s="22">
        <f t="shared" si="35"/>
        <v>5.0429610970526223E-3</v>
      </c>
      <c r="AN75" s="22">
        <f t="shared" si="35"/>
        <v>5.1806034251632455E-3</v>
      </c>
      <c r="AO75" s="22">
        <f t="shared" si="35"/>
        <v>5.3298224075621157E-3</v>
      </c>
      <c r="AP75" s="22">
        <f t="shared" si="35"/>
        <v>5.4927082201276676E-3</v>
      </c>
      <c r="AQ75" s="22">
        <f t="shared" si="35"/>
        <v>5.6716515051622972E-3</v>
      </c>
      <c r="AR75" s="22">
        <f t="shared" si="30"/>
        <v>5.8694039535147563E-3</v>
      </c>
      <c r="AS75" s="22">
        <f t="shared" si="30"/>
        <v>6.0891529855419879E-3</v>
      </c>
      <c r="AT75" s="22">
        <f t="shared" si="30"/>
        <v>6.3346143264269338E-3</v>
      </c>
      <c r="AU75" s="22">
        <f t="shared" si="30"/>
        <v>6.6101473818073247E-3</v>
      </c>
      <c r="AV75" s="22">
        <f t="shared" si="30"/>
        <v>6.9208998016248901E-3</v>
      </c>
      <c r="AW75" s="22">
        <f t="shared" si="30"/>
        <v>7.2729896085889922E-3</v>
      </c>
      <c r="AX75" s="22">
        <f t="shared" si="30"/>
        <v>7.673735951648609E-3</v>
      </c>
      <c r="AY75" s="22">
        <f t="shared" si="30"/>
        <v>8.1319531906780592E-3</v>
      </c>
      <c r="AZ75" s="22">
        <f t="shared" si="30"/>
        <v>8.6583280041064893E-3</v>
      </c>
      <c r="BA75" s="22">
        <f t="shared" si="30"/>
        <v>9.2659060767322776E-3</v>
      </c>
      <c r="BB75" s="22">
        <f t="shared" si="30"/>
        <v>9.9707244488579354E-3</v>
      </c>
      <c r="BC75" s="22">
        <f t="shared" si="30"/>
        <v>1.0792638920633793E-2</v>
      </c>
      <c r="BD75" s="22">
        <f t="shared" si="30"/>
        <v>1.1756414662562813E-2</v>
      </c>
      <c r="BE75" s="22">
        <f t="shared" si="30"/>
        <v>1.2893174829572206E-2</v>
      </c>
      <c r="BF75" s="22">
        <f t="shared" si="30"/>
        <v>1.4242340155391959E-2</v>
      </c>
      <c r="BG75" s="22">
        <f t="shared" si="30"/>
        <v>1.585424769550476E-2</v>
      </c>
      <c r="BH75" s="22">
        <f t="shared" si="29"/>
        <v>1.7793717409362305E-2</v>
      </c>
      <c r="BI75" s="22">
        <f t="shared" si="29"/>
        <v>2.01449538801368E-2</v>
      </c>
      <c r="BJ75" s="22">
        <f t="shared" si="29"/>
        <v>2.0275171198929107E-2</v>
      </c>
      <c r="BK75" s="22">
        <f t="shared" si="29"/>
        <v>2.0406702386830712E-2</v>
      </c>
      <c r="BL75" s="22">
        <f t="shared" si="29"/>
        <v>2.0539563458968124E-2</v>
      </c>
      <c r="BM75" s="22">
        <f t="shared" si="29"/>
        <v>2.0673770656679722E-2</v>
      </c>
      <c r="BN75" s="22">
        <f t="shared" si="29"/>
        <v>2.0809340451111651E-2</v>
      </c>
      <c r="BO75" s="22">
        <f t="shared" si="29"/>
        <v>2.0946289546876808E-2</v>
      </c>
      <c r="BP75" s="22">
        <f t="shared" si="29"/>
        <v>2.108463488577797E-2</v>
      </c>
      <c r="BQ75" s="22">
        <f t="shared" si="29"/>
        <v>2.1224393650596453E-2</v>
      </c>
      <c r="BR75" s="22">
        <f t="shared" si="29"/>
        <v>2.1365583268947407E-2</v>
      </c>
      <c r="BS75" s="22">
        <f t="shared" si="29"/>
        <v>2.1508221417203127E-2</v>
      </c>
      <c r="BT75" s="22">
        <f t="shared" si="29"/>
        <v>2.1652326024485639E-2</v>
      </c>
      <c r="BU75" s="22">
        <f t="shared" si="29"/>
        <v>2.1797915276729897E-2</v>
      </c>
      <c r="BV75" s="22">
        <f t="shared" si="29"/>
        <v>2.1945007620818958E-2</v>
      </c>
      <c r="BW75" s="22">
        <f t="shared" si="22"/>
        <v>2.2093621768792499E-2</v>
      </c>
      <c r="BX75" s="22">
        <f t="shared" si="31"/>
        <v>2.2243776702130125E-2</v>
      </c>
      <c r="BY75" s="22">
        <f t="shared" si="31"/>
        <v>2.2395491676110886E-2</v>
      </c>
      <c r="BZ75" s="22">
        <f t="shared" si="31"/>
        <v>2.2548786224250491E-2</v>
      </c>
      <c r="CA75" s="22">
        <f t="shared" si="31"/>
        <v>2.2703680162817697E-2</v>
      </c>
      <c r="CB75" s="22">
        <f t="shared" si="31"/>
        <v>2.2860193595431483E-2</v>
      </c>
      <c r="CC75" s="22">
        <f t="shared" si="31"/>
        <v>2.3018346917740434E-2</v>
      </c>
      <c r="CD75" s="22">
        <f t="shared" si="31"/>
        <v>2.3178160822186166E-2</v>
      </c>
      <c r="CE75" s="22">
        <f t="shared" si="31"/>
        <v>2.3339656302852122E-2</v>
      </c>
      <c r="CF75" s="22">
        <f t="shared" si="31"/>
        <v>2.3502854660399725E-2</v>
      </c>
      <c r="CG75" s="22">
        <f t="shared" si="31"/>
        <v>2.3667777507093337E-2</v>
      </c>
      <c r="CH75" s="22">
        <f t="shared" si="31"/>
        <v>2.3834446771915947E-2</v>
      </c>
      <c r="CI75" s="22">
        <f t="shared" si="31"/>
        <v>2.4002884705777217E-2</v>
      </c>
      <c r="CJ75" s="22">
        <f t="shared" si="31"/>
        <v>2.4173113886815822E-2</v>
      </c>
      <c r="CK75" s="22">
        <f t="shared" si="31"/>
        <v>2.4345157225797859E-2</v>
      </c>
      <c r="CL75" s="22">
        <f t="shared" si="31"/>
        <v>2.4519037971613252E-2</v>
      </c>
      <c r="CM75" s="22">
        <f t="shared" si="31"/>
        <v>2.4694779716872076E-2</v>
      </c>
      <c r="CN75" s="22">
        <f t="shared" si="26"/>
        <v>2.4872406403602741E-2</v>
      </c>
      <c r="CO75" s="22">
        <f t="shared" si="26"/>
        <v>2.5051942329054149E-2</v>
      </c>
      <c r="CP75" s="22">
        <f t="shared" si="26"/>
        <v>2.5233412151603712E-2</v>
      </c>
      <c r="CQ75" s="22">
        <f t="shared" si="26"/>
        <v>2.5416840896773554E-2</v>
      </c>
      <c r="CR75" s="22">
        <f t="shared" si="26"/>
        <v>2.5602253963356799E-2</v>
      </c>
      <c r="CS75" s="22">
        <f t="shared" si="26"/>
        <v>2.5789677129656356E-2</v>
      </c>
      <c r="CT75" s="22">
        <f t="shared" si="26"/>
        <v>2.5979136559838294E-2</v>
      </c>
      <c r="CU75" s="22">
        <f t="shared" si="18"/>
        <v>2.6170658810402141E-2</v>
      </c>
      <c r="CV75" s="22">
        <f t="shared" si="18"/>
        <v>2.6364270836770468E-2</v>
      </c>
      <c r="CW75" s="22">
        <f t="shared" si="18"/>
        <v>2.6560000000000084E-2</v>
      </c>
    </row>
    <row r="76" spans="1:101">
      <c r="A76" s="22">
        <v>74</v>
      </c>
      <c r="B76" s="32" t="str">
        <f>データファイル用!$B77</f>
        <v>ASHRAE Bonded Polyolefin Membrane (Crinkled )</v>
      </c>
      <c r="C76" s="32">
        <f>データファイル用!K77</f>
        <v>1</v>
      </c>
      <c r="D76" s="32">
        <f>データファイル用!L77</f>
        <v>2.9758E-2</v>
      </c>
      <c r="E76" s="32">
        <f>データファイル用!M77</f>
        <v>0.44656000000000001</v>
      </c>
      <c r="F76" s="32">
        <f>データファイル用!N77</f>
        <v>-1.4406000000000001</v>
      </c>
      <c r="G76" s="32">
        <f>データファイル用!O77</f>
        <v>4.9802</v>
      </c>
      <c r="H76" s="32">
        <f>データファイル用!P77</f>
        <v>0</v>
      </c>
      <c r="I76" s="35">
        <f>データファイル用!Q77</f>
        <v>0</v>
      </c>
      <c r="J76" s="32">
        <f t="shared" si="32"/>
        <v>2.5692152100492978E-2</v>
      </c>
      <c r="K76" s="32">
        <f t="shared" si="33"/>
        <v>0</v>
      </c>
      <c r="L76" s="53" t="str">
        <f t="shared" si="34"/>
        <v>N/A</v>
      </c>
      <c r="M76" s="22">
        <f t="shared" si="36"/>
        <v>0</v>
      </c>
      <c r="N76" s="22">
        <f t="shared" si="36"/>
        <v>1.2281942669840088E-3</v>
      </c>
      <c r="O76" s="22">
        <f t="shared" si="36"/>
        <v>1.6737673305231415E-3</v>
      </c>
      <c r="P76" s="22">
        <f t="shared" si="36"/>
        <v>2.0059996159968313E-3</v>
      </c>
      <c r="Q76" s="22">
        <f t="shared" si="36"/>
        <v>2.2809991773210282E-3</v>
      </c>
      <c r="R76" s="22">
        <f t="shared" si="36"/>
        <v>2.5200296876481034E-3</v>
      </c>
      <c r="S76" s="22">
        <f t="shared" si="36"/>
        <v>2.7338489890591515E-3</v>
      </c>
      <c r="T76" s="22">
        <f t="shared" si="36"/>
        <v>2.9287953667086861E-3</v>
      </c>
      <c r="U76" s="22">
        <f t="shared" si="36"/>
        <v>3.1089873574118698E-3</v>
      </c>
      <c r="V76" s="22">
        <f t="shared" si="36"/>
        <v>3.2772977613824005E-3</v>
      </c>
      <c r="W76" s="22">
        <f t="shared" si="36"/>
        <v>3.4358464968776261E-3</v>
      </c>
      <c r="X76" s="22">
        <f t="shared" si="36"/>
        <v>3.5862753260231285E-3</v>
      </c>
      <c r="Y76" s="22">
        <f t="shared" si="36"/>
        <v>3.7299129474925906E-3</v>
      </c>
      <c r="Z76" s="22">
        <f t="shared" si="36"/>
        <v>3.8678805409958065E-3</v>
      </c>
      <c r="AA76" s="22">
        <f t="shared" si="36"/>
        <v>4.0011629714554525E-3</v>
      </c>
      <c r="AB76" s="22">
        <f t="shared" si="36"/>
        <v>4.1306592525058488E-3</v>
      </c>
      <c r="AC76" s="22">
        <f t="shared" si="35"/>
        <v>4.2572200482177093E-3</v>
      </c>
      <c r="AD76" s="22">
        <f t="shared" si="35"/>
        <v>4.3816769012099913E-3</v>
      </c>
      <c r="AE76" s="22">
        <f t="shared" si="35"/>
        <v>4.5048661589423547E-3</v>
      </c>
      <c r="AF76" s="22">
        <f t="shared" si="35"/>
        <v>4.6276495855507192E-3</v>
      </c>
      <c r="AG76" s="22">
        <f t="shared" si="35"/>
        <v>4.7509330724617724E-3</v>
      </c>
      <c r="AH76" s="22">
        <f t="shared" si="35"/>
        <v>4.875684528881043E-3</v>
      </c>
      <c r="AI76" s="22">
        <f t="shared" si="35"/>
        <v>5.0029518520865734E-3</v>
      </c>
      <c r="AJ76" s="22">
        <f t="shared" si="35"/>
        <v>5.1338817973009291E-3</v>
      </c>
      <c r="AK76" s="22">
        <f t="shared" si="35"/>
        <v>5.2697405607790735E-3</v>
      </c>
      <c r="AL76" s="22">
        <f t="shared" si="35"/>
        <v>5.4119369444601108E-3</v>
      </c>
      <c r="AM76" s="22">
        <f t="shared" si="35"/>
        <v>5.5620490820236738E-3</v>
      </c>
      <c r="AN76" s="22">
        <f t="shared" si="35"/>
        <v>5.7218558772969951E-3</v>
      </c>
      <c r="AO76" s="22">
        <f t="shared" si="35"/>
        <v>5.8933745456543288E-3</v>
      </c>
      <c r="AP76" s="22">
        <f t="shared" si="35"/>
        <v>6.0789059727494356E-3</v>
      </c>
      <c r="AQ76" s="22">
        <f t="shared" si="35"/>
        <v>6.2810900356428659E-3</v>
      </c>
      <c r="AR76" s="22">
        <f t="shared" si="30"/>
        <v>6.5029736018585287E-3</v>
      </c>
      <c r="AS76" s="22">
        <f t="shared" si="30"/>
        <v>6.7480946778237577E-3</v>
      </c>
      <c r="AT76" s="22">
        <f t="shared" si="30"/>
        <v>7.0205871829777181E-3</v>
      </c>
      <c r="AU76" s="22">
        <f t="shared" si="30"/>
        <v>7.3253121677960787E-3</v>
      </c>
      <c r="AV76" s="22">
        <f t="shared" si="30"/>
        <v>7.6680230961965754E-3</v>
      </c>
      <c r="AW76" s="22">
        <f t="shared" si="30"/>
        <v>8.0555752480634089E-3</v>
      </c>
      <c r="AX76" s="22">
        <f t="shared" si="30"/>
        <v>8.496192610093144E-3</v>
      </c>
      <c r="AY76" s="22">
        <f t="shared" si="30"/>
        <v>8.9998101602405452E-3</v>
      </c>
      <c r="AZ76" s="22">
        <f t="shared" si="30"/>
        <v>9.5785157109415913E-3</v>
      </c>
      <c r="BA76" s="22">
        <f t="shared" si="30"/>
        <v>1.024712417924235E-2</v>
      </c>
      <c r="BB76" s="22">
        <f t="shared" si="30"/>
        <v>1.1023929347918137E-2</v>
      </c>
      <c r="BC76" s="22">
        <f t="shared" si="30"/>
        <v>1.193169541462665E-2</v>
      </c>
      <c r="BD76" s="22">
        <f t="shared" si="30"/>
        <v>1.2998975187206021E-2</v>
      </c>
      <c r="BE76" s="22">
        <f t="shared" si="30"/>
        <v>1.4261877104081692E-2</v>
      </c>
      <c r="BF76" s="22">
        <f t="shared" si="30"/>
        <v>1.5766454529553685E-2</v>
      </c>
      <c r="BG76" s="22">
        <f t="shared" si="30"/>
        <v>1.7571965923643854E-2</v>
      </c>
      <c r="BH76" s="22">
        <f t="shared" si="29"/>
        <v>1.9755365755846001E-2</v>
      </c>
      <c r="BI76" s="22">
        <f t="shared" si="29"/>
        <v>2.2417552523920688E-2</v>
      </c>
      <c r="BJ76" s="22">
        <f t="shared" si="29"/>
        <v>2.2565458921080896E-2</v>
      </c>
      <c r="BK76" s="22">
        <f t="shared" si="29"/>
        <v>2.2714906310960774E-2</v>
      </c>
      <c r="BL76" s="22">
        <f t="shared" si="29"/>
        <v>2.2865914183845454E-2</v>
      </c>
      <c r="BM76" s="22">
        <f t="shared" si="29"/>
        <v>2.301850231630416E-2</v>
      </c>
      <c r="BN76" s="22">
        <f t="shared" si="29"/>
        <v>2.3172690775933622E-2</v>
      </c>
      <c r="BO76" s="22">
        <f t="shared" si="29"/>
        <v>2.3328499926188302E-2</v>
      </c>
      <c r="BP76" s="22">
        <f t="shared" si="29"/>
        <v>2.3485950431299099E-2</v>
      </c>
      <c r="BQ76" s="22">
        <f t="shared" si="29"/>
        <v>2.3645063261282389E-2</v>
      </c>
      <c r="BR76" s="22">
        <f t="shared" si="29"/>
        <v>2.3805859697041187E-2</v>
      </c>
      <c r="BS76" s="22">
        <f t="shared" si="29"/>
        <v>2.3968361335560212E-2</v>
      </c>
      <c r="BT76" s="22">
        <f t="shared" si="29"/>
        <v>2.4132590095196801E-2</v>
      </c>
      <c r="BU76" s="22">
        <f t="shared" si="29"/>
        <v>2.4298568221069607E-2</v>
      </c>
      <c r="BV76" s="22">
        <f t="shared" si="29"/>
        <v>2.4466318290546987E-2</v>
      </c>
      <c r="BW76" s="22">
        <f t="shared" ref="BW76:CL82" si="37">IF($C76=2,IF(BW$2&lt;=$O$1,$D76*IF(AND(BW$2=0,$E76=0),1,BW$2^$E76)*EXP($F76*(1-IF(AND(BW$2=0,$G76=0),1,BW$2^$G76))),($H76-$I76)*(BW$2-$O$1)/(1-$O$1)+$I76),$D76*IF(AND(BW$2=0,$E76=0),1,BW$2^$E76)*EXP($F76*(1-IF(AND(BW$2=0,$G76=0),1,BW$2^$G76))))</f>
        <v>2.4635863218837151E-2</v>
      </c>
      <c r="BX76" s="22">
        <f t="shared" si="37"/>
        <v>2.4807226264682097E-2</v>
      </c>
      <c r="BY76" s="22">
        <f t="shared" si="37"/>
        <v>2.4980431036157404E-2</v>
      </c>
      <c r="BZ76" s="22">
        <f t="shared" si="31"/>
        <v>2.515550149658009E-2</v>
      </c>
      <c r="CA76" s="22">
        <f t="shared" si="31"/>
        <v>2.5332461970526687E-2</v>
      </c>
      <c r="CB76" s="22">
        <f t="shared" si="31"/>
        <v>2.5511337149963731E-2</v>
      </c>
      <c r="CC76" s="22">
        <f t="shared" si="31"/>
        <v>2.5692152100493078E-2</v>
      </c>
      <c r="CD76" s="22">
        <f t="shared" si="31"/>
        <v>2.5874932267714222E-2</v>
      </c>
      <c r="CE76" s="22">
        <f t="shared" si="31"/>
        <v>2.6059703483706148E-2</v>
      </c>
      <c r="CF76" s="22">
        <f t="shared" si="31"/>
        <v>2.6246491973631051E-2</v>
      </c>
      <c r="CG76" s="22">
        <f t="shared" si="31"/>
        <v>2.6435324362462483E-2</v>
      </c>
      <c r="CH76" s="22">
        <f t="shared" si="31"/>
        <v>2.6626227681840486E-2</v>
      </c>
      <c r="CI76" s="22">
        <f t="shared" si="31"/>
        <v>2.6819229377056233E-2</v>
      </c>
      <c r="CJ76" s="22">
        <f t="shared" si="31"/>
        <v>2.7014357314168954E-2</v>
      </c>
      <c r="CK76" s="22">
        <f t="shared" si="31"/>
        <v>2.7211639787257758E-2</v>
      </c>
      <c r="CL76" s="22">
        <f t="shared" si="31"/>
        <v>2.7411105525811243E-2</v>
      </c>
      <c r="CM76" s="22">
        <f t="shared" si="31"/>
        <v>2.761278370225765E-2</v>
      </c>
      <c r="CN76" s="22">
        <f t="shared" si="26"/>
        <v>2.7816703939638508E-2</v>
      </c>
      <c r="CO76" s="22">
        <f t="shared" si="26"/>
        <v>2.8022896319428756E-2</v>
      </c>
      <c r="CP76" s="22">
        <f t="shared" si="26"/>
        <v>2.8231391389506359E-2</v>
      </c>
      <c r="CQ76" s="22">
        <f t="shared" si="26"/>
        <v>2.8442220172274525E-2</v>
      </c>
      <c r="CR76" s="22">
        <f t="shared" si="26"/>
        <v>2.8655414172939684E-2</v>
      </c>
      <c r="CS76" s="22">
        <f t="shared" si="26"/>
        <v>2.8871005387948564E-2</v>
      </c>
      <c r="CT76" s="22">
        <f t="shared" si="26"/>
        <v>2.9089026313587563E-2</v>
      </c>
      <c r="CU76" s="22">
        <f t="shared" si="18"/>
        <v>2.9309509954747865E-2</v>
      </c>
      <c r="CV76" s="22">
        <f t="shared" si="18"/>
        <v>2.9532489833859841E-2</v>
      </c>
      <c r="CW76" s="22">
        <f t="shared" si="18"/>
        <v>2.97580000000001E-2</v>
      </c>
    </row>
    <row r="77" spans="1:101">
      <c r="A77" s="22">
        <v>75</v>
      </c>
      <c r="B77" s="32" t="str">
        <f>データファイル用!$B78</f>
        <v>ASHRAE Vinyl Wallpaper</v>
      </c>
      <c r="C77" s="32">
        <f>データファイル用!K78</f>
        <v>1</v>
      </c>
      <c r="D77" s="32">
        <f>データファイル用!L78</f>
        <v>1.0995999999999999</v>
      </c>
      <c r="E77" s="32">
        <f>データファイル用!M78</f>
        <v>1.4286000000000001</v>
      </c>
      <c r="F77" s="32">
        <f>データファイル用!N78</f>
        <v>-2.2789999999999999</v>
      </c>
      <c r="G77" s="32">
        <f>データファイル用!O78</f>
        <v>67.513000000000005</v>
      </c>
      <c r="H77" s="32">
        <f>データファイル用!P78</f>
        <v>0</v>
      </c>
      <c r="I77" s="35">
        <f>データファイル用!Q78</f>
        <v>0</v>
      </c>
      <c r="J77" s="32">
        <f t="shared" si="32"/>
        <v>0.19587307159868525</v>
      </c>
      <c r="K77" s="32">
        <f t="shared" si="33"/>
        <v>0</v>
      </c>
      <c r="L77" s="53" t="str">
        <f t="shared" si="34"/>
        <v>N/A</v>
      </c>
      <c r="M77" s="22">
        <f t="shared" si="36"/>
        <v>0</v>
      </c>
      <c r="N77" s="22">
        <f t="shared" si="36"/>
        <v>4.2104552773278883E-4</v>
      </c>
      <c r="O77" s="22">
        <f t="shared" si="36"/>
        <v>1.1333929594895397E-3</v>
      </c>
      <c r="P77" s="22">
        <f t="shared" si="36"/>
        <v>2.022760588359142E-3</v>
      </c>
      <c r="Q77" s="22">
        <f t="shared" si="36"/>
        <v>3.0509280256165051E-3</v>
      </c>
      <c r="R77" s="22">
        <f t="shared" si="36"/>
        <v>4.1964070397380072E-3</v>
      </c>
      <c r="S77" s="22">
        <f t="shared" si="36"/>
        <v>5.4449755633887856E-3</v>
      </c>
      <c r="T77" s="22">
        <f t="shared" si="36"/>
        <v>6.7863478817711022E-3</v>
      </c>
      <c r="U77" s="22">
        <f t="shared" si="36"/>
        <v>8.2126518782015961E-3</v>
      </c>
      <c r="V77" s="22">
        <f t="shared" si="36"/>
        <v>9.7176198969525229E-3</v>
      </c>
      <c r="W77" s="22">
        <f t="shared" si="36"/>
        <v>1.1296113794634211E-2</v>
      </c>
      <c r="X77" s="22">
        <f t="shared" si="36"/>
        <v>1.294382547903742E-2</v>
      </c>
      <c r="Y77" s="22">
        <f t="shared" si="36"/>
        <v>1.4657077588184181E-2</v>
      </c>
      <c r="Z77" s="22">
        <f t="shared" si="36"/>
        <v>1.6432685058112195E-2</v>
      </c>
      <c r="AA77" s="22">
        <f t="shared" si="36"/>
        <v>1.8267855619469947E-2</v>
      </c>
      <c r="AB77" s="22">
        <f t="shared" si="36"/>
        <v>2.0160116219265264E-2</v>
      </c>
      <c r="AC77" s="22">
        <f t="shared" si="35"/>
        <v>2.2107257302111855E-2</v>
      </c>
      <c r="AD77" s="22">
        <f t="shared" si="35"/>
        <v>2.4107289751037982E-2</v>
      </c>
      <c r="AE77" s="22">
        <f t="shared" si="35"/>
        <v>2.615841102388167E-2</v>
      </c>
      <c r="AF77" s="22">
        <f t="shared" si="35"/>
        <v>2.8258978111929411E-2</v>
      </c>
      <c r="AG77" s="22">
        <f t="shared" si="35"/>
        <v>3.0407485654511714E-2</v>
      </c>
      <c r="AH77" s="22">
        <f t="shared" si="35"/>
        <v>3.2602548014363193E-2</v>
      </c>
      <c r="AI77" s="22">
        <f t="shared" si="35"/>
        <v>3.4842884440071178E-2</v>
      </c>
      <c r="AJ77" s="22">
        <f t="shared" si="35"/>
        <v>3.7127306666096212E-2</v>
      </c>
      <c r="AK77" s="22">
        <f t="shared" si="35"/>
        <v>3.9454708460132666E-2</v>
      </c>
      <c r="AL77" s="22">
        <f t="shared" si="35"/>
        <v>4.1824056742715394E-2</v>
      </c>
      <c r="AM77" s="22">
        <f t="shared" si="35"/>
        <v>4.4234383988501248E-2</v>
      </c>
      <c r="AN77" s="22">
        <f t="shared" si="35"/>
        <v>4.6684781681578393E-2</v>
      </c>
      <c r="AO77" s="22">
        <f t="shared" si="35"/>
        <v>4.9174394644606281E-2</v>
      </c>
      <c r="AP77" s="22">
        <f t="shared" si="35"/>
        <v>5.1702416097790055E-2</v>
      </c>
      <c r="AQ77" s="22">
        <f t="shared" si="35"/>
        <v>5.4268083331613558E-2</v>
      </c>
      <c r="AR77" s="22">
        <f t="shared" si="30"/>
        <v>5.6870673899004298E-2</v>
      </c>
      <c r="AS77" s="22">
        <f t="shared" si="30"/>
        <v>5.9509502249703521E-2</v>
      </c>
      <c r="AT77" s="22">
        <f t="shared" si="30"/>
        <v>6.2183916743205968E-2</v>
      </c>
      <c r="AU77" s="22">
        <f t="shared" si="30"/>
        <v>6.4893296987701354E-2</v>
      </c>
      <c r="AV77" s="22">
        <f t="shared" si="30"/>
        <v>6.7637051462781664E-2</v>
      </c>
      <c r="AW77" s="22">
        <f t="shared" si="30"/>
        <v>7.0414615401131628E-2</v>
      </c>
      <c r="AX77" s="22">
        <f t="shared" si="30"/>
        <v>7.3225448973747401E-2</v>
      </c>
      <c r="AY77" s="22">
        <f t="shared" si="30"/>
        <v>7.6069036197843221E-2</v>
      </c>
      <c r="AZ77" s="22">
        <f t="shared" si="30"/>
        <v>7.8944887041886444E-2</v>
      </c>
      <c r="BA77" s="22">
        <f t="shared" si="30"/>
        <v>8.1852556075052652E-2</v>
      </c>
      <c r="BB77" s="22">
        <f t="shared" si="30"/>
        <v>8.4791746164383813E-2</v>
      </c>
      <c r="BC77" s="22">
        <f t="shared" si="30"/>
        <v>8.7762834295820463E-2</v>
      </c>
      <c r="BD77" s="22">
        <f t="shared" si="30"/>
        <v>9.0769414320314726E-2</v>
      </c>
      <c r="BE77" s="22">
        <f t="shared" si="30"/>
        <v>9.38301290607194E-2</v>
      </c>
      <c r="BF77" s="22">
        <f t="shared" si="30"/>
        <v>9.7031869010157992E-2</v>
      </c>
      <c r="BG77" s="22">
        <f t="shared" ref="BG77:BV82" si="38">IF($C77=2,IF(BG$2&lt;=$O$1,$D77*IF(AND(BG$2=0,$E77=0),1,BG$2^$E77)*EXP($F77*(1-IF(AND(BG$2=0,$G77=0),1,BG$2^$G77))),($H77-$I77)*(BG$2-$O$1)/(1-$O$1)+$I77),$D77*IF(AND(BG$2=0,$E77=0),1,BG$2^$E77)*EXP($F77*(1-IF(AND(BG$2=0,$G77=0),1,BG$2^$G77))))</f>
        <v>0.10076252708876768</v>
      </c>
      <c r="BH77" s="22">
        <f t="shared" si="38"/>
        <v>0.10672578907566781</v>
      </c>
      <c r="BI77" s="22">
        <f t="shared" si="38"/>
        <v>0.12275632590241647</v>
      </c>
      <c r="BJ77" s="22">
        <f t="shared" si="38"/>
        <v>0.12424234965860702</v>
      </c>
      <c r="BK77" s="22">
        <f t="shared" si="38"/>
        <v>0.12584123279135903</v>
      </c>
      <c r="BL77" s="22">
        <f t="shared" si="38"/>
        <v>0.12756365339622325</v>
      </c>
      <c r="BM77" s="22">
        <f t="shared" si="38"/>
        <v>0.1294214790090934</v>
      </c>
      <c r="BN77" s="22">
        <f t="shared" si="38"/>
        <v>0.1314279265138521</v>
      </c>
      <c r="BO77" s="22">
        <f t="shared" si="38"/>
        <v>0.13359774764196464</v>
      </c>
      <c r="BP77" s="22">
        <f t="shared" si="38"/>
        <v>0.13594744480115573</v>
      </c>
      <c r="BQ77" s="22">
        <f t="shared" si="38"/>
        <v>0.13849552296237996</v>
      </c>
      <c r="BR77" s="22">
        <f t="shared" si="38"/>
        <v>0.14126278455840682</v>
      </c>
      <c r="BS77" s="22">
        <f t="shared" si="38"/>
        <v>0.14427267586355447</v>
      </c>
      <c r="BT77" s="22">
        <f t="shared" si="38"/>
        <v>0.14755169520956549</v>
      </c>
      <c r="BU77" s="22">
        <f t="shared" si="38"/>
        <v>0.15112987574686765</v>
      </c>
      <c r="BV77" s="22">
        <f t="shared" si="38"/>
        <v>0.15504135841248745</v>
      </c>
      <c r="BW77" s="22">
        <f t="shared" si="37"/>
        <v>0.15932507448368152</v>
      </c>
      <c r="BX77" s="22">
        <f t="shared" si="37"/>
        <v>0.16402556179974132</v>
      </c>
      <c r="BY77" s="22">
        <f t="shared" si="37"/>
        <v>0.1691939447125359</v>
      </c>
      <c r="BZ77" s="22">
        <f t="shared" si="31"/>
        <v>0.17488911546145647</v>
      </c>
      <c r="CA77" s="22">
        <f t="shared" si="31"/>
        <v>0.18117916446863466</v>
      </c>
      <c r="CB77" s="22">
        <f t="shared" si="31"/>
        <v>0.18814311969485947</v>
      </c>
      <c r="CC77" s="22">
        <f t="shared" si="31"/>
        <v>0.1958730715986898</v>
      </c>
      <c r="CD77" s="22">
        <f t="shared" si="31"/>
        <v>0.20447678163589433</v>
      </c>
      <c r="CE77" s="22">
        <f t="shared" si="31"/>
        <v>0.21408090030428384</v>
      </c>
      <c r="CF77" s="22">
        <f t="shared" si="31"/>
        <v>0.22483495778208984</v>
      </c>
      <c r="CG77" s="22">
        <f t="shared" si="31"/>
        <v>0.23691633939982448</v>
      </c>
      <c r="CH77" s="22">
        <f t="shared" si="31"/>
        <v>0.25053652393136056</v>
      </c>
      <c r="CI77" s="22">
        <f t="shared" si="31"/>
        <v>0.26594895114871875</v>
      </c>
      <c r="CJ77" s="22">
        <f t="shared" si="31"/>
        <v>0.28345900493099618</v>
      </c>
      <c r="CK77" s="22">
        <f t="shared" si="31"/>
        <v>0.30343676176164375</v>
      </c>
      <c r="CL77" s="22">
        <f t="shared" si="31"/>
        <v>0.32633337930066414</v>
      </c>
      <c r="CM77" s="22">
        <f t="shared" si="31"/>
        <v>0.35270231128055335</v>
      </c>
      <c r="CN77" s="22">
        <f t="shared" si="26"/>
        <v>0.3832269702003685</v>
      </c>
      <c r="CO77" s="22">
        <f t="shared" si="26"/>
        <v>0.41875707242130134</v>
      </c>
      <c r="CP77" s="22">
        <f t="shared" si="26"/>
        <v>0.46035677165371403</v>
      </c>
      <c r="CQ77" s="22">
        <f t="shared" si="26"/>
        <v>0.50936893666321947</v>
      </c>
      <c r="CR77" s="22">
        <f t="shared" si="26"/>
        <v>0.56750173890929279</v>
      </c>
      <c r="CS77" s="22">
        <f t="shared" si="26"/>
        <v>0.63694636301606022</v>
      </c>
      <c r="CT77" s="22">
        <f t="shared" si="26"/>
        <v>0.72053856538631911</v>
      </c>
      <c r="CU77" s="22">
        <f t="shared" si="18"/>
        <v>0.82198265192673392</v>
      </c>
      <c r="CV77" s="22">
        <f t="shared" si="18"/>
        <v>0.94616527999901812</v>
      </c>
      <c r="CW77" s="22">
        <f t="shared" si="18"/>
        <v>1.0996000000000759</v>
      </c>
    </row>
    <row r="78" spans="1:101">
      <c r="A78" s="22">
        <v>76</v>
      </c>
      <c r="B78" s="32" t="str">
        <f>データファイル用!$B79</f>
        <v>ASHRAE Gypsum</v>
      </c>
      <c r="C78" s="32">
        <f>データファイル用!K79</f>
        <v>1</v>
      </c>
      <c r="D78" s="32">
        <f>データファイル用!L79</f>
        <v>0.56977999999999995</v>
      </c>
      <c r="E78" s="32">
        <f>データファイル用!M79</f>
        <v>0.18551999999999999</v>
      </c>
      <c r="F78" s="32">
        <f>データファイル用!N79</f>
        <v>-1.6445000000000001</v>
      </c>
      <c r="G78" s="32">
        <f>データファイル用!O79</f>
        <v>75.811000000000007</v>
      </c>
      <c r="H78" s="32">
        <f>データファイル用!P79</f>
        <v>0</v>
      </c>
      <c r="I78" s="35">
        <f>データファイル用!Q79</f>
        <v>0</v>
      </c>
      <c r="J78" s="32">
        <f t="shared" si="32"/>
        <v>0.15641776221048073</v>
      </c>
      <c r="K78" s="32">
        <f t="shared" si="33"/>
        <v>0</v>
      </c>
      <c r="L78" s="53" t="str">
        <f t="shared" si="34"/>
        <v>N/A</v>
      </c>
      <c r="M78" s="22">
        <f t="shared" si="36"/>
        <v>0</v>
      </c>
      <c r="N78" s="22">
        <f t="shared" si="36"/>
        <v>5.3249680972544219E-2</v>
      </c>
      <c r="O78" s="22">
        <f t="shared" si="36"/>
        <v>6.0556964158114068E-2</v>
      </c>
      <c r="P78" s="22">
        <f t="shared" si="36"/>
        <v>6.5287876806388617E-2</v>
      </c>
      <c r="Q78" s="22">
        <f t="shared" si="36"/>
        <v>6.8867002413364853E-2</v>
      </c>
      <c r="R78" s="22">
        <f t="shared" si="36"/>
        <v>7.1777764033343086E-2</v>
      </c>
      <c r="S78" s="22">
        <f t="shared" si="36"/>
        <v>7.4247123053419878E-2</v>
      </c>
      <c r="T78" s="22">
        <f t="shared" si="36"/>
        <v>7.6401097732706785E-2</v>
      </c>
      <c r="U78" s="22">
        <f t="shared" si="36"/>
        <v>7.8317400605144596E-2</v>
      </c>
      <c r="V78" s="22">
        <f t="shared" si="36"/>
        <v>8.0047556718395058E-2</v>
      </c>
      <c r="W78" s="22">
        <f t="shared" si="36"/>
        <v>8.1627596720398668E-2</v>
      </c>
      <c r="X78" s="22">
        <f t="shared" si="36"/>
        <v>8.3083767385177892E-2</v>
      </c>
      <c r="Y78" s="22">
        <f t="shared" si="36"/>
        <v>8.4435817970576837E-2</v>
      </c>
      <c r="Z78" s="22">
        <f t="shared" si="36"/>
        <v>8.5699005254865873E-2</v>
      </c>
      <c r="AA78" s="22">
        <f t="shared" si="36"/>
        <v>8.6885375696909808E-2</v>
      </c>
      <c r="AB78" s="22">
        <f t="shared" si="36"/>
        <v>8.8004617681431183E-2</v>
      </c>
      <c r="AC78" s="22">
        <f t="shared" si="35"/>
        <v>8.9064646675493533E-2</v>
      </c>
      <c r="AD78" s="22">
        <f t="shared" si="35"/>
        <v>9.0072018242656662E-2</v>
      </c>
      <c r="AE78" s="22">
        <f t="shared" si="35"/>
        <v>9.1032226571269304E-2</v>
      </c>
      <c r="AF78" s="22">
        <f t="shared" si="35"/>
        <v>9.1949924767486521E-2</v>
      </c>
      <c r="AG78" s="22">
        <f t="shared" si="35"/>
        <v>9.2829090402604786E-2</v>
      </c>
      <c r="AH78" s="22">
        <f t="shared" si="35"/>
        <v>9.3673151942782279E-2</v>
      </c>
      <c r="AI78" s="22">
        <f t="shared" si="35"/>
        <v>9.4485086704265239E-2</v>
      </c>
      <c r="AJ78" s="22">
        <f t="shared" si="35"/>
        <v>9.5267497734505227E-2</v>
      </c>
      <c r="AK78" s="22">
        <f t="shared" si="35"/>
        <v>9.6022674861500901E-2</v>
      </c>
      <c r="AL78" s="22">
        <f t="shared" si="35"/>
        <v>9.6752643687812862E-2</v>
      </c>
      <c r="AM78" s="22">
        <f t="shared" si="35"/>
        <v>9.7459205291403728E-2</v>
      </c>
      <c r="AN78" s="22">
        <f t="shared" si="35"/>
        <v>9.8143968681757954E-2</v>
      </c>
      <c r="AO78" s="22">
        <f t="shared" si="35"/>
        <v>9.8808377549809256E-2</v>
      </c>
      <c r="AP78" s="22">
        <f t="shared" si="35"/>
        <v>9.9453732480728627E-2</v>
      </c>
      <c r="AQ78" s="22">
        <f t="shared" si="35"/>
        <v>0.10008120952744801</v>
      </c>
      <c r="AR78" s="22">
        <f t="shared" ref="AR78:BG82" si="39">IF($C78=2,IF(AR$2&lt;=$O$1,$D78*IF(AND(AR$2=0,$E78=0),1,AR$2^$E78)*EXP($F78*(1-IF(AND(AR$2=0,$G78=0),1,AR$2^$G78))),($H78-$I78)*(AR$2-$O$1)/(1-$O$1)+$I78),$D78*IF(AND(AR$2=0,$E78=0),1,AR$2^$E78)*EXP($F78*(1-IF(AND(AR$2=0,$G78=0),1,AR$2^$G78))))</f>
        <v>0.100691875841384</v>
      </c>
      <c r="AS78" s="22">
        <f t="shared" si="39"/>
        <v>0.10128670290557945</v>
      </c>
      <c r="AT78" s="22">
        <f t="shared" si="39"/>
        <v>0.10186657780074129</v>
      </c>
      <c r="AU78" s="22">
        <f t="shared" si="39"/>
        <v>0.10243231284678897</v>
      </c>
      <c r="AV78" s="22">
        <f t="shared" si="39"/>
        <v>0.10298465389474205</v>
      </c>
      <c r="AW78" s="22">
        <f t="shared" si="39"/>
        <v>0.10352428749179866</v>
      </c>
      <c r="AX78" s="22">
        <f t="shared" si="39"/>
        <v>0.10405184710787278</v>
      </c>
      <c r="AY78" s="22">
        <f t="shared" si="39"/>
        <v>0.10456791862832787</v>
      </c>
      <c r="AZ78" s="22">
        <f t="shared" si="39"/>
        <v>0.10507304562308628</v>
      </c>
      <c r="BA78" s="22">
        <f t="shared" si="39"/>
        <v>0.10556773700081776</v>
      </c>
      <c r="BB78" s="22">
        <f t="shared" si="39"/>
        <v>0.10605249255256216</v>
      </c>
      <c r="BC78" s="22">
        <f t="shared" si="39"/>
        <v>0.10652793703623271</v>
      </c>
      <c r="BD78" s="22">
        <f t="shared" si="39"/>
        <v>0.10699557236357431</v>
      </c>
      <c r="BE78" s="22">
        <f t="shared" si="39"/>
        <v>0.1074618980815488</v>
      </c>
      <c r="BF78" s="22">
        <f t="shared" si="39"/>
        <v>0.10796017981980617</v>
      </c>
      <c r="BG78" s="22">
        <f t="shared" si="39"/>
        <v>0.10866151623404961</v>
      </c>
      <c r="BH78" s="22">
        <f t="shared" si="38"/>
        <v>0.11042825938868317</v>
      </c>
      <c r="BI78" s="22">
        <f t="shared" si="38"/>
        <v>0.1176424494783109</v>
      </c>
      <c r="BJ78" s="22">
        <f t="shared" si="38"/>
        <v>0.11838704897346233</v>
      </c>
      <c r="BK78" s="22">
        <f t="shared" si="38"/>
        <v>0.11919534250901759</v>
      </c>
      <c r="BL78" s="22">
        <f t="shared" si="38"/>
        <v>0.12007331178139767</v>
      </c>
      <c r="BM78" s="22">
        <f t="shared" si="38"/>
        <v>0.12102756957692944</v>
      </c>
      <c r="BN78" s="22">
        <f t="shared" si="38"/>
        <v>0.12206543835612364</v>
      </c>
      <c r="BO78" s="22">
        <f t="shared" si="38"/>
        <v>0.12319504056442983</v>
      </c>
      <c r="BP78" s="22">
        <f t="shared" si="38"/>
        <v>0.12442540272325354</v>
      </c>
      <c r="BQ78" s="22">
        <f t="shared" si="38"/>
        <v>0.12576657576517516</v>
      </c>
      <c r="BR78" s="22">
        <f t="shared" si="38"/>
        <v>0.12722977457914428</v>
      </c>
      <c r="BS78" s="22">
        <f t="shared" si="38"/>
        <v>0.12882754034764171</v>
      </c>
      <c r="BT78" s="22">
        <f t="shared" si="38"/>
        <v>0.13057393001733128</v>
      </c>
      <c r="BU78" s="22">
        <f t="shared" si="38"/>
        <v>0.13248473818451187</v>
      </c>
      <c r="BV78" s="22">
        <f t="shared" si="38"/>
        <v>0.134577757844207</v>
      </c>
      <c r="BW78" s="22">
        <f t="shared" si="37"/>
        <v>0.1368730879082079</v>
      </c>
      <c r="BX78" s="22">
        <f t="shared" si="37"/>
        <v>0.13939349722219815</v>
      </c>
      <c r="BY78" s="22">
        <f t="shared" si="37"/>
        <v>0.14216485710859786</v>
      </c>
      <c r="BZ78" s="22">
        <f t="shared" si="31"/>
        <v>0.14521665736532505</v>
      </c>
      <c r="CA78" s="22">
        <f t="shared" si="31"/>
        <v>0.14858262433939173</v>
      </c>
      <c r="CB78" s="22">
        <f t="shared" si="31"/>
        <v>0.15230146440382805</v>
      </c>
      <c r="CC78" s="22">
        <f t="shared" si="31"/>
        <v>0.15641776221048309</v>
      </c>
      <c r="CD78" s="22">
        <f t="shared" si="31"/>
        <v>0.16098307088954378</v>
      </c>
      <c r="CE78" s="22">
        <f t="shared" si="31"/>
        <v>0.16605724148435319</v>
      </c>
      <c r="CF78" s="22">
        <f t="shared" si="31"/>
        <v>0.17171005211308601</v>
      </c>
      <c r="CG78" s="22">
        <f t="shared" si="31"/>
        <v>0.17802321468136545</v>
      </c>
      <c r="CH78" s="22">
        <f t="shared" si="31"/>
        <v>0.18509285986565779</v>
      </c>
      <c r="CI78" s="22">
        <f t="shared" si="31"/>
        <v>0.19303263152823186</v>
      </c>
      <c r="CJ78" s="22">
        <f t="shared" si="31"/>
        <v>0.20197756247040521</v>
      </c>
      <c r="CK78" s="22">
        <f t="shared" si="31"/>
        <v>0.21208895835352351</v>
      </c>
      <c r="CL78" s="22">
        <f t="shared" si="31"/>
        <v>0.22356059119101115</v>
      </c>
      <c r="CM78" s="22">
        <f t="shared" si="31"/>
        <v>0.2366266058431678</v>
      </c>
      <c r="CN78" s="22">
        <f t="shared" si="26"/>
        <v>0.25157168364632781</v>
      </c>
      <c r="CO78" s="22">
        <f t="shared" si="26"/>
        <v>0.2687442029462947</v>
      </c>
      <c r="CP78" s="22">
        <f t="shared" si="26"/>
        <v>0.28857341068888559</v>
      </c>
      <c r="CQ78" s="22">
        <f t="shared" si="26"/>
        <v>0.3115920075218927</v>
      </c>
      <c r="CR78" s="22">
        <f t="shared" si="26"/>
        <v>0.33846610357165419</v>
      </c>
      <c r="CS78" s="22">
        <f t="shared" si="26"/>
        <v>0.37003530231753834</v>
      </c>
      <c r="CT78" s="22">
        <f t="shared" si="26"/>
        <v>0.40736683643284932</v>
      </c>
      <c r="CU78" s="22">
        <f t="shared" si="18"/>
        <v>0.45182939805685662</v>
      </c>
      <c r="CV78" s="22">
        <f t="shared" si="18"/>
        <v>0.5051948667993883</v>
      </c>
      <c r="CW78" s="22">
        <f t="shared" si="18"/>
        <v>0.56978000000003159</v>
      </c>
    </row>
    <row r="79" spans="1:101">
      <c r="A79" s="22">
        <v>77</v>
      </c>
      <c r="B79" s="32" t="str">
        <f>データファイル用!$B80</f>
        <v>ASHRAE Gypsum + Primer</v>
      </c>
      <c r="C79" s="32">
        <f>データファイル用!K80</f>
        <v>1</v>
      </c>
      <c r="D79" s="32">
        <f>データファイル用!L80</f>
        <v>0.56977999999999995</v>
      </c>
      <c r="E79" s="32">
        <f>データファイル用!M80</f>
        <v>0.18551000000000001</v>
      </c>
      <c r="F79" s="32">
        <f>データファイル用!N80</f>
        <v>-1.6445000000000001</v>
      </c>
      <c r="G79" s="32">
        <f>データファイル用!O80</f>
        <v>75.805999999999997</v>
      </c>
      <c r="H79" s="32">
        <f>データファイル用!P80</f>
        <v>0</v>
      </c>
      <c r="I79" s="35">
        <f>データファイル用!Q80</f>
        <v>0</v>
      </c>
      <c r="J79" s="32">
        <f t="shared" si="32"/>
        <v>0.15642341165113943</v>
      </c>
      <c r="K79" s="32">
        <f t="shared" si="33"/>
        <v>0</v>
      </c>
      <c r="L79" s="53" t="str">
        <f t="shared" si="34"/>
        <v>N/A</v>
      </c>
      <c r="M79" s="22">
        <f t="shared" si="36"/>
        <v>0</v>
      </c>
      <c r="N79" s="22">
        <f t="shared" si="36"/>
        <v>5.3251764153061161E-2</v>
      </c>
      <c r="O79" s="22">
        <f t="shared" si="36"/>
        <v>6.0558913442965982E-2</v>
      </c>
      <c r="P79" s="22">
        <f t="shared" si="36"/>
        <v>6.5289713648350262E-2</v>
      </c>
      <c r="Q79" s="22">
        <f t="shared" si="36"/>
        <v>6.8868741828937666E-2</v>
      </c>
      <c r="R79" s="22">
        <f t="shared" si="36"/>
        <v>7.177941679646585E-2</v>
      </c>
      <c r="S79" s="22">
        <f t="shared" si="36"/>
        <v>7.4248697304785741E-2</v>
      </c>
      <c r="T79" s="22">
        <f t="shared" si="36"/>
        <v>7.640259987927861E-2</v>
      </c>
      <c r="U79" s="22">
        <f t="shared" si="36"/>
        <v>7.8318835848461915E-2</v>
      </c>
      <c r="V79" s="22">
        <f t="shared" si="36"/>
        <v>8.0048929384408607E-2</v>
      </c>
      <c r="W79" s="22">
        <f t="shared" si="36"/>
        <v>8.1628910476459302E-2</v>
      </c>
      <c r="X79" s="22">
        <f t="shared" si="36"/>
        <v>8.3085025389065051E-2</v>
      </c>
      <c r="Y79" s="22">
        <f t="shared" si="36"/>
        <v>8.4437022976543499E-2</v>
      </c>
      <c r="Z79" s="22">
        <f t="shared" si="36"/>
        <v>8.5700159691357775E-2</v>
      </c>
      <c r="AA79" s="22">
        <f t="shared" si="36"/>
        <v>8.68864817249594E-2</v>
      </c>
      <c r="AB79" s="22">
        <f t="shared" si="36"/>
        <v>8.8005677239472987E-2</v>
      </c>
      <c r="AC79" s="22">
        <f t="shared" si="35"/>
        <v>8.9065661514393657E-2</v>
      </c>
      <c r="AD79" s="22">
        <f t="shared" si="35"/>
        <v>9.0072989953533106E-2</v>
      </c>
      <c r="AE79" s="22">
        <f t="shared" si="35"/>
        <v>9.1033156607898569E-2</v>
      </c>
      <c r="AF79" s="22">
        <f t="shared" si="35"/>
        <v>9.1950814464575009E-2</v>
      </c>
      <c r="AG79" s="22">
        <f t="shared" si="35"/>
        <v>9.2829940990853552E-2</v>
      </c>
      <c r="AH79" s="22">
        <f t="shared" si="35"/>
        <v>9.3673964561431899E-2</v>
      </c>
      <c r="AI79" s="22">
        <f t="shared" si="35"/>
        <v>9.4485862411635896E-2</v>
      </c>
      <c r="AJ79" s="22">
        <f t="shared" si="35"/>
        <v>9.5268237516924481E-2</v>
      </c>
      <c r="AK79" s="22">
        <f t="shared" si="35"/>
        <v>9.6023379640921919E-2</v>
      </c>
      <c r="AL79" s="22">
        <f t="shared" si="35"/>
        <v>9.6753314328358958E-2</v>
      </c>
      <c r="AM79" s="22">
        <f t="shared" si="35"/>
        <v>9.7459842605025826E-2</v>
      </c>
      <c r="AN79" s="22">
        <f t="shared" si="35"/>
        <v>9.8144573433152846E-2</v>
      </c>
      <c r="AO79" s="22">
        <f t="shared" si="35"/>
        <v>9.8808950460718054E-2</v>
      </c>
      <c r="AP79" s="22">
        <f t="shared" si="35"/>
        <v>9.9454274233711962E-2</v>
      </c>
      <c r="AQ79" s="22">
        <f t="shared" si="35"/>
        <v>0.10008172076921662</v>
      </c>
      <c r="AR79" s="22">
        <f t="shared" si="39"/>
        <v>0.10069235718574966</v>
      </c>
      <c r="AS79" s="22">
        <f t="shared" si="39"/>
        <v>0.10128715493607987</v>
      </c>
      <c r="AT79" s="22">
        <f t="shared" si="39"/>
        <v>0.10186700107298367</v>
      </c>
      <c r="AU79" s="22">
        <f t="shared" si="39"/>
        <v>0.10243270789054966</v>
      </c>
      <c r="AV79" s="22">
        <f t="shared" si="39"/>
        <v>0.10298502121585419</v>
      </c>
      <c r="AW79" s="22">
        <f t="shared" si="39"/>
        <v>0.10352462757385626</v>
      </c>
      <c r="AX79" s="22">
        <f t="shared" si="39"/>
        <v>0.10405216041378672</v>
      </c>
      <c r="AY79" s="22">
        <f t="shared" si="39"/>
        <v>0.10456820560183666</v>
      </c>
      <c r="AZ79" s="22">
        <f t="shared" si="39"/>
        <v>0.10507330669074583</v>
      </c>
      <c r="BA79" s="22">
        <f t="shared" si="39"/>
        <v>0.105567972577398</v>
      </c>
      <c r="BB79" s="22">
        <f t="shared" si="39"/>
        <v>0.10605270306558297</v>
      </c>
      <c r="BC79" s="22">
        <f t="shared" si="39"/>
        <v>0.10652812304919242</v>
      </c>
      <c r="BD79" s="22">
        <f t="shared" si="39"/>
        <v>0.10699573517387063</v>
      </c>
      <c r="BE79" s="22">
        <f t="shared" si="39"/>
        <v>0.10746204243963156</v>
      </c>
      <c r="BF79" s="22">
        <f t="shared" si="39"/>
        <v>0.10796032534619107</v>
      </c>
      <c r="BG79" s="22">
        <f t="shared" si="39"/>
        <v>0.10866174079315569</v>
      </c>
      <c r="BH79" s="22">
        <f t="shared" si="38"/>
        <v>0.11042884349881012</v>
      </c>
      <c r="BI79" s="22">
        <f t="shared" si="38"/>
        <v>0.11764428594245969</v>
      </c>
      <c r="BJ79" s="22">
        <f t="shared" si="38"/>
        <v>0.11838899396282618</v>
      </c>
      <c r="BK79" s="22">
        <f t="shared" si="38"/>
        <v>0.11919740224063637</v>
      </c>
      <c r="BL79" s="22">
        <f t="shared" si="38"/>
        <v>0.12007549280241653</v>
      </c>
      <c r="BM79" s="22">
        <f t="shared" si="38"/>
        <v>0.1210298787819908</v>
      </c>
      <c r="BN79" s="22">
        <f t="shared" si="38"/>
        <v>0.12206788300558</v>
      </c>
      <c r="BO79" s="22">
        <f t="shared" si="38"/>
        <v>0.12319762830330487</v>
      </c>
      <c r="BP79" s="22">
        <f t="shared" si="38"/>
        <v>0.12442814160081957</v>
      </c>
      <c r="BQ79" s="22">
        <f t="shared" si="38"/>
        <v>0.1257694742549362</v>
      </c>
      <c r="BR79" s="22">
        <f t="shared" si="38"/>
        <v>0.12723284159890202</v>
      </c>
      <c r="BS79" s="22">
        <f t="shared" si="38"/>
        <v>0.12883078527917269</v>
      </c>
      <c r="BT79" s="22">
        <f t="shared" si="38"/>
        <v>0.13057736272499965</v>
      </c>
      <c r="BU79" s="22">
        <f t="shared" si="38"/>
        <v>0.13248836903186711</v>
      </c>
      <c r="BV79" s="22">
        <f t="shared" si="38"/>
        <v>0.13458159770724515</v>
      </c>
      <c r="BW79" s="22">
        <f t="shared" si="37"/>
        <v>0.13687714818347652</v>
      </c>
      <c r="BX79" s="22">
        <f t="shared" si="37"/>
        <v>0.13939778982725259</v>
      </c>
      <c r="BY79" s="22">
        <f t="shared" si="37"/>
        <v>0.14216939447141447</v>
      </c>
      <c r="BZ79" s="22">
        <f t="shared" si="31"/>
        <v>0.14522145239805451</v>
      </c>
      <c r="CA79" s="22">
        <f t="shared" si="31"/>
        <v>0.14858769039019315</v>
      </c>
      <c r="CB79" s="22">
        <f t="shared" si="31"/>
        <v>0.15230681517829397</v>
      </c>
      <c r="CC79" s="22">
        <f t="shared" si="31"/>
        <v>0.15642341165114185</v>
      </c>
      <c r="CD79" s="22">
        <f t="shared" si="31"/>
        <v>0.16098903299780856</v>
      </c>
      <c r="CE79" s="22">
        <f t="shared" si="31"/>
        <v>0.16606353006365776</v>
      </c>
      <c r="CF79" s="22">
        <f t="shared" si="31"/>
        <v>0.17171668040422505</v>
      </c>
      <c r="CG79" s="22">
        <f t="shared" si="31"/>
        <v>0.17803019485041094</v>
      </c>
      <c r="CH79" s="22">
        <f t="shared" si="31"/>
        <v>0.18510020229007959</v>
      </c>
      <c r="CI79" s="22">
        <f t="shared" si="31"/>
        <v>0.19304034380631849</v>
      </c>
      <c r="CJ79" s="22">
        <f t="shared" si="31"/>
        <v>0.20198564805033553</v>
      </c>
      <c r="CK79" s="22">
        <f t="shared" si="31"/>
        <v>0.21209741463794782</v>
      </c>
      <c r="CL79" s="22">
        <f t="shared" si="31"/>
        <v>0.22356940691559751</v>
      </c>
      <c r="CM79" s="22">
        <f t="shared" si="31"/>
        <v>0.23663575744564574</v>
      </c>
      <c r="CN79" s="22">
        <f t="shared" si="26"/>
        <v>0.25158113022479595</v>
      </c>
      <c r="CO79" s="22">
        <f t="shared" si="26"/>
        <v>0.26875387923498961</v>
      </c>
      <c r="CP79" s="22">
        <f t="shared" si="26"/>
        <v>0.2885832172305719</v>
      </c>
      <c r="CQ79" s="22">
        <f t="shared" si="26"/>
        <v>0.31160179684936024</v>
      </c>
      <c r="CR79" s="22">
        <f t="shared" si="26"/>
        <v>0.33847566066608231</v>
      </c>
      <c r="CS79" s="22">
        <f t="shared" si="26"/>
        <v>0.3700443167946551</v>
      </c>
      <c r="CT79" s="22">
        <f t="shared" ref="CT79:CW82" si="40">IF($C79=2,IF(CT$2&lt;=$O$1,$D79*IF(AND(CT$2=0,$E79=0),1,CT$2^$E79)*EXP($F79*(1-IF(AND(CT$2=0,$G79=0),1,CT$2^$G79))),($H79-$I79)*(CT$2-$O$1)/(1-$O$1)+$I79),$D79*IF(AND(CT$2=0,$E79=0),1,CT$2^$E79)*EXP($F79*(1-IF(AND(CT$2=0,$G79=0),1,CT$2^$G79))))</f>
        <v>0.40737486267075396</v>
      </c>
      <c r="CU79" s="22">
        <f t="shared" si="40"/>
        <v>0.45183579758629588</v>
      </c>
      <c r="CV79" s="22">
        <f t="shared" si="40"/>
        <v>0.50519872434832991</v>
      </c>
      <c r="CW79" s="22">
        <f t="shared" si="40"/>
        <v>0.56978000000003159</v>
      </c>
    </row>
    <row r="80" spans="1:101">
      <c r="A80" s="22">
        <v>78</v>
      </c>
      <c r="B80" s="32" t="str">
        <f>データファイル用!$B81</f>
        <v>ASHRAE Gypsum + Primer + Latex</v>
      </c>
      <c r="C80" s="32">
        <f>データファイル用!K81</f>
        <v>1</v>
      </c>
      <c r="D80" s="32">
        <f>データファイル用!L81</f>
        <v>0.56977999999999995</v>
      </c>
      <c r="E80" s="32">
        <f>データファイル用!M81</f>
        <v>0.18551999999999999</v>
      </c>
      <c r="F80" s="32">
        <f>データファイル用!N81</f>
        <v>-1.6445000000000001</v>
      </c>
      <c r="G80" s="32">
        <f>データファイル用!O81</f>
        <v>75.811000000000007</v>
      </c>
      <c r="H80" s="32">
        <f>データファイル用!P81</f>
        <v>0</v>
      </c>
      <c r="I80" s="35">
        <f>データファイル用!Q81</f>
        <v>0</v>
      </c>
      <c r="J80" s="32">
        <f t="shared" si="32"/>
        <v>0.15641776221048073</v>
      </c>
      <c r="K80" s="32">
        <f t="shared" si="33"/>
        <v>0</v>
      </c>
      <c r="L80" s="53" t="str">
        <f t="shared" si="34"/>
        <v>N/A</v>
      </c>
      <c r="M80" s="22">
        <f t="shared" si="36"/>
        <v>0</v>
      </c>
      <c r="N80" s="22">
        <f t="shared" si="36"/>
        <v>5.3249680972544219E-2</v>
      </c>
      <c r="O80" s="22">
        <f t="shared" si="36"/>
        <v>6.0556964158114068E-2</v>
      </c>
      <c r="P80" s="22">
        <f t="shared" si="36"/>
        <v>6.5287876806388617E-2</v>
      </c>
      <c r="Q80" s="22">
        <f t="shared" si="36"/>
        <v>6.8867002413364853E-2</v>
      </c>
      <c r="R80" s="22">
        <f t="shared" si="36"/>
        <v>7.1777764033343086E-2</v>
      </c>
      <c r="S80" s="22">
        <f t="shared" si="36"/>
        <v>7.4247123053419878E-2</v>
      </c>
      <c r="T80" s="22">
        <f t="shared" si="36"/>
        <v>7.6401097732706785E-2</v>
      </c>
      <c r="U80" s="22">
        <f t="shared" si="36"/>
        <v>7.8317400605144596E-2</v>
      </c>
      <c r="V80" s="22">
        <f t="shared" si="36"/>
        <v>8.0047556718395058E-2</v>
      </c>
      <c r="W80" s="22">
        <f t="shared" si="36"/>
        <v>8.1627596720398668E-2</v>
      </c>
      <c r="X80" s="22">
        <f t="shared" si="36"/>
        <v>8.3083767385177892E-2</v>
      </c>
      <c r="Y80" s="22">
        <f t="shared" si="36"/>
        <v>8.4435817970576837E-2</v>
      </c>
      <c r="Z80" s="22">
        <f t="shared" si="36"/>
        <v>8.5699005254865873E-2</v>
      </c>
      <c r="AA80" s="22">
        <f t="shared" si="36"/>
        <v>8.6885375696909808E-2</v>
      </c>
      <c r="AB80" s="22">
        <f t="shared" si="36"/>
        <v>8.8004617681431183E-2</v>
      </c>
      <c r="AC80" s="22">
        <f t="shared" si="35"/>
        <v>8.9064646675493533E-2</v>
      </c>
      <c r="AD80" s="22">
        <f t="shared" si="35"/>
        <v>9.0072018242656662E-2</v>
      </c>
      <c r="AE80" s="22">
        <f t="shared" si="35"/>
        <v>9.1032226571269304E-2</v>
      </c>
      <c r="AF80" s="22">
        <f t="shared" si="35"/>
        <v>9.1949924767486521E-2</v>
      </c>
      <c r="AG80" s="22">
        <f t="shared" si="35"/>
        <v>9.2829090402604786E-2</v>
      </c>
      <c r="AH80" s="22">
        <f t="shared" si="35"/>
        <v>9.3673151942782279E-2</v>
      </c>
      <c r="AI80" s="22">
        <f t="shared" si="35"/>
        <v>9.4485086704265239E-2</v>
      </c>
      <c r="AJ80" s="22">
        <f t="shared" si="35"/>
        <v>9.5267497734505227E-2</v>
      </c>
      <c r="AK80" s="22">
        <f t="shared" si="35"/>
        <v>9.6022674861500901E-2</v>
      </c>
      <c r="AL80" s="22">
        <f t="shared" si="35"/>
        <v>9.6752643687812862E-2</v>
      </c>
      <c r="AM80" s="22">
        <f t="shared" si="35"/>
        <v>9.7459205291403728E-2</v>
      </c>
      <c r="AN80" s="22">
        <f t="shared" si="35"/>
        <v>9.8143968681757954E-2</v>
      </c>
      <c r="AO80" s="22">
        <f t="shared" si="35"/>
        <v>9.8808377549809256E-2</v>
      </c>
      <c r="AP80" s="22">
        <f t="shared" si="35"/>
        <v>9.9453732480728627E-2</v>
      </c>
      <c r="AQ80" s="22">
        <f t="shared" si="35"/>
        <v>0.10008120952744801</v>
      </c>
      <c r="AR80" s="22">
        <f t="shared" si="39"/>
        <v>0.100691875841384</v>
      </c>
      <c r="AS80" s="22">
        <f t="shared" si="39"/>
        <v>0.10128670290557945</v>
      </c>
      <c r="AT80" s="22">
        <f t="shared" si="39"/>
        <v>0.10186657780074129</v>
      </c>
      <c r="AU80" s="22">
        <f t="shared" si="39"/>
        <v>0.10243231284678897</v>
      </c>
      <c r="AV80" s="22">
        <f t="shared" si="39"/>
        <v>0.10298465389474205</v>
      </c>
      <c r="AW80" s="22">
        <f t="shared" si="39"/>
        <v>0.10352428749179866</v>
      </c>
      <c r="AX80" s="22">
        <f t="shared" si="39"/>
        <v>0.10405184710787278</v>
      </c>
      <c r="AY80" s="22">
        <f t="shared" si="39"/>
        <v>0.10456791862832787</v>
      </c>
      <c r="AZ80" s="22">
        <f t="shared" si="39"/>
        <v>0.10507304562308628</v>
      </c>
      <c r="BA80" s="22">
        <f t="shared" si="39"/>
        <v>0.10556773700081776</v>
      </c>
      <c r="BB80" s="22">
        <f t="shared" si="39"/>
        <v>0.10605249255256216</v>
      </c>
      <c r="BC80" s="22">
        <f t="shared" si="39"/>
        <v>0.10652793703623271</v>
      </c>
      <c r="BD80" s="22">
        <f t="shared" si="39"/>
        <v>0.10699557236357431</v>
      </c>
      <c r="BE80" s="22">
        <f t="shared" si="39"/>
        <v>0.1074618980815488</v>
      </c>
      <c r="BF80" s="22">
        <f t="shared" si="39"/>
        <v>0.10796017981980617</v>
      </c>
      <c r="BG80" s="22">
        <f t="shared" si="39"/>
        <v>0.10866151623404961</v>
      </c>
      <c r="BH80" s="22">
        <f t="shared" si="38"/>
        <v>0.11042825938868317</v>
      </c>
      <c r="BI80" s="22">
        <f t="shared" si="38"/>
        <v>0.1176424494783109</v>
      </c>
      <c r="BJ80" s="22">
        <f t="shared" si="38"/>
        <v>0.11838704897346233</v>
      </c>
      <c r="BK80" s="22">
        <f t="shared" si="38"/>
        <v>0.11919534250901759</v>
      </c>
      <c r="BL80" s="22">
        <f t="shared" si="38"/>
        <v>0.12007331178139767</v>
      </c>
      <c r="BM80" s="22">
        <f t="shared" si="38"/>
        <v>0.12102756957692944</v>
      </c>
      <c r="BN80" s="22">
        <f t="shared" si="38"/>
        <v>0.12206543835612364</v>
      </c>
      <c r="BO80" s="22">
        <f t="shared" si="38"/>
        <v>0.12319504056442983</v>
      </c>
      <c r="BP80" s="22">
        <f t="shared" si="38"/>
        <v>0.12442540272325354</v>
      </c>
      <c r="BQ80" s="22">
        <f t="shared" si="38"/>
        <v>0.12576657576517516</v>
      </c>
      <c r="BR80" s="22">
        <f t="shared" si="38"/>
        <v>0.12722977457914428</v>
      </c>
      <c r="BS80" s="22">
        <f t="shared" si="38"/>
        <v>0.12882754034764171</v>
      </c>
      <c r="BT80" s="22">
        <f t="shared" si="38"/>
        <v>0.13057393001733128</v>
      </c>
      <c r="BU80" s="22">
        <f t="shared" si="38"/>
        <v>0.13248473818451187</v>
      </c>
      <c r="BV80" s="22">
        <f t="shared" si="38"/>
        <v>0.134577757844207</v>
      </c>
      <c r="BW80" s="22">
        <f t="shared" si="37"/>
        <v>0.1368730879082079</v>
      </c>
      <c r="BX80" s="22">
        <f t="shared" si="37"/>
        <v>0.13939349722219815</v>
      </c>
      <c r="BY80" s="22">
        <f t="shared" si="37"/>
        <v>0.14216485710859786</v>
      </c>
      <c r="BZ80" s="22">
        <f t="shared" si="31"/>
        <v>0.14521665736532505</v>
      </c>
      <c r="CA80" s="22">
        <f t="shared" si="31"/>
        <v>0.14858262433939173</v>
      </c>
      <c r="CB80" s="22">
        <f t="shared" si="31"/>
        <v>0.15230146440382805</v>
      </c>
      <c r="CC80" s="22">
        <f t="shared" si="31"/>
        <v>0.15641776221048309</v>
      </c>
      <c r="CD80" s="22">
        <f t="shared" si="31"/>
        <v>0.16098307088954378</v>
      </c>
      <c r="CE80" s="22">
        <f t="shared" si="31"/>
        <v>0.16605724148435319</v>
      </c>
      <c r="CF80" s="22">
        <f t="shared" si="31"/>
        <v>0.17171005211308601</v>
      </c>
      <c r="CG80" s="22">
        <f t="shared" ref="CG80:CV82" si="41">IF($C80=2,IF(CG$2&lt;=$O$1,$D80*IF(AND(CG$2=0,$E80=0),1,CG$2^$E80)*EXP($F80*(1-IF(AND(CG$2=0,$G80=0),1,CG$2^$G80))),($H80-$I80)*(CG$2-$O$1)/(1-$O$1)+$I80),$D80*IF(AND(CG$2=0,$E80=0),1,CG$2^$E80)*EXP($F80*(1-IF(AND(CG$2=0,$G80=0),1,CG$2^$G80))))</f>
        <v>0.17802321468136545</v>
      </c>
      <c r="CH80" s="22">
        <f t="shared" si="41"/>
        <v>0.18509285986565779</v>
      </c>
      <c r="CI80" s="22">
        <f t="shared" si="41"/>
        <v>0.19303263152823186</v>
      </c>
      <c r="CJ80" s="22">
        <f t="shared" si="41"/>
        <v>0.20197756247040521</v>
      </c>
      <c r="CK80" s="22">
        <f t="shared" si="41"/>
        <v>0.21208895835352351</v>
      </c>
      <c r="CL80" s="22">
        <f t="shared" si="41"/>
        <v>0.22356059119101115</v>
      </c>
      <c r="CM80" s="22">
        <f t="shared" si="41"/>
        <v>0.2366266058431678</v>
      </c>
      <c r="CN80" s="22">
        <f t="shared" si="41"/>
        <v>0.25157168364632781</v>
      </c>
      <c r="CO80" s="22">
        <f t="shared" si="41"/>
        <v>0.2687442029462947</v>
      </c>
      <c r="CP80" s="22">
        <f t="shared" si="41"/>
        <v>0.28857341068888559</v>
      </c>
      <c r="CQ80" s="22">
        <f t="shared" si="41"/>
        <v>0.3115920075218927</v>
      </c>
      <c r="CR80" s="22">
        <f t="shared" si="41"/>
        <v>0.33846610357165419</v>
      </c>
      <c r="CS80" s="22">
        <f t="shared" si="41"/>
        <v>0.37003530231753834</v>
      </c>
      <c r="CT80" s="22">
        <f t="shared" si="41"/>
        <v>0.40736683643284932</v>
      </c>
      <c r="CU80" s="22">
        <f t="shared" si="41"/>
        <v>0.45182939805685662</v>
      </c>
      <c r="CV80" s="22">
        <f t="shared" si="41"/>
        <v>0.5051948667993883</v>
      </c>
      <c r="CW80" s="22">
        <f t="shared" si="40"/>
        <v>0.56978000000003159</v>
      </c>
    </row>
    <row r="81" spans="1:101">
      <c r="A81" s="22">
        <v>79</v>
      </c>
      <c r="B81" s="32" t="str">
        <f>データファイル用!$B82</f>
        <v>ASHRAE EIFS Base Coat and Finish Coat</v>
      </c>
      <c r="C81" s="32">
        <f>データファイル用!K82</f>
        <v>1</v>
      </c>
      <c r="D81" s="32">
        <f>データファイル用!L82</f>
        <v>7.5791999999999998E-2</v>
      </c>
      <c r="E81" s="32">
        <f>データファイル用!M82</f>
        <v>0.51273000000000002</v>
      </c>
      <c r="F81" s="32">
        <f>データファイル用!N82</f>
        <v>-0.89517999999999998</v>
      </c>
      <c r="G81" s="32">
        <f>データファイル用!O82</f>
        <v>31.486000000000001</v>
      </c>
      <c r="H81" s="32">
        <f>データファイル用!P82</f>
        <v>0</v>
      </c>
      <c r="I81" s="35">
        <f>データファイル用!Q82</f>
        <v>0</v>
      </c>
      <c r="J81" s="32">
        <f t="shared" si="32"/>
        <v>4.9220941122363492E-2</v>
      </c>
      <c r="K81" s="32">
        <f t="shared" si="33"/>
        <v>0</v>
      </c>
      <c r="L81" s="53" t="str">
        <f t="shared" si="34"/>
        <v>N/A</v>
      </c>
      <c r="M81" s="22">
        <f t="shared" si="36"/>
        <v>0</v>
      </c>
      <c r="N81" s="22">
        <f t="shared" si="36"/>
        <v>4.1661868399971436E-3</v>
      </c>
      <c r="O81" s="22">
        <f t="shared" si="36"/>
        <v>5.9440965139945911E-3</v>
      </c>
      <c r="P81" s="22">
        <f t="shared" si="36"/>
        <v>7.3176751083562893E-3</v>
      </c>
      <c r="Q81" s="22">
        <f t="shared" si="36"/>
        <v>8.4807246349294495E-3</v>
      </c>
      <c r="R81" s="22">
        <f t="shared" si="36"/>
        <v>9.5087106730436452E-3</v>
      </c>
      <c r="S81" s="22">
        <f t="shared" si="36"/>
        <v>1.0440474412845929E-2</v>
      </c>
      <c r="T81" s="22">
        <f t="shared" si="36"/>
        <v>1.1299152256251286E-2</v>
      </c>
      <c r="U81" s="22">
        <f t="shared" si="36"/>
        <v>1.2099852376919983E-2</v>
      </c>
      <c r="V81" s="22">
        <f t="shared" si="36"/>
        <v>1.2853088699088194E-2</v>
      </c>
      <c r="W81" s="22">
        <f t="shared" si="36"/>
        <v>1.3566528851178608E-2</v>
      </c>
      <c r="X81" s="22">
        <f t="shared" si="36"/>
        <v>1.424596963146333E-2</v>
      </c>
      <c r="Y81" s="22">
        <f t="shared" si="36"/>
        <v>1.4895920405213937E-2</v>
      </c>
      <c r="Z81" s="22">
        <f t="shared" si="36"/>
        <v>1.5519971441742617E-2</v>
      </c>
      <c r="AA81" s="22">
        <f t="shared" si="36"/>
        <v>1.6121036841814668E-2</v>
      </c>
      <c r="AB81" s="22">
        <f t="shared" si="36"/>
        <v>1.6701520617529712E-2</v>
      </c>
      <c r="AC81" s="22">
        <f t="shared" si="35"/>
        <v>1.7263433709456145E-2</v>
      </c>
      <c r="AD81" s="22">
        <f t="shared" si="35"/>
        <v>1.7808478578141426E-2</v>
      </c>
      <c r="AE81" s="22">
        <f t="shared" si="35"/>
        <v>1.8338111722892996E-2</v>
      </c>
      <c r="AF81" s="22">
        <f t="shared" si="35"/>
        <v>1.885359078633345E-2</v>
      </c>
      <c r="AG81" s="22">
        <f t="shared" si="35"/>
        <v>1.9356010651546879E-2</v>
      </c>
      <c r="AH81" s="22">
        <f t="shared" si="35"/>
        <v>1.9846331522485473E-2</v>
      </c>
      <c r="AI81" s="22">
        <f t="shared" si="35"/>
        <v>2.0325401062752699E-2</v>
      </c>
      <c r="AJ81" s="22">
        <f t="shared" si="35"/>
        <v>2.0793972061353208E-2</v>
      </c>
      <c r="AK81" s="22">
        <f t="shared" si="35"/>
        <v>2.1252716683422209E-2</v>
      </c>
      <c r="AL81" s="22">
        <f t="shared" si="35"/>
        <v>2.1702238080764203E-2</v>
      </c>
      <c r="AM81" s="22">
        <f t="shared" si="35"/>
        <v>2.2143079938925739E-2</v>
      </c>
      <c r="AN81" s="22">
        <f t="shared" si="35"/>
        <v>2.2575734398579843E-2</v>
      </c>
      <c r="AO81" s="22">
        <f t="shared" si="35"/>
        <v>2.3000648695024797E-2</v>
      </c>
      <c r="AP81" s="22">
        <f t="shared" si="35"/>
        <v>2.3418230807718387E-2</v>
      </c>
      <c r="AQ81" s="22">
        <f t="shared" si="35"/>
        <v>2.3828854415380522E-2</v>
      </c>
      <c r="AR81" s="22">
        <f t="shared" si="39"/>
        <v>2.4232863555366586E-2</v>
      </c>
      <c r="AS81" s="22">
        <f t="shared" si="39"/>
        <v>2.4630577696345392E-2</v>
      </c>
      <c r="AT81" s="22">
        <f t="shared" si="39"/>
        <v>2.5022298691751984E-2</v>
      </c>
      <c r="AU81" s="22">
        <f t="shared" si="39"/>
        <v>2.5408322805057285E-2</v>
      </c>
      <c r="AV81" s="22">
        <f t="shared" si="39"/>
        <v>2.5788964763815696E-2</v>
      </c>
      <c r="AW81" s="22">
        <f t="shared" si="39"/>
        <v>2.6164608797862598E-2</v>
      </c>
      <c r="AX81" s="22">
        <f t="shared" si="39"/>
        <v>2.6535818205786252E-2</v>
      </c>
      <c r="AY81" s="22">
        <f t="shared" si="39"/>
        <v>2.6903568680856037E-2</v>
      </c>
      <c r="AZ81" s="22">
        <f t="shared" si="39"/>
        <v>2.7269737768296918E-2</v>
      </c>
      <c r="BA81" s="22">
        <f t="shared" si="39"/>
        <v>2.7638114566617005E-2</v>
      </c>
      <c r="BB81" s="22">
        <f t="shared" si="39"/>
        <v>2.8016449562150526E-2</v>
      </c>
      <c r="BC81" s="22">
        <f t="shared" si="39"/>
        <v>2.8420560384956588E-2</v>
      </c>
      <c r="BD81" s="22">
        <f t="shared" si="39"/>
        <v>2.8882485579572809E-2</v>
      </c>
      <c r="BE81" s="22">
        <f t="shared" si="39"/>
        <v>2.9466685989861779E-2</v>
      </c>
      <c r="BF81" s="22">
        <f t="shared" si="39"/>
        <v>3.0302778412962479E-2</v>
      </c>
      <c r="BG81" s="22">
        <f t="shared" si="39"/>
        <v>3.1654623077909894E-2</v>
      </c>
      <c r="BH81" s="22">
        <f t="shared" si="38"/>
        <v>3.4078837365555031E-2</v>
      </c>
      <c r="BI81" s="22">
        <f t="shared" si="38"/>
        <v>3.8840153352910613E-2</v>
      </c>
      <c r="BJ81" s="22">
        <f t="shared" si="38"/>
        <v>3.9182825586025087E-2</v>
      </c>
      <c r="BK81" s="22">
        <f t="shared" si="38"/>
        <v>3.9539011766235053E-2</v>
      </c>
      <c r="BL81" s="22">
        <f t="shared" si="38"/>
        <v>3.9909355194372297E-2</v>
      </c>
      <c r="BM81" s="22">
        <f t="shared" si="38"/>
        <v>4.0294535887813239E-2</v>
      </c>
      <c r="BN81" s="22">
        <f t="shared" si="38"/>
        <v>4.069527309465145E-2</v>
      </c>
      <c r="BO81" s="22">
        <f t="shared" si="38"/>
        <v>4.1112328008581993E-2</v>
      </c>
      <c r="BP81" s="22">
        <f t="shared" si="38"/>
        <v>4.1546506702670162E-2</v>
      </c>
      <c r="BQ81" s="22">
        <f t="shared" si="38"/>
        <v>4.1998663302011498E-2</v>
      </c>
      <c r="BR81" s="22">
        <f t="shared" si="38"/>
        <v>4.246970341732767E-2</v>
      </c>
      <c r="BS81" s="22">
        <f t="shared" si="38"/>
        <v>4.2960587863809782E-2</v>
      </c>
      <c r="BT81" s="22">
        <f t="shared" si="38"/>
        <v>4.3472336692044374E-2</v>
      </c>
      <c r="BU81" s="22">
        <f t="shared" si="38"/>
        <v>4.400603356066906E-2</v>
      </c>
      <c r="BV81" s="22">
        <f t="shared" si="38"/>
        <v>4.4562830483542391E-2</v>
      </c>
      <c r="BW81" s="22">
        <f t="shared" si="37"/>
        <v>4.5143952987714148E-2</v>
      </c>
      <c r="BX81" s="22">
        <f t="shared" si="37"/>
        <v>4.5750705722397096E-2</v>
      </c>
      <c r="BY81" s="22">
        <f t="shared" si="37"/>
        <v>4.6384478563520515E-2</v>
      </c>
      <c r="BZ81" s="22">
        <f t="shared" si="37"/>
        <v>4.7046753263350283E-2</v>
      </c>
      <c r="CA81" s="22">
        <f t="shared" si="37"/>
        <v>4.7739110700158627E-2</v>
      </c>
      <c r="CB81" s="22">
        <f t="shared" si="37"/>
        <v>4.8463238789097758E-2</v>
      </c>
      <c r="CC81" s="22">
        <f t="shared" si="37"/>
        <v>4.9220941122363915E-2</v>
      </c>
      <c r="CD81" s="22">
        <f t="shared" si="37"/>
        <v>5.0014146414536297E-2</v>
      </c>
      <c r="CE81" s="22">
        <f t="shared" si="37"/>
        <v>5.0844918837754424E-2</v>
      </c>
      <c r="CF81" s="22">
        <f t="shared" si="37"/>
        <v>5.1715469341294507E-2</v>
      </c>
      <c r="CG81" s="22">
        <f t="shared" si="37"/>
        <v>5.2628168061274086E-2</v>
      </c>
      <c r="CH81" s="22">
        <f t="shared" si="37"/>
        <v>5.3585557938832323E-2</v>
      </c>
      <c r="CI81" s="22">
        <f t="shared" si="37"/>
        <v>5.4590369679408293E-2</v>
      </c>
      <c r="CJ81" s="22">
        <f t="shared" si="37"/>
        <v>5.5645538201904418E-2</v>
      </c>
      <c r="CK81" s="22">
        <f t="shared" si="37"/>
        <v>5.6754220744853812E-2</v>
      </c>
      <c r="CL81" s="22">
        <f t="shared" si="37"/>
        <v>5.7919816817520675E-2</v>
      </c>
      <c r="CM81" s="22">
        <f t="shared" si="41"/>
        <v>5.9145990207521121E-2</v>
      </c>
      <c r="CN81" s="22">
        <f t="shared" si="41"/>
        <v>6.043669328347856E-2</v>
      </c>
      <c r="CO81" s="22">
        <f t="shared" si="41"/>
        <v>6.1796193861916711E-2</v>
      </c>
      <c r="CP81" s="22">
        <f t="shared" si="41"/>
        <v>6.3229104942616701E-2</v>
      </c>
      <c r="CQ81" s="22">
        <f t="shared" si="41"/>
        <v>6.4740417656685978E-2</v>
      </c>
      <c r="CR81" s="22">
        <f t="shared" si="41"/>
        <v>6.633553781738552E-2</v>
      </c>
      <c r="CS81" s="22">
        <f t="shared" si="41"/>
        <v>6.8020326516242596E-2</v>
      </c>
      <c r="CT81" s="22">
        <f t="shared" si="41"/>
        <v>6.9801145267199466E-2</v>
      </c>
      <c r="CU81" s="22">
        <f t="shared" si="41"/>
        <v>7.1684906270757603E-2</v>
      </c>
      <c r="CV81" s="22">
        <f t="shared" si="41"/>
        <v>7.3679128449727654E-2</v>
      </c>
      <c r="CW81" s="22">
        <f t="shared" si="40"/>
        <v>7.5792000000000956E-2</v>
      </c>
    </row>
    <row r="82" spans="1:101">
      <c r="A82" s="33">
        <v>80</v>
      </c>
      <c r="B82" s="33" t="str">
        <f>データファイル用!$B83</f>
        <v>ASHRAE Low-density Glassfibre Batt Insulation</v>
      </c>
      <c r="C82" s="33">
        <f>データファイル用!K83</f>
        <v>2</v>
      </c>
      <c r="D82" s="33">
        <f>データファイル用!L83</f>
        <v>2.7903000000000001E-2</v>
      </c>
      <c r="E82" s="33">
        <f>データファイル用!M83</f>
        <v>0.64024000000000003</v>
      </c>
      <c r="F82" s="33">
        <f>データファイル用!N83</f>
        <v>-1.5874999999999999</v>
      </c>
      <c r="G82" s="33">
        <f>データファイル用!O83</f>
        <v>7.1897000000000002</v>
      </c>
      <c r="H82" s="33">
        <f>データファイル用!P83</f>
        <v>87</v>
      </c>
      <c r="I82" s="34">
        <f>データファイル用!Q83</f>
        <v>2.2224100929699547E-2</v>
      </c>
      <c r="J82" s="33">
        <f t="shared" si="32"/>
        <v>2.2224100929699411E-2</v>
      </c>
      <c r="K82" s="33">
        <f t="shared" si="33"/>
        <v>2.2224100929699547E-2</v>
      </c>
      <c r="L82" s="53">
        <f t="shared" si="34"/>
        <v>-1.3530843112619095E-16</v>
      </c>
      <c r="M82" s="33">
        <f t="shared" si="36"/>
        <v>0</v>
      </c>
      <c r="N82" s="33">
        <f t="shared" si="36"/>
        <v>4.6607934129197997E-4</v>
      </c>
      <c r="O82" s="33">
        <f t="shared" si="36"/>
        <v>7.2642586295257295E-4</v>
      </c>
      <c r="P82" s="33">
        <f t="shared" si="36"/>
        <v>9.4174205886415907E-4</v>
      </c>
      <c r="Q82" s="33">
        <f t="shared" si="36"/>
        <v>1.1321989591630518E-3</v>
      </c>
      <c r="R82" s="33">
        <f t="shared" si="36"/>
        <v>1.3060760136376327E-3</v>
      </c>
      <c r="S82" s="33">
        <f t="shared" si="36"/>
        <v>1.4677888195718024E-3</v>
      </c>
      <c r="T82" s="33">
        <f t="shared" si="36"/>
        <v>1.6200406916584752E-3</v>
      </c>
      <c r="U82" s="33">
        <f t="shared" si="36"/>
        <v>1.7646374590308111E-3</v>
      </c>
      <c r="V82" s="33">
        <f t="shared" si="36"/>
        <v>1.9028612690571952E-3</v>
      </c>
      <c r="W82" s="33">
        <f t="shared" si="36"/>
        <v>2.0356652193032404E-3</v>
      </c>
      <c r="X82" s="33">
        <f t="shared" si="36"/>
        <v>2.1637845223826785E-3</v>
      </c>
      <c r="Y82" s="33">
        <f t="shared" si="36"/>
        <v>2.2878048476206447E-3</v>
      </c>
      <c r="Z82" s="33">
        <f t="shared" si="36"/>
        <v>2.4082071029193465E-3</v>
      </c>
      <c r="AA82" s="33">
        <f t="shared" si="36"/>
        <v>2.5253986010387434E-3</v>
      </c>
      <c r="AB82" s="33">
        <f t="shared" si="36"/>
        <v>2.6397361165256712E-3</v>
      </c>
      <c r="AC82" s="33">
        <f t="shared" si="35"/>
        <v>2.7515440732805859E-3</v>
      </c>
      <c r="AD82" s="33">
        <f t="shared" si="35"/>
        <v>2.861129879514391E-3</v>
      </c>
      <c r="AE82" s="33">
        <f t="shared" si="35"/>
        <v>2.9687977378559014E-3</v>
      </c>
      <c r="AF82" s="33">
        <f t="shared" si="35"/>
        <v>3.0748618593636162E-3</v>
      </c>
      <c r="AG82" s="33">
        <f t="shared" si="35"/>
        <v>3.1796597780781506E-3</v>
      </c>
      <c r="AH82" s="33">
        <f t="shared" si="35"/>
        <v>3.2835663335792475E-3</v>
      </c>
      <c r="AI82" s="33">
        <f t="shared" si="35"/>
        <v>3.3870088295965533E-3</v>
      </c>
      <c r="AJ82" s="33">
        <f t="shared" si="35"/>
        <v>3.4904838710913132E-3</v>
      </c>
      <c r="AK82" s="33">
        <f t="shared" si="35"/>
        <v>3.5945764250507289E-3</v>
      </c>
      <c r="AL82" s="33">
        <f t="shared" si="35"/>
        <v>3.6999817438094751E-3</v>
      </c>
      <c r="AM82" s="33">
        <f t="shared" si="35"/>
        <v>3.80753094289955E-3</v>
      </c>
      <c r="AN82" s="33">
        <f t="shared" si="35"/>
        <v>3.9182212539685532E-3</v>
      </c>
      <c r="AO82" s="33">
        <f t="shared" si="35"/>
        <v>4.0332523012819293E-3</v>
      </c>
      <c r="AP82" s="33">
        <f t="shared" si="35"/>
        <v>4.1540702129750744E-3</v>
      </c>
      <c r="AQ82" s="33">
        <f t="shared" si="35"/>
        <v>4.2824220265502283E-3</v>
      </c>
      <c r="AR82" s="33">
        <f t="shared" si="39"/>
        <v>4.4204237561595687E-3</v>
      </c>
      <c r="AS82" s="33">
        <f t="shared" si="39"/>
        <v>4.5706467654125799E-3</v>
      </c>
      <c r="AT82" s="33">
        <f t="shared" si="39"/>
        <v>4.7362288944088893E-3</v>
      </c>
      <c r="AU82" s="33">
        <f t="shared" si="39"/>
        <v>4.9210193642945767E-3</v>
      </c>
      <c r="AV82" s="33">
        <f t="shared" si="39"/>
        <v>5.1297701927204859E-3</v>
      </c>
      <c r="AW82" s="33">
        <f t="shared" si="39"/>
        <v>5.3683922621051107E-3</v>
      </c>
      <c r="AX82" s="33">
        <f t="shared" si="39"/>
        <v>5.6443021674782339E-3</v>
      </c>
      <c r="AY82" s="33">
        <f t="shared" si="39"/>
        <v>5.9668979200228926E-3</v>
      </c>
      <c r="AZ82" s="33">
        <f t="shared" si="39"/>
        <v>6.3482197231125659E-3</v>
      </c>
      <c r="BA82" s="33">
        <f t="shared" si="39"/>
        <v>6.8038799970654385E-3</v>
      </c>
      <c r="BB82" s="33">
        <f t="shared" si="39"/>
        <v>7.3543906121483144E-3</v>
      </c>
      <c r="BC82" s="33">
        <f t="shared" si="39"/>
        <v>8.027085010146805E-3</v>
      </c>
      <c r="BD82" s="33">
        <f t="shared" si="39"/>
        <v>8.8589458993175579E-3</v>
      </c>
      <c r="BE82" s="33">
        <f t="shared" si="39"/>
        <v>9.9008358288393845E-3</v>
      </c>
      <c r="BF82" s="33">
        <f t="shared" si="39"/>
        <v>1.1223942332736899E-2</v>
      </c>
      <c r="BG82" s="33">
        <f t="shared" si="39"/>
        <v>1.2929790269122401E-2</v>
      </c>
      <c r="BH82" s="33">
        <f t="shared" si="38"/>
        <v>1.5166125952500756E-2</v>
      </c>
      <c r="BI82" s="33">
        <f t="shared" si="38"/>
        <v>1.8152693835093107E-2</v>
      </c>
      <c r="BJ82" s="33">
        <f t="shared" si="38"/>
        <v>1.8327073183974536E-2</v>
      </c>
      <c r="BK82" s="33">
        <f t="shared" si="38"/>
        <v>1.8504178225540662E-2</v>
      </c>
      <c r="BL82" s="33">
        <f t="shared" si="38"/>
        <v>1.8684061346235306E-2</v>
      </c>
      <c r="BM82" s="33">
        <f t="shared" si="38"/>
        <v>1.8866776112042238E-2</v>
      </c>
      <c r="BN82" s="33">
        <f t="shared" si="38"/>
        <v>1.9052377298650131E-2</v>
      </c>
      <c r="BO82" s="33">
        <f t="shared" si="38"/>
        <v>1.9240920922474682E-2</v>
      </c>
      <c r="BP82" s="33">
        <f t="shared" si="38"/>
        <v>1.9432464272564721E-2</v>
      </c>
      <c r="BQ82" s="33">
        <f t="shared" si="38"/>
        <v>1.9627065943419664E-2</v>
      </c>
      <c r="BR82" s="33">
        <f t="shared" si="38"/>
        <v>1.9824785868747054E-2</v>
      </c>
      <c r="BS82" s="33">
        <f t="shared" si="38"/>
        <v>2.0025685356189479E-2</v>
      </c>
      <c r="BT82" s="33">
        <f t="shared" si="38"/>
        <v>2.0229827123051422E-2</v>
      </c>
      <c r="BU82" s="33">
        <f t="shared" si="38"/>
        <v>2.0437275333057565E-2</v>
      </c>
      <c r="BV82" s="33">
        <f t="shared" si="38"/>
        <v>2.0648095634175113E-2</v>
      </c>
      <c r="BW82" s="33">
        <f t="shared" si="37"/>
        <v>2.0862355197533801E-2</v>
      </c>
      <c r="BX82" s="33">
        <f t="shared" si="37"/>
        <v>2.1080122757478528E-2</v>
      </c>
      <c r="BY82" s="33">
        <f t="shared" si="37"/>
        <v>2.1301468652790565E-2</v>
      </c>
      <c r="BZ82" s="33">
        <f t="shared" si="37"/>
        <v>2.1526464869114754E-2</v>
      </c>
      <c r="CA82" s="33">
        <f t="shared" si="37"/>
        <v>2.1755185082631159E-2</v>
      </c>
      <c r="CB82" s="33">
        <f t="shared" si="37"/>
        <v>2.1987704705011213E-2</v>
      </c>
      <c r="CC82" s="33">
        <f t="shared" si="37"/>
        <v>2.2224100932113664E-2</v>
      </c>
      <c r="CD82" s="33">
        <f t="shared" si="37"/>
        <v>4.3711128958856325</v>
      </c>
      <c r="CE82" s="33">
        <f t="shared" si="37"/>
        <v>8.7200016908391511</v>
      </c>
      <c r="CF82" s="33">
        <f t="shared" si="37"/>
        <v>13.06889048579267</v>
      </c>
      <c r="CG82" s="33">
        <f t="shared" si="37"/>
        <v>17.417779280746185</v>
      </c>
      <c r="CH82" s="33">
        <f t="shared" si="37"/>
        <v>21.766668075699702</v>
      </c>
      <c r="CI82" s="33">
        <f t="shared" si="37"/>
        <v>26.115556870653222</v>
      </c>
      <c r="CJ82" s="33">
        <f t="shared" si="37"/>
        <v>30.464445665606743</v>
      </c>
      <c r="CK82" s="33">
        <f t="shared" si="37"/>
        <v>34.813334460560256</v>
      </c>
      <c r="CL82" s="33">
        <f t="shared" si="37"/>
        <v>39.16222325551378</v>
      </c>
      <c r="CM82" s="33">
        <f t="shared" si="41"/>
        <v>43.511112050467297</v>
      </c>
      <c r="CN82" s="33">
        <f t="shared" si="41"/>
        <v>47.860000845420814</v>
      </c>
      <c r="CO82" s="33">
        <f t="shared" si="41"/>
        <v>52.208889640374331</v>
      </c>
      <c r="CP82" s="33">
        <f t="shared" si="41"/>
        <v>56.557778435327847</v>
      </c>
      <c r="CQ82" s="33">
        <f t="shared" si="41"/>
        <v>60.906667230281371</v>
      </c>
      <c r="CR82" s="33">
        <f t="shared" si="41"/>
        <v>65.255556025234895</v>
      </c>
      <c r="CS82" s="33">
        <f t="shared" si="41"/>
        <v>69.604444820188419</v>
      </c>
      <c r="CT82" s="33">
        <f t="shared" si="41"/>
        <v>73.953333615141943</v>
      </c>
      <c r="CU82" s="33">
        <f t="shared" si="41"/>
        <v>78.302222410095453</v>
      </c>
      <c r="CV82" s="33">
        <f t="shared" si="41"/>
        <v>82.651111205048963</v>
      </c>
      <c r="CW82" s="33">
        <f t="shared" si="40"/>
        <v>87.000000000002004</v>
      </c>
    </row>
    <row r="83" spans="1:101">
      <c r="A83" s="22" t="s">
        <v>124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</row>
    <row r="84" spans="1:101">
      <c r="A84" s="22" t="s">
        <v>122</v>
      </c>
      <c r="B84" s="22" t="s">
        <v>123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</row>
    <row r="85" spans="1:101">
      <c r="A85" s="36">
        <v>4</v>
      </c>
      <c r="B85" s="36" t="str" cm="1">
        <f t="array" ref="B85">INDEX($B$3:$B$82,A85)</f>
        <v>MEWS Building Membrane IA</v>
      </c>
      <c r="C85" s="36" cm="1">
        <f t="array" ref="C85">INDEX(C$3:C$82,$A85)</f>
        <v>1</v>
      </c>
      <c r="D85" s="36" cm="1">
        <f t="array" ref="D85">INDEX(D$3:D$82,$A85)</f>
        <v>0</v>
      </c>
      <c r="E85" s="36" cm="1">
        <f t="array" ref="E85">INDEX(E$3:E$82,$A85)</f>
        <v>0</v>
      </c>
      <c r="F85" s="36" cm="1">
        <f t="array" ref="F85">INDEX(F$3:F$82,$A85)</f>
        <v>0</v>
      </c>
      <c r="G85" s="36" cm="1">
        <f t="array" ref="G85">INDEX(G$3:G$82,$A85)</f>
        <v>0</v>
      </c>
      <c r="H85" s="36" cm="1">
        <f t="array" ref="H85">INDEX(H$3:H$82,$A85)</f>
        <v>0</v>
      </c>
      <c r="I85" s="36" cm="1">
        <f t="array" ref="I85">INDEX(I$3:I$82,$A85)</f>
        <v>0</v>
      </c>
      <c r="J85" s="36"/>
      <c r="K85" s="36"/>
      <c r="L85" s="36"/>
      <c r="M85" s="36">
        <f>IF($C85=2,IF(M$2&lt;=$O$1,$D85*IF(AND(M$2=0,$E85=0),1,M$2^$E85)*EXP($F85*(1-IF(AND(M$2=0,$G85=0),1,M$2^$G85))),($H85-$I85)*(M$2-$O$1)/(1-$O$1)+$I85),$D85*IF(AND(M$2=0,$E85=0),1,M$2^$E85)*EXP($F85*(1-IF(AND(M$2=0,$G85=0),1,M$2^$G85))))</f>
        <v>0</v>
      </c>
      <c r="N85" s="36">
        <f t="shared" ref="N85:BY88" si="42">IF($C85=2,IF(N$2&lt;=$O$1,$D85*IF(AND(N$2=0,$E85=0),1,N$2^$E85)*EXP($F85*(1-IF(AND(N$2=0,$G85=0),1,N$2^$G85))),($H85-$I85)*(N$2-$O$1)/(1-$O$1)+$I85),$D85*IF(AND(N$2=0,$E85=0),1,N$2^$E85)*EXP($F85*(1-IF(AND(N$2=0,$G85=0),1,N$2^$G85))))</f>
        <v>0</v>
      </c>
      <c r="O85" s="36">
        <f t="shared" si="42"/>
        <v>0</v>
      </c>
      <c r="P85" s="36">
        <f t="shared" si="42"/>
        <v>0</v>
      </c>
      <c r="Q85" s="36">
        <f t="shared" si="42"/>
        <v>0</v>
      </c>
      <c r="R85" s="36">
        <f t="shared" si="42"/>
        <v>0</v>
      </c>
      <c r="S85" s="36">
        <f t="shared" si="42"/>
        <v>0</v>
      </c>
      <c r="T85" s="36">
        <f t="shared" si="42"/>
        <v>0</v>
      </c>
      <c r="U85" s="36">
        <f t="shared" si="42"/>
        <v>0</v>
      </c>
      <c r="V85" s="36">
        <f t="shared" si="42"/>
        <v>0</v>
      </c>
      <c r="W85" s="36">
        <f t="shared" si="42"/>
        <v>0</v>
      </c>
      <c r="X85" s="36">
        <f t="shared" si="42"/>
        <v>0</v>
      </c>
      <c r="Y85" s="36">
        <f t="shared" si="42"/>
        <v>0</v>
      </c>
      <c r="Z85" s="36">
        <f t="shared" si="42"/>
        <v>0</v>
      </c>
      <c r="AA85" s="36">
        <f t="shared" si="42"/>
        <v>0</v>
      </c>
      <c r="AB85" s="36">
        <f t="shared" si="42"/>
        <v>0</v>
      </c>
      <c r="AC85" s="36">
        <f t="shared" si="42"/>
        <v>0</v>
      </c>
      <c r="AD85" s="36">
        <f t="shared" si="42"/>
        <v>0</v>
      </c>
      <c r="AE85" s="36">
        <f t="shared" si="42"/>
        <v>0</v>
      </c>
      <c r="AF85" s="36">
        <f t="shared" si="42"/>
        <v>0</v>
      </c>
      <c r="AG85" s="36">
        <f t="shared" si="42"/>
        <v>0</v>
      </c>
      <c r="AH85" s="36">
        <f t="shared" si="42"/>
        <v>0</v>
      </c>
      <c r="AI85" s="36">
        <f t="shared" si="42"/>
        <v>0</v>
      </c>
      <c r="AJ85" s="36">
        <f t="shared" si="42"/>
        <v>0</v>
      </c>
      <c r="AK85" s="36">
        <f t="shared" si="42"/>
        <v>0</v>
      </c>
      <c r="AL85" s="36">
        <f t="shared" si="42"/>
        <v>0</v>
      </c>
      <c r="AM85" s="36">
        <f t="shared" si="42"/>
        <v>0</v>
      </c>
      <c r="AN85" s="36">
        <f t="shared" si="42"/>
        <v>0</v>
      </c>
      <c r="AO85" s="36">
        <f t="shared" si="42"/>
        <v>0</v>
      </c>
      <c r="AP85" s="36">
        <f t="shared" si="42"/>
        <v>0</v>
      </c>
      <c r="AQ85" s="36">
        <f t="shared" si="42"/>
        <v>0</v>
      </c>
      <c r="AR85" s="36">
        <f t="shared" si="42"/>
        <v>0</v>
      </c>
      <c r="AS85" s="36">
        <f t="shared" si="42"/>
        <v>0</v>
      </c>
      <c r="AT85" s="36">
        <f t="shared" si="42"/>
        <v>0</v>
      </c>
      <c r="AU85" s="36">
        <f t="shared" si="42"/>
        <v>0</v>
      </c>
      <c r="AV85" s="36">
        <f t="shared" si="42"/>
        <v>0</v>
      </c>
      <c r="AW85" s="36">
        <f t="shared" si="42"/>
        <v>0</v>
      </c>
      <c r="AX85" s="36">
        <f t="shared" si="42"/>
        <v>0</v>
      </c>
      <c r="AY85" s="36">
        <f t="shared" si="42"/>
        <v>0</v>
      </c>
      <c r="AZ85" s="36">
        <f t="shared" si="42"/>
        <v>0</v>
      </c>
      <c r="BA85" s="36">
        <f t="shared" si="42"/>
        <v>0</v>
      </c>
      <c r="BB85" s="36">
        <f t="shared" si="42"/>
        <v>0</v>
      </c>
      <c r="BC85" s="36">
        <f t="shared" si="42"/>
        <v>0</v>
      </c>
      <c r="BD85" s="36">
        <f t="shared" si="42"/>
        <v>0</v>
      </c>
      <c r="BE85" s="36">
        <f t="shared" si="42"/>
        <v>0</v>
      </c>
      <c r="BF85" s="36">
        <f t="shared" si="42"/>
        <v>0</v>
      </c>
      <c r="BG85" s="36">
        <f t="shared" si="42"/>
        <v>0</v>
      </c>
      <c r="BH85" s="36">
        <f t="shared" si="42"/>
        <v>0</v>
      </c>
      <c r="BI85" s="36">
        <f t="shared" si="42"/>
        <v>0</v>
      </c>
      <c r="BJ85" s="36">
        <f t="shared" si="42"/>
        <v>0</v>
      </c>
      <c r="BK85" s="36">
        <f t="shared" si="42"/>
        <v>0</v>
      </c>
      <c r="BL85" s="36">
        <f t="shared" si="42"/>
        <v>0</v>
      </c>
      <c r="BM85" s="36">
        <f t="shared" si="42"/>
        <v>0</v>
      </c>
      <c r="BN85" s="36">
        <f t="shared" si="42"/>
        <v>0</v>
      </c>
      <c r="BO85" s="36">
        <f t="shared" si="42"/>
        <v>0</v>
      </c>
      <c r="BP85" s="36">
        <f t="shared" si="42"/>
        <v>0</v>
      </c>
      <c r="BQ85" s="36">
        <f t="shared" si="42"/>
        <v>0</v>
      </c>
      <c r="BR85" s="36">
        <f t="shared" si="42"/>
        <v>0</v>
      </c>
      <c r="BS85" s="36">
        <f t="shared" si="42"/>
        <v>0</v>
      </c>
      <c r="BT85" s="36">
        <f t="shared" si="42"/>
        <v>0</v>
      </c>
      <c r="BU85" s="36">
        <f t="shared" si="42"/>
        <v>0</v>
      </c>
      <c r="BV85" s="36">
        <f t="shared" si="42"/>
        <v>0</v>
      </c>
      <c r="BW85" s="36">
        <f t="shared" si="42"/>
        <v>0</v>
      </c>
      <c r="BX85" s="36">
        <f t="shared" si="42"/>
        <v>0</v>
      </c>
      <c r="BY85" s="36">
        <f t="shared" si="42"/>
        <v>0</v>
      </c>
      <c r="BZ85" s="36">
        <f t="shared" ref="BZ85:CW89" si="43">IF($C85=2,IF(BZ$2&lt;=$O$1,$D85*IF(AND(BZ$2=0,$E85=0),1,BZ$2^$E85)*EXP($F85*(1-IF(AND(BZ$2=0,$G85=0),1,BZ$2^$G85))),($H85-$I85)*(BZ$2-$O$1)/(1-$O$1)+$I85),$D85*IF(AND(BZ$2=0,$E85=0),1,BZ$2^$E85)*EXP($F85*(1-IF(AND(BZ$2=0,$G85=0),1,BZ$2^$G85))))</f>
        <v>0</v>
      </c>
      <c r="CA85" s="36">
        <f t="shared" si="43"/>
        <v>0</v>
      </c>
      <c r="CB85" s="36">
        <f t="shared" si="43"/>
        <v>0</v>
      </c>
      <c r="CC85" s="36">
        <f t="shared" si="43"/>
        <v>0</v>
      </c>
      <c r="CD85" s="36">
        <f t="shared" si="43"/>
        <v>0</v>
      </c>
      <c r="CE85" s="36">
        <f t="shared" si="43"/>
        <v>0</v>
      </c>
      <c r="CF85" s="36">
        <f t="shared" si="43"/>
        <v>0</v>
      </c>
      <c r="CG85" s="36">
        <f t="shared" si="43"/>
        <v>0</v>
      </c>
      <c r="CH85" s="36">
        <f t="shared" si="43"/>
        <v>0</v>
      </c>
      <c r="CI85" s="36">
        <f t="shared" si="43"/>
        <v>0</v>
      </c>
      <c r="CJ85" s="36">
        <f t="shared" si="43"/>
        <v>0</v>
      </c>
      <c r="CK85" s="36">
        <f t="shared" si="43"/>
        <v>0</v>
      </c>
      <c r="CL85" s="36">
        <f t="shared" si="43"/>
        <v>0</v>
      </c>
      <c r="CM85" s="36">
        <f t="shared" si="43"/>
        <v>0</v>
      </c>
      <c r="CN85" s="36">
        <f t="shared" si="43"/>
        <v>0</v>
      </c>
      <c r="CO85" s="36">
        <f t="shared" si="43"/>
        <v>0</v>
      </c>
      <c r="CP85" s="36">
        <f t="shared" si="43"/>
        <v>0</v>
      </c>
      <c r="CQ85" s="36">
        <f t="shared" si="43"/>
        <v>0</v>
      </c>
      <c r="CR85" s="36">
        <f t="shared" si="43"/>
        <v>0</v>
      </c>
      <c r="CS85" s="36">
        <f t="shared" si="43"/>
        <v>0</v>
      </c>
      <c r="CT85" s="36">
        <f t="shared" si="43"/>
        <v>0</v>
      </c>
      <c r="CU85" s="36">
        <f t="shared" si="43"/>
        <v>0</v>
      </c>
      <c r="CV85" s="36">
        <f t="shared" si="43"/>
        <v>0</v>
      </c>
      <c r="CW85" s="36">
        <f t="shared" si="43"/>
        <v>0</v>
      </c>
    </row>
    <row r="86" spans="1:101">
      <c r="A86" s="22">
        <v>15</v>
      </c>
      <c r="B86" s="22" t="str" cm="1">
        <f t="array" ref="B86">INDEX($B$3:$B$82,A86)</f>
        <v>MEWS Brick II - Red Matt Clay Brick</v>
      </c>
      <c r="C86" s="22" cm="1">
        <f t="array" ref="C86">INDEX(C$3:C$82,$A86)</f>
        <v>1</v>
      </c>
      <c r="D86" s="22" cm="1">
        <f t="array" ref="D86">INDEX(D$3:D$82,$A86)</f>
        <v>0.11025</v>
      </c>
      <c r="E86" s="22" cm="1">
        <f t="array" ref="E86">INDEX(E$3:E$82,$A86)</f>
        <v>4.3338000000000001</v>
      </c>
      <c r="F86" s="22" cm="1">
        <f t="array" ref="F86">INDEX(F$3:F$82,$A86)</f>
        <v>-2.6187999999999998</v>
      </c>
      <c r="G86" s="22" cm="1">
        <f t="array" ref="G86">INDEX(G$3:G$82,$A86)</f>
        <v>15.105</v>
      </c>
      <c r="H86" s="22" cm="1">
        <f t="array" ref="H86">INDEX(H$3:H$82,$A86)</f>
        <v>0</v>
      </c>
      <c r="I86" s="22" cm="1">
        <f t="array" ref="I86">INDEX(I$3:I$82,$A86)</f>
        <v>0</v>
      </c>
      <c r="J86" s="22"/>
      <c r="K86" s="22"/>
      <c r="L86" s="22"/>
      <c r="M86" s="22">
        <f t="shared" ref="M86:M89" si="44">IF($C86=2,IF(M$2&lt;=$O$1,$D86*IF(AND(M$2=0,$E86=0),1,M$2^$E86)*EXP($F86*(1-IF(AND(M$2=0,$G86=0),1,M$2^$G86))),($H86-$I86)*(M$2-$O$1)/(1-$O$1)+$I86),$D86*IF(AND(M$2=0,$E86=0),1,M$2^$E86)*EXP($F86*(1-IF(AND(M$2=0,$G86=0),1,M$2^$G86))))</f>
        <v>0</v>
      </c>
      <c r="N86" s="22">
        <f t="shared" si="42"/>
        <v>3.4837902882227147E-10</v>
      </c>
      <c r="O86" s="22">
        <f t="shared" si="42"/>
        <v>7.0251531976551316E-9</v>
      </c>
      <c r="P86" s="22">
        <f t="shared" si="42"/>
        <v>4.0719280718268539E-8</v>
      </c>
      <c r="Q86" s="22">
        <f t="shared" si="42"/>
        <v>1.4166403074652856E-7</v>
      </c>
      <c r="R86" s="22">
        <f t="shared" si="42"/>
        <v>3.7260459720671187E-7</v>
      </c>
      <c r="S86" s="22">
        <f t="shared" si="42"/>
        <v>8.2111482459555855E-7</v>
      </c>
      <c r="T86" s="22">
        <f t="shared" si="42"/>
        <v>1.601540368388233E-6</v>
      </c>
      <c r="U86" s="22">
        <f t="shared" si="42"/>
        <v>2.8566918105219352E-6</v>
      </c>
      <c r="V86" s="22">
        <f t="shared" si="42"/>
        <v>4.7593560032670622E-6</v>
      </c>
      <c r="W86" s="22">
        <f t="shared" si="42"/>
        <v>7.5136680487527674E-6</v>
      </c>
      <c r="X86" s="22">
        <f t="shared" si="42"/>
        <v>1.1356372339059984E-5</v>
      </c>
      <c r="Y86" s="22">
        <f t="shared" si="42"/>
        <v>1.6557992775039942E-5</v>
      </c>
      <c r="Z86" s="22">
        <f t="shared" si="42"/>
        <v>2.3423927005906898E-5</v>
      </c>
      <c r="AA86" s="22">
        <f t="shared" si="42"/>
        <v>3.2295476021030334E-5</v>
      </c>
      <c r="AB86" s="22">
        <f t="shared" si="42"/>
        <v>4.3550818039446276E-5</v>
      </c>
      <c r="AC86" s="22">
        <f t="shared" si="42"/>
        <v>5.76059340793746E-5</v>
      </c>
      <c r="AD86" s="22">
        <f t="shared" si="42"/>
        <v>7.4915491795137109E-5</v>
      </c>
      <c r="AE86" s="22">
        <f t="shared" si="42"/>
        <v>9.5973694357871382E-5</v>
      </c>
      <c r="AF86" s="22">
        <f t="shared" si="42"/>
        <v>1.213151029393273E-4</v>
      </c>
      <c r="AG86" s="22">
        <f t="shared" si="42"/>
        <v>1.5151544599256768E-4</v>
      </c>
      <c r="AH86" s="22">
        <f t="shared" si="42"/>
        <v>1.8719243835299291E-4</v>
      </c>
      <c r="AI86" s="22">
        <f t="shared" si="42"/>
        <v>2.2900665234757572E-4</v>
      </c>
      <c r="AJ86" s="22">
        <f t="shared" si="42"/>
        <v>2.7766251864763745E-4</v>
      </c>
      <c r="AK86" s="22">
        <f t="shared" si="42"/>
        <v>3.3390959818159856E-4</v>
      </c>
      <c r="AL86" s="22">
        <f t="shared" si="42"/>
        <v>3.9854437682153131E-4</v>
      </c>
      <c r="AM86" s="22">
        <f t="shared" si="42"/>
        <v>4.724130214046841E-4</v>
      </c>
      <c r="AN86" s="22">
        <f t="shared" si="42"/>
        <v>5.5641584485257461E-4</v>
      </c>
      <c r="AO86" s="22">
        <f t="shared" si="42"/>
        <v>6.5151472977324851E-4</v>
      </c>
      <c r="AP86" s="22">
        <f t="shared" si="42"/>
        <v>7.5874555983220556E-4</v>
      </c>
      <c r="AQ86" s="22">
        <f t="shared" si="42"/>
        <v>8.7923896557413439E-4</v>
      </c>
      <c r="AR86" s="22">
        <f t="shared" si="42"/>
        <v>1.0142546465899056E-3</v>
      </c>
      <c r="AS86" s="22">
        <f t="shared" si="42"/>
        <v>1.1652375526400506E-3</v>
      </c>
      <c r="AT86" s="22">
        <f t="shared" si="42"/>
        <v>1.3339088696058461E-3</v>
      </c>
      <c r="AU86" s="22">
        <f t="shared" si="42"/>
        <v>1.5224120017444944E-3</v>
      </c>
      <c r="AV86" s="22">
        <f t="shared" si="42"/>
        <v>1.7335451720527921E-3</v>
      </c>
      <c r="AW86" s="22">
        <f t="shared" si="42"/>
        <v>1.9711307475536871E-3</v>
      </c>
      <c r="AX86" s="22">
        <f t="shared" si="42"/>
        <v>2.240602325406303E-3</v>
      </c>
      <c r="AY86" s="22">
        <f t="shared" si="42"/>
        <v>2.5499445496571294E-3</v>
      </c>
      <c r="AZ86" s="22">
        <f t="shared" si="42"/>
        <v>2.9112190703276071E-3</v>
      </c>
      <c r="BA86" s="22">
        <f t="shared" si="42"/>
        <v>3.3430984401217594E-3</v>
      </c>
      <c r="BB86" s="22">
        <f t="shared" si="42"/>
        <v>3.8752079171670071E-3</v>
      </c>
      <c r="BC86" s="22">
        <f t="shared" si="42"/>
        <v>4.5558726033401364E-3</v>
      </c>
      <c r="BD86" s="22">
        <f t="shared" si="42"/>
        <v>5.4666400382813035E-3</v>
      </c>
      <c r="BE86" s="22">
        <f t="shared" si="42"/>
        <v>6.75112824621249E-3</v>
      </c>
      <c r="BF86" s="22">
        <f t="shared" si="42"/>
        <v>8.6762961504696905E-3</v>
      </c>
      <c r="BG86" s="22">
        <f t="shared" si="42"/>
        <v>1.1773031245943562E-2</v>
      </c>
      <c r="BH86" s="22">
        <f t="shared" si="42"/>
        <v>1.7189200483133285E-2</v>
      </c>
      <c r="BI86" s="22">
        <f t="shared" si="42"/>
        <v>2.7676400310840177E-2</v>
      </c>
      <c r="BJ86" s="22">
        <f t="shared" si="42"/>
        <v>2.8431493847522492E-2</v>
      </c>
      <c r="BK86" s="22">
        <f t="shared" si="42"/>
        <v>2.9216728746166928E-2</v>
      </c>
      <c r="BL86" s="22">
        <f t="shared" si="42"/>
        <v>3.0033594354580716E-2</v>
      </c>
      <c r="BM86" s="22">
        <f t="shared" si="42"/>
        <v>3.0883666158515826E-2</v>
      </c>
      <c r="BN86" s="22">
        <f t="shared" si="42"/>
        <v>3.1768611444204495E-2</v>
      </c>
      <c r="BO86" s="22">
        <f t="shared" si="42"/>
        <v>3.2690195375637714E-2</v>
      </c>
      <c r="BP86" s="22">
        <f t="shared" si="42"/>
        <v>3.365028751995594E-2</v>
      </c>
      <c r="BQ86" s="22">
        <f t="shared" si="42"/>
        <v>3.4650868857239343E-2</v>
      </c>
      <c r="BR86" s="22">
        <f t="shared" si="42"/>
        <v>3.5694039314178277E-2</v>
      </c>
      <c r="BS86" s="22">
        <f t="shared" si="42"/>
        <v>3.6782025864600873E-2</v>
      </c>
      <c r="BT86" s="22">
        <f t="shared" si="42"/>
        <v>3.7917191243664286E-2</v>
      </c>
      <c r="BU86" s="22">
        <f t="shared" si="42"/>
        <v>3.9102043326713867E-2</v>
      </c>
      <c r="BV86" s="22">
        <f t="shared" si="42"/>
        <v>4.0339245228417114E-2</v>
      </c>
      <c r="BW86" s="22">
        <f t="shared" si="42"/>
        <v>4.1631626182830166E-2</v>
      </c>
      <c r="BX86" s="22">
        <f t="shared" si="42"/>
        <v>4.2982193270598663E-2</v>
      </c>
      <c r="BY86" s="22">
        <f t="shared" si="42"/>
        <v>4.4394144065584694E-2</v>
      </c>
      <c r="BZ86" s="22">
        <f t="shared" si="43"/>
        <v>4.587088027990522E-2</v>
      </c>
      <c r="CA86" s="22">
        <f t="shared" si="43"/>
        <v>4.7416022493726756E-2</v>
      </c>
      <c r="CB86" s="22">
        <f t="shared" si="43"/>
        <v>4.9033426064259908E-2</v>
      </c>
      <c r="CC86" s="22">
        <f t="shared" si="43"/>
        <v>5.072719831731215E-2</v>
      </c>
      <c r="CD86" s="22">
        <f t="shared" si="43"/>
        <v>5.2501717134578484E-2</v>
      </c>
      <c r="CE86" s="22">
        <f t="shared" si="43"/>
        <v>5.4361651060673595E-2</v>
      </c>
      <c r="CF86" s="22">
        <f t="shared" si="43"/>
        <v>5.6311981065846915E-2</v>
      </c>
      <c r="CG86" s="22">
        <f t="shared" si="43"/>
        <v>5.8358024113495402E-2</v>
      </c>
      <c r="CH86" s="22">
        <f t="shared" si="43"/>
        <v>6.0505458696134225E-2</v>
      </c>
      <c r="CI86" s="22">
        <f t="shared" si="43"/>
        <v>6.2760352519556237E-2</v>
      </c>
      <c r="CJ86" s="22">
        <f t="shared" si="43"/>
        <v>6.5129192532677779E-2</v>
      </c>
      <c r="CK86" s="22">
        <f t="shared" si="43"/>
        <v>6.7618917520220825E-2</v>
      </c>
      <c r="CL86" s="22">
        <f t="shared" si="43"/>
        <v>7.0236953497137281E-2</v>
      </c>
      <c r="CM86" s="22">
        <f t="shared" si="43"/>
        <v>7.2991252167774287E-2</v>
      </c>
      <c r="CN86" s="22">
        <f t="shared" si="43"/>
        <v>7.5890332739485353E-2</v>
      </c>
      <c r="CO86" s="22">
        <f t="shared" si="43"/>
        <v>7.8943327410007702E-2</v>
      </c>
      <c r="CP86" s="22">
        <f t="shared" si="43"/>
        <v>8.2160030880790699E-2</v>
      </c>
      <c r="CQ86" s="22">
        <f t="shared" si="43"/>
        <v>8.5550954284958236E-2</v>
      </c>
      <c r="CR86" s="22">
        <f t="shared" si="43"/>
        <v>8.9127383959140577E-2</v>
      </c>
      <c r="CS86" s="22">
        <f t="shared" si="43"/>
        <v>9.2901445533506391E-2</v>
      </c>
      <c r="CT86" s="22">
        <f t="shared" si="43"/>
        <v>9.6886173864501088E-2</v>
      </c>
      <c r="CU86" s="22">
        <f t="shared" si="43"/>
        <v>0.10109558939066532</v>
      </c>
      <c r="CV86" s="22">
        <f t="shared" si="43"/>
        <v>0.10554478155415641</v>
      </c>
      <c r="CW86" s="22">
        <f t="shared" si="43"/>
        <v>0.11025000000000215</v>
      </c>
    </row>
    <row r="87" spans="1:101">
      <c r="A87" s="22">
        <v>43</v>
      </c>
      <c r="B87" s="22" t="str" cm="1">
        <f t="array" ref="B87">INDEX($B$3:$B$82,A87)</f>
        <v>ASHRAE OSB -1</v>
      </c>
      <c r="C87" s="22" cm="1">
        <f t="array" ref="C87">INDEX(C$3:C$82,$A87)</f>
        <v>1</v>
      </c>
      <c r="D87" s="22" cm="1">
        <f t="array" ref="D87">INDEX(D$3:D$82,$A87)</f>
        <v>0.85343000000000002</v>
      </c>
      <c r="E87" s="22" cm="1">
        <f t="array" ref="E87">INDEX(E$3:E$82,$A87)</f>
        <v>2.5926999999999998</v>
      </c>
      <c r="F87" s="22" cm="1">
        <f t="array" ref="F87">INDEX(F$3:F$82,$A87)</f>
        <v>-1.2497</v>
      </c>
      <c r="G87" s="22" cm="1">
        <f t="array" ref="G87">INDEX(G$3:G$82,$A87)</f>
        <v>80.376000000000005</v>
      </c>
      <c r="H87" s="22" cm="1">
        <f t="array" ref="H87">INDEX(H$3:H$82,$A87)</f>
        <v>0</v>
      </c>
      <c r="I87" s="22" cm="1">
        <f t="array" ref="I87">INDEX(I$3:I$82,$A87)</f>
        <v>0</v>
      </c>
      <c r="J87" s="22"/>
      <c r="K87" s="22"/>
      <c r="L87" s="22"/>
      <c r="M87" s="22">
        <f t="shared" si="44"/>
        <v>0</v>
      </c>
      <c r="N87" s="22">
        <f t="shared" si="42"/>
        <v>9.6274342419091183E-6</v>
      </c>
      <c r="O87" s="22">
        <f t="shared" si="42"/>
        <v>5.807524233758138E-5</v>
      </c>
      <c r="P87" s="22">
        <f t="shared" si="42"/>
        <v>1.6616625732294378E-4</v>
      </c>
      <c r="Q87" s="22">
        <f t="shared" si="42"/>
        <v>3.5032529829048028E-4</v>
      </c>
      <c r="R87" s="22">
        <f t="shared" si="42"/>
        <v>6.247842761628237E-4</v>
      </c>
      <c r="S87" s="22">
        <f t="shared" si="42"/>
        <v>1.0023590314801503E-3</v>
      </c>
      <c r="T87" s="22">
        <f t="shared" si="42"/>
        <v>1.4948452965533111E-3</v>
      </c>
      <c r="U87" s="22">
        <f t="shared" si="42"/>
        <v>2.113255316420697E-3</v>
      </c>
      <c r="V87" s="22">
        <f t="shared" si="42"/>
        <v>2.867973374725379E-3</v>
      </c>
      <c r="W87" s="22">
        <f t="shared" si="42"/>
        <v>3.7688648226665068E-3</v>
      </c>
      <c r="X87" s="22">
        <f t="shared" si="42"/>
        <v>4.8253561775627772E-3</v>
      </c>
      <c r="Y87" s="22">
        <f t="shared" si="42"/>
        <v>6.046496106830797E-3</v>
      </c>
      <c r="Z87" s="22">
        <f t="shared" si="42"/>
        <v>7.4410031858016595E-3</v>
      </c>
      <c r="AA87" s="22">
        <f t="shared" si="42"/>
        <v>9.0173041615407585E-3</v>
      </c>
      <c r="AB87" s="22">
        <f t="shared" si="42"/>
        <v>1.0783565194584352E-2</v>
      </c>
      <c r="AC87" s="22">
        <f t="shared" si="42"/>
        <v>1.2747717775943719E-2</v>
      </c>
      <c r="AD87" s="22">
        <f t="shared" si="42"/>
        <v>1.4917480520540729E-2</v>
      </c>
      <c r="AE87" s="22">
        <f t="shared" si="42"/>
        <v>1.7300377709137053E-2</v>
      </c>
      <c r="AF87" s="22">
        <f t="shared" si="42"/>
        <v>1.990375522597785E-2</v>
      </c>
      <c r="AG87" s="22">
        <f t="shared" si="42"/>
        <v>2.2734794381783233E-2</v>
      </c>
      <c r="AH87" s="22">
        <f t="shared" si="42"/>
        <v>2.5800523998781782E-2</v>
      </c>
      <c r="AI87" s="22">
        <f t="shared" si="42"/>
        <v>2.9107831051934929E-2</v>
      </c>
      <c r="AJ87" s="22">
        <f t="shared" si="42"/>
        <v>3.2663470099111837E-2</v>
      </c>
      <c r="AK87" s="22">
        <f t="shared" si="42"/>
        <v>3.6474071686602098E-2</v>
      </c>
      <c r="AL87" s="22">
        <f t="shared" si="42"/>
        <v>4.0546149880832175E-2</v>
      </c>
      <c r="AM87" s="22">
        <f t="shared" si="42"/>
        <v>4.4886109049595911E-2</v>
      </c>
      <c r="AN87" s="22">
        <f t="shared" si="42"/>
        <v>4.9500249994485247E-2</v>
      </c>
      <c r="AO87" s="22">
        <f t="shared" si="42"/>
        <v>5.4394775519060273E-2</v>
      </c>
      <c r="AP87" s="22">
        <f t="shared" si="42"/>
        <v>5.9575795503568105E-2</v>
      </c>
      <c r="AQ87" s="22">
        <f t="shared" si="42"/>
        <v>6.5049331545930913E-2</v>
      </c>
      <c r="AR87" s="22">
        <f t="shared" si="42"/>
        <v>7.0821321219691313E-2</v>
      </c>
      <c r="AS87" s="22">
        <f t="shared" si="42"/>
        <v>7.6897621992193313E-2</v>
      </c>
      <c r="AT87" s="22">
        <f t="shared" si="42"/>
        <v>8.3284014840153103E-2</v>
      </c>
      <c r="AU87" s="22">
        <f t="shared" si="42"/>
        <v>8.9986207594682552E-2</v>
      </c>
      <c r="AV87" s="22">
        <f t="shared" si="42"/>
        <v>9.7009838043585747E-2</v>
      </c>
      <c r="AW87" s="22">
        <f t="shared" si="42"/>
        <v>0.10436047681535471</v>
      </c>
      <c r="AX87" s="22">
        <f t="shared" si="42"/>
        <v>0.11204363006802427</v>
      </c>
      <c r="AY87" s="22">
        <f t="shared" si="42"/>
        <v>0.12006474201869398</v>
      </c>
      <c r="AZ87" s="22">
        <f t="shared" si="42"/>
        <v>0.1284291974710334</v>
      </c>
      <c r="BA87" s="22">
        <f t="shared" si="42"/>
        <v>0.13714232544707045</v>
      </c>
      <c r="BB87" s="22">
        <f t="shared" si="42"/>
        <v>0.14620941196274823</v>
      </c>
      <c r="BC87" s="22">
        <f t="shared" si="42"/>
        <v>0.15563577809876603</v>
      </c>
      <c r="BD87" s="22">
        <f t="shared" si="42"/>
        <v>0.16542729783478843</v>
      </c>
      <c r="BE87" s="22">
        <f t="shared" si="42"/>
        <v>0.17559374293029364</v>
      </c>
      <c r="BF87" s="22">
        <f t="shared" si="42"/>
        <v>0.18616953509620893</v>
      </c>
      <c r="BG87" s="22">
        <f t="shared" si="42"/>
        <v>0.19733748941305987</v>
      </c>
      <c r="BH87" s="22">
        <f t="shared" si="42"/>
        <v>0.21014283205472614</v>
      </c>
      <c r="BI87" s="22">
        <f t="shared" si="42"/>
        <v>0.23060268874353734</v>
      </c>
      <c r="BJ87" s="22">
        <f t="shared" si="42"/>
        <v>0.23217593304899889</v>
      </c>
      <c r="BK87" s="22">
        <f t="shared" si="42"/>
        <v>0.23384178822978532</v>
      </c>
      <c r="BL87" s="22">
        <f t="shared" si="42"/>
        <v>0.23560915482697756</v>
      </c>
      <c r="BM87" s="22">
        <f t="shared" si="42"/>
        <v>0.23748786679135575</v>
      </c>
      <c r="BN87" s="22">
        <f t="shared" si="42"/>
        <v>0.23948880264964745</v>
      </c>
      <c r="BO87" s="22">
        <f t="shared" si="42"/>
        <v>0.24162401227935953</v>
      </c>
      <c r="BP87" s="22">
        <f t="shared" si="42"/>
        <v>0.24390686188031566</v>
      </c>
      <c r="BQ87" s="22">
        <f t="shared" si="42"/>
        <v>0.2463522002254005</v>
      </c>
      <c r="BR87" s="22">
        <f t="shared" si="42"/>
        <v>0.24897654987348333</v>
      </c>
      <c r="BS87" s="22">
        <f t="shared" si="42"/>
        <v>0.25179832775930289</v>
      </c>
      <c r="BT87" s="22">
        <f t="shared" si="42"/>
        <v>0.25483810047006228</v>
      </c>
      <c r="BU87" s="22">
        <f t="shared" si="42"/>
        <v>0.25811888061694349</v>
      </c>
      <c r="BV87" s="22">
        <f t="shared" si="42"/>
        <v>0.26166647206300786</v>
      </c>
      <c r="BW87" s="22">
        <f t="shared" si="42"/>
        <v>0.26550987344256849</v>
      </c>
      <c r="BX87" s="22">
        <f t="shared" si="42"/>
        <v>0.26968175148524315</v>
      </c>
      <c r="BY87" s="22">
        <f t="shared" si="42"/>
        <v>0.27421899824904933</v>
      </c>
      <c r="BZ87" s="22">
        <f t="shared" si="43"/>
        <v>0.27916338961168619</v>
      </c>
      <c r="CA87" s="22">
        <f t="shared" si="43"/>
        <v>0.28456236645067096</v>
      </c>
      <c r="CB87" s="22">
        <f t="shared" si="43"/>
        <v>0.29046996510091977</v>
      </c>
      <c r="CC87" s="22">
        <f t="shared" si="43"/>
        <v>0.29694793022806165</v>
      </c>
      <c r="CD87" s="22">
        <f t="shared" si="43"/>
        <v>0.30406705161452291</v>
      </c>
      <c r="CE87" s="22">
        <f t="shared" si="43"/>
        <v>0.31190877707848835</v>
      </c>
      <c r="CF87" s="22">
        <f t="shared" si="43"/>
        <v>0.32056716757647535</v>
      </c>
      <c r="CG87" s="22">
        <f t="shared" si="43"/>
        <v>0.33015127847943287</v>
      </c>
      <c r="CH87" s="22">
        <f t="shared" si="43"/>
        <v>0.34078807441658721</v>
      </c>
      <c r="CI87" s="22">
        <f t="shared" si="43"/>
        <v>0.35262601580145198</v>
      </c>
      <c r="CJ87" s="22">
        <f t="shared" si="43"/>
        <v>0.36583949573257335</v>
      </c>
      <c r="CK87" s="22">
        <f t="shared" si="43"/>
        <v>0.38063435991421518</v>
      </c>
      <c r="CL87" s="22">
        <f t="shared" si="43"/>
        <v>0.39725481446968386</v>
      </c>
      <c r="CM87" s="22">
        <f t="shared" si="43"/>
        <v>0.4159921239035923</v>
      </c>
      <c r="CN87" s="22">
        <f t="shared" si="43"/>
        <v>0.43719563374913262</v>
      </c>
      <c r="CO87" s="22">
        <f t="shared" si="43"/>
        <v>0.46128683351353361</v>
      </c>
      <c r="CP87" s="22">
        <f t="shared" si="43"/>
        <v>0.48877742542118885</v>
      </c>
      <c r="CQ87" s="22">
        <f t="shared" si="43"/>
        <v>0.52029271221828943</v>
      </c>
      <c r="CR87" s="22">
        <f t="shared" si="43"/>
        <v>0.55660210556760392</v>
      </c>
      <c r="CS87" s="22">
        <f t="shared" si="43"/>
        <v>0.59865924843701901</v>
      </c>
      <c r="CT87" s="22">
        <f t="shared" si="43"/>
        <v>0.64765523477417286</v>
      </c>
      <c r="CU87" s="22">
        <f t="shared" si="43"/>
        <v>0.70508984039140166</v>
      </c>
      <c r="CV87" s="22">
        <f t="shared" si="43"/>
        <v>0.77286776857371764</v>
      </c>
      <c r="CW87" s="22">
        <f t="shared" si="43"/>
        <v>0.8534300000000391</v>
      </c>
    </row>
    <row r="88" spans="1:101">
      <c r="A88" s="22">
        <v>66</v>
      </c>
      <c r="B88" s="22" t="str" cm="1">
        <f t="array" ref="B88">INDEX($B$3:$B$82,A88)</f>
        <v>ASHRAE Spray Polyurethane Foam Insulation</v>
      </c>
      <c r="C88" s="22" cm="1">
        <f t="array" ref="C88">INDEX(C$3:C$82,$A88)</f>
        <v>1</v>
      </c>
      <c r="D88" s="22" cm="1">
        <f t="array" ref="D88">INDEX(D$3:D$82,$A88)</f>
        <v>3.8792</v>
      </c>
      <c r="E88" s="22" cm="1">
        <f t="array" ref="E88">INDEX(E$3:E$82,$A88)</f>
        <v>7.8729999999999998E-3</v>
      </c>
      <c r="F88" s="22" cm="1">
        <f t="array" ref="F88">INDEX(F$3:F$82,$A88)</f>
        <v>-6.3666</v>
      </c>
      <c r="G88" s="22" cm="1">
        <f t="array" ref="G88">INDEX(G$3:G$82,$A88)</f>
        <v>63.591999999999999</v>
      </c>
      <c r="H88" s="22" cm="1">
        <f t="array" ref="H88">INDEX(H$3:H$82,$A88)</f>
        <v>0</v>
      </c>
      <c r="I88" s="22" cm="1">
        <f t="array" ref="I88">INDEX(I$3:I$82,$A88)</f>
        <v>0</v>
      </c>
      <c r="J88" s="22"/>
      <c r="K88" s="22"/>
      <c r="L88" s="22"/>
      <c r="M88" s="22">
        <f t="shared" si="44"/>
        <v>0</v>
      </c>
      <c r="N88" s="22">
        <f t="shared" si="42"/>
        <v>6.4622972670252792E-3</v>
      </c>
      <c r="O88" s="22">
        <f t="shared" si="42"/>
        <v>6.4976593784073639E-3</v>
      </c>
      <c r="P88" s="22">
        <f t="shared" si="42"/>
        <v>6.5184345226312222E-3</v>
      </c>
      <c r="Q88" s="22">
        <f t="shared" si="42"/>
        <v>6.5332149935652308E-3</v>
      </c>
      <c r="R88" s="22">
        <f t="shared" si="42"/>
        <v>6.5447026935313117E-3</v>
      </c>
      <c r="S88" s="22">
        <f t="shared" si="42"/>
        <v>6.5541038207308777E-3</v>
      </c>
      <c r="T88" s="22">
        <f t="shared" si="42"/>
        <v>6.5620628953259857E-3</v>
      </c>
      <c r="U88" s="22">
        <f t="shared" si="42"/>
        <v>6.5689651713641394E-3</v>
      </c>
      <c r="V88" s="22">
        <f t="shared" si="42"/>
        <v>6.5750594363155161E-3</v>
      </c>
      <c r="W88" s="22">
        <f t="shared" si="42"/>
        <v>6.5805157327723579E-3</v>
      </c>
      <c r="X88" s="22">
        <f t="shared" si="42"/>
        <v>6.585455453821297E-3</v>
      </c>
      <c r="Y88" s="22">
        <f t="shared" si="42"/>
        <v>6.5899683035520332E-3</v>
      </c>
      <c r="Z88" s="22">
        <f t="shared" si="42"/>
        <v>6.5941224537688021E-3</v>
      </c>
      <c r="AA88" s="22">
        <f t="shared" si="42"/>
        <v>6.5979709307215136E-3</v>
      </c>
      <c r="AB88" s="22">
        <f t="shared" si="42"/>
        <v>6.6015557958864742E-3</v>
      </c>
      <c r="AC88" s="22">
        <f t="shared" si="42"/>
        <v>6.6049109764635301E-3</v>
      </c>
      <c r="AD88" s="22">
        <f t="shared" si="42"/>
        <v>6.6080642373970936E-3</v>
      </c>
      <c r="AE88" s="22">
        <f t="shared" si="42"/>
        <v>6.6110385896294959E-3</v>
      </c>
      <c r="AF88" s="22">
        <f t="shared" si="42"/>
        <v>6.6138533176096203E-3</v>
      </c>
      <c r="AG88" s="22">
        <f t="shared" si="42"/>
        <v>6.616524743295789E-3</v>
      </c>
      <c r="AH88" s="22">
        <f t="shared" si="42"/>
        <v>6.6190668038179209E-3</v>
      </c>
      <c r="AI88" s="22">
        <f t="shared" si="42"/>
        <v>6.6214914948199161E-3</v>
      </c>
      <c r="AJ88" s="22">
        <f t="shared" si="42"/>
        <v>6.6238092153085345E-3</v>
      </c>
      <c r="AK88" s="22">
        <f t="shared" si="42"/>
        <v>6.6260290391581935E-3</v>
      </c>
      <c r="AL88" s="22">
        <f t="shared" si="42"/>
        <v>6.6281589312329687E-3</v>
      </c>
      <c r="AM88" s="22">
        <f t="shared" si="42"/>
        <v>6.6302059211554099E-3</v>
      </c>
      <c r="AN88" s="22">
        <f t="shared" si="42"/>
        <v>6.6321762443094989E-3</v>
      </c>
      <c r="AO88" s="22">
        <f t="shared" si="42"/>
        <v>6.634075457224573E-3</v>
      </c>
      <c r="AP88" s="22">
        <f t="shared" si="42"/>
        <v>6.6359085327317626E-3</v>
      </c>
      <c r="AQ88" s="22">
        <f t="shared" si="42"/>
        <v>6.6376799390054381E-3</v>
      </c>
      <c r="AR88" s="22">
        <f t="shared" si="42"/>
        <v>6.6393937056592406E-3</v>
      </c>
      <c r="AS88" s="22">
        <f t="shared" si="42"/>
        <v>6.6410534793687149E-3</v>
      </c>
      <c r="AT88" s="22">
        <f t="shared" si="42"/>
        <v>6.6426625710013414E-3</v>
      </c>
      <c r="AU88" s="22">
        <f t="shared" si="42"/>
        <v>6.6442239960760345E-3</v>
      </c>
      <c r="AV88" s="22">
        <f t="shared" si="42"/>
        <v>6.6457405114863505E-3</v>
      </c>
      <c r="AW88" s="22">
        <f t="shared" si="42"/>
        <v>6.6472146590254438E-3</v>
      </c>
      <c r="AX88" s="22">
        <f t="shared" si="42"/>
        <v>6.6486488672225568E-3</v>
      </c>
      <c r="AY88" s="22">
        <f t="shared" si="42"/>
        <v>6.6500458689664615E-3</v>
      </c>
      <c r="AZ88" s="22">
        <f t="shared" si="42"/>
        <v>6.6514106797761607E-3</v>
      </c>
      <c r="BA88" s="22">
        <f t="shared" si="42"/>
        <v>6.6527599185117348E-3</v>
      </c>
      <c r="BB88" s="22">
        <f t="shared" si="42"/>
        <v>6.6541642852755659E-3</v>
      </c>
      <c r="BC88" s="22">
        <f t="shared" si="42"/>
        <v>6.6559351994379288E-3</v>
      </c>
      <c r="BD88" s="22">
        <f t="shared" si="42"/>
        <v>6.6594163200068271E-3</v>
      </c>
      <c r="BE88" s="22">
        <f t="shared" si="42"/>
        <v>6.6702325905731302E-3</v>
      </c>
      <c r="BF88" s="22">
        <f t="shared" si="42"/>
        <v>6.7112872487411924E-3</v>
      </c>
      <c r="BG88" s="22">
        <f t="shared" si="42"/>
        <v>6.8745828200973249E-3</v>
      </c>
      <c r="BH88" s="22">
        <f t="shared" si="42"/>
        <v>7.5440866107704969E-3</v>
      </c>
      <c r="BI88" s="22">
        <f t="shared" si="42"/>
        <v>1.0710782286528135E-2</v>
      </c>
      <c r="BJ88" s="22">
        <f t="shared" si="42"/>
        <v>1.1064673300568996E-2</v>
      </c>
      <c r="BK88" s="22">
        <f t="shared" si="42"/>
        <v>1.145528378270488E-2</v>
      </c>
      <c r="BL88" s="22">
        <f t="shared" si="42"/>
        <v>1.1887370526247032E-2</v>
      </c>
      <c r="BM88" s="22">
        <f t="shared" si="42"/>
        <v>1.236645891119393E-2</v>
      </c>
      <c r="BN88" s="22">
        <f t="shared" si="42"/>
        <v>1.2898992709870974E-2</v>
      </c>
      <c r="BO88" s="22">
        <f t="shared" si="42"/>
        <v>1.3492517994239355E-2</v>
      </c>
      <c r="BP88" s="22">
        <f t="shared" si="42"/>
        <v>1.4155910017794359E-2</v>
      </c>
      <c r="BQ88" s="22">
        <f t="shared" si="42"/>
        <v>1.4899654545405169E-2</v>
      </c>
      <c r="BR88" s="22">
        <f t="shared" si="42"/>
        <v>1.5736198553849393E-2</v>
      </c>
      <c r="BS88" s="22">
        <f t="shared" si="42"/>
        <v>1.6680389830205092E-2</v>
      </c>
      <c r="BT88" s="22">
        <f t="shared" si="42"/>
        <v>1.7750031181663382E-2</v>
      </c>
      <c r="BU88" s="22">
        <f t="shared" si="42"/>
        <v>1.8966583338753458E-2</v>
      </c>
      <c r="BV88" s="22">
        <f t="shared" si="42"/>
        <v>2.0356062033955083E-2</v>
      </c>
      <c r="BW88" s="22">
        <f t="shared" si="42"/>
        <v>2.1950190381306918E-2</v>
      </c>
      <c r="BX88" s="22">
        <f t="shared" si="42"/>
        <v>2.378788931323635E-2</v>
      </c>
      <c r="BY88" s="22">
        <f t="shared" ref="N88:BY89" si="45">IF($C88=2,IF(BY$2&lt;=$O$1,$D88*IF(AND(BY$2=0,$E88=0),1,BY$2^$E88)*EXP($F88*(1-IF(AND(BY$2=0,$G88=0),1,BY$2^$G88))),($H88-$I88)*(BY$2-$O$1)/(1-$O$1)+$I88),$D88*IF(AND(BY$2=0,$E88=0),1,BY$2^$E88)*EXP($F88*(1-IF(AND(BY$2=0,$G88=0),1,BY$2^$G88))))</f>
        <v>2.5917218976807939E-2</v>
      </c>
      <c r="BZ88" s="22">
        <f t="shared" si="43"/>
        <v>2.8397926351667289E-2</v>
      </c>
      <c r="CA88" s="22">
        <f t="shared" si="43"/>
        <v>3.1304814385891458E-2</v>
      </c>
      <c r="CB88" s="22">
        <f t="shared" si="43"/>
        <v>3.4732233788479096E-2</v>
      </c>
      <c r="CC88" s="22">
        <f t="shared" si="43"/>
        <v>3.8800122506899362E-2</v>
      </c>
      <c r="CD88" s="22">
        <f t="shared" si="43"/>
        <v>4.3662198454601314E-2</v>
      </c>
      <c r="CE88" s="22">
        <f t="shared" si="43"/>
        <v>4.9517176802233193E-2</v>
      </c>
      <c r="CF88" s="22">
        <f t="shared" si="43"/>
        <v>5.6624278461765459E-2</v>
      </c>
      <c r="CG88" s="22">
        <f t="shared" si="43"/>
        <v>6.5324890934096574E-2</v>
      </c>
      <c r="CH88" s="22">
        <f t="shared" si="43"/>
        <v>7.6073147167728769E-2</v>
      </c>
      <c r="CI88" s="22">
        <f t="shared" si="43"/>
        <v>8.9479580634153788E-2</v>
      </c>
      <c r="CJ88" s="22">
        <f t="shared" si="43"/>
        <v>0.10637418585363273</v>
      </c>
      <c r="CK88" s="22">
        <f t="shared" si="43"/>
        <v>0.12789864288985242</v>
      </c>
      <c r="CL88" s="22">
        <f t="shared" si="43"/>
        <v>0.155642955843345</v>
      </c>
      <c r="CM88" s="22">
        <f t="shared" si="43"/>
        <v>0.19185067630496053</v>
      </c>
      <c r="CN88" s="22">
        <f t="shared" si="43"/>
        <v>0.23973159415912562</v>
      </c>
      <c r="CO88" s="22">
        <f t="shared" si="43"/>
        <v>0.30394542375579636</v>
      </c>
      <c r="CP88" s="22">
        <f t="shared" si="43"/>
        <v>0.39136198921686077</v>
      </c>
      <c r="CQ88" s="22">
        <f t="shared" si="43"/>
        <v>0.51227615438425855</v>
      </c>
      <c r="CR88" s="22">
        <f t="shared" si="43"/>
        <v>0.68238411501347451</v>
      </c>
      <c r="CS88" s="22">
        <f t="shared" si="43"/>
        <v>0.92605858858110446</v>
      </c>
      <c r="CT88" s="22">
        <f t="shared" si="43"/>
        <v>1.2818842426887016</v>
      </c>
      <c r="CU88" s="22">
        <f t="shared" si="43"/>
        <v>1.8122091192699425</v>
      </c>
      <c r="CV88" s="22">
        <f t="shared" si="43"/>
        <v>2.6199903890412335</v>
      </c>
      <c r="CW88" s="22">
        <f t="shared" si="43"/>
        <v>3.8792000000006968</v>
      </c>
    </row>
    <row r="89" spans="1:101">
      <c r="A89" s="22">
        <v>68</v>
      </c>
      <c r="B89" s="22" t="str" cm="1">
        <f t="array" ref="B89">INDEX($B$3:$B$82,A89)</f>
        <v>ASHRAE Low-density Polyurethane Foam Insulation</v>
      </c>
      <c r="C89" s="22" cm="1">
        <f t="array" ref="C89">INDEX(C$3:C$82,$A89)</f>
        <v>1</v>
      </c>
      <c r="D89" s="22" cm="1">
        <f t="array" ref="D89">INDEX(D$3:D$82,$A89)</f>
        <v>0.80418000000000001</v>
      </c>
      <c r="E89" s="22" cm="1">
        <f t="array" ref="E89">INDEX(E$3:E$82,$A89)</f>
        <v>3.4095</v>
      </c>
      <c r="F89" s="22" cm="1">
        <f t="array" ref="F89">INDEX(F$3:F$82,$A89)</f>
        <v>-3.4272</v>
      </c>
      <c r="G89" s="22" cm="1">
        <f t="array" ref="G89">INDEX(G$3:G$82,$A89)</f>
        <v>380.91</v>
      </c>
      <c r="H89" s="22" cm="1">
        <f t="array" ref="H89">INDEX(H$3:H$82,$A89)</f>
        <v>0</v>
      </c>
      <c r="I89" s="22" cm="1">
        <f t="array" ref="I89">INDEX(I$3:I$82,$A89)</f>
        <v>0</v>
      </c>
      <c r="J89" s="22"/>
      <c r="K89" s="22"/>
      <c r="L89" s="22"/>
      <c r="M89" s="22">
        <f t="shared" si="44"/>
        <v>0</v>
      </c>
      <c r="N89" s="22">
        <f t="shared" si="45"/>
        <v>4.2101831599799949E-8</v>
      </c>
      <c r="O89" s="22">
        <f t="shared" si="45"/>
        <v>4.4736577911845428E-7</v>
      </c>
      <c r="P89" s="22">
        <f t="shared" si="45"/>
        <v>1.78256718654485E-6</v>
      </c>
      <c r="Q89" s="22">
        <f t="shared" si="45"/>
        <v>4.7536207504856521E-6</v>
      </c>
      <c r="R89" s="22">
        <f t="shared" si="45"/>
        <v>1.017276986213842E-5</v>
      </c>
      <c r="S89" s="22">
        <f t="shared" si="45"/>
        <v>1.8941208207279458E-5</v>
      </c>
      <c r="T89" s="22">
        <f t="shared" si="45"/>
        <v>3.2037805261393568E-5</v>
      </c>
      <c r="U89" s="22">
        <f t="shared" si="45"/>
        <v>5.0511038828172263E-5</v>
      </c>
      <c r="V89" s="22">
        <f t="shared" si="45"/>
        <v>7.5472863146446229E-5</v>
      </c>
      <c r="W89" s="22">
        <f t="shared" si="45"/>
        <v>1.0809385108057639E-4</v>
      </c>
      <c r="X89" s="22">
        <f t="shared" si="45"/>
        <v>1.4959922713234287E-4</v>
      </c>
      <c r="Y89" s="22">
        <f t="shared" si="45"/>
        <v>2.0126555176128467E-4</v>
      </c>
      <c r="Z89" s="22">
        <f t="shared" si="45"/>
        <v>2.6441789862995189E-4</v>
      </c>
      <c r="AA89" s="22">
        <f t="shared" si="45"/>
        <v>3.4042741532595817E-4</v>
      </c>
      <c r="AB89" s="22">
        <f t="shared" si="45"/>
        <v>4.3070918920796959E-4</v>
      </c>
      <c r="AC89" s="22">
        <f t="shared" si="45"/>
        <v>5.36720360630466E-4</v>
      </c>
      <c r="AD89" s="22">
        <f t="shared" si="45"/>
        <v>6.5995843994203971E-4</v>
      </c>
      <c r="AE89" s="22">
        <f t="shared" si="45"/>
        <v>8.0195979464159058E-4</v>
      </c>
      <c r="AF89" s="22">
        <f t="shared" si="45"/>
        <v>9.6429828031228189E-4</v>
      </c>
      <c r="AG89" s="22">
        <f t="shared" si="45"/>
        <v>1.1485839943078872E-3</v>
      </c>
      <c r="AH89" s="22">
        <f t="shared" si="45"/>
        <v>1.3564621352042453E-3</v>
      </c>
      <c r="AI89" s="22">
        <f t="shared" si="45"/>
        <v>1.5896119541245158E-3</v>
      </c>
      <c r="AJ89" s="22">
        <f t="shared" si="45"/>
        <v>1.8497457864557778E-3</v>
      </c>
      <c r="AK89" s="22">
        <f t="shared" si="45"/>
        <v>2.1386081543735189E-3</v>
      </c>
      <c r="AL89" s="22">
        <f t="shared" si="45"/>
        <v>2.4579749321054097E-3</v>
      </c>
      <c r="AM89" s="22">
        <f t="shared" si="45"/>
        <v>2.809652567087251E-3</v>
      </c>
      <c r="AN89" s="22">
        <f t="shared" si="45"/>
        <v>3.1954773511583883E-3</v>
      </c>
      <c r="AO89" s="22">
        <f t="shared" si="45"/>
        <v>3.6173147367608281E-3</v>
      </c>
      <c r="AP89" s="22">
        <f t="shared" si="45"/>
        <v>4.0770586937827384E-3</v>
      </c>
      <c r="AQ89" s="22">
        <f t="shared" si="45"/>
        <v>4.5766311032515014E-3</v>
      </c>
      <c r="AR89" s="22">
        <f t="shared" si="45"/>
        <v>5.1179811845556717E-3</v>
      </c>
      <c r="AS89" s="22">
        <f t="shared" si="45"/>
        <v>5.7030849532761756E-3</v>
      </c>
      <c r="AT89" s="22">
        <f t="shared" si="45"/>
        <v>6.3339447070481399E-3</v>
      </c>
      <c r="AU89" s="22">
        <f t="shared" si="45"/>
        <v>7.0125885371664747E-3</v>
      </c>
      <c r="AV89" s="22">
        <f t="shared" si="45"/>
        <v>7.7410698638990571E-3</v>
      </c>
      <c r="AW89" s="22">
        <f t="shared" si="45"/>
        <v>8.5214669936881249E-3</v>
      </c>
      <c r="AX89" s="22">
        <f t="shared" si="45"/>
        <v>9.3558826966084144E-3</v>
      </c>
      <c r="AY89" s="22">
        <f t="shared" si="45"/>
        <v>1.024644380261451E-2</v>
      </c>
      <c r="AZ89" s="22">
        <f t="shared" si="45"/>
        <v>1.1195300815253263E-2</v>
      </c>
      <c r="BA89" s="22">
        <f t="shared" si="45"/>
        <v>1.2204627541643016E-2</v>
      </c>
      <c r="BB89" s="22">
        <f t="shared" si="45"/>
        <v>1.3276620737632541E-2</v>
      </c>
      <c r="BC89" s="22">
        <f t="shared" si="45"/>
        <v>1.4413499767150586E-2</v>
      </c>
      <c r="BD89" s="22">
        <f t="shared" si="45"/>
        <v>1.5617506274844312E-2</v>
      </c>
      <c r="BE89" s="22">
        <f t="shared" si="45"/>
        <v>1.6890903871182219E-2</v>
      </c>
      <c r="BF89" s="22">
        <f t="shared" si="45"/>
        <v>1.8235977829266555E-2</v>
      </c>
      <c r="BG89" s="22">
        <f t="shared" si="45"/>
        <v>1.9655034792663156E-2</v>
      </c>
      <c r="BH89" s="22">
        <f t="shared" si="45"/>
        <v>2.1150402497814684E-2</v>
      </c>
      <c r="BI89" s="22">
        <f t="shared" si="45"/>
        <v>2.272444323306114E-2</v>
      </c>
      <c r="BJ89" s="22">
        <f t="shared" si="45"/>
        <v>2.2805258563748269E-2</v>
      </c>
      <c r="BK89" s="22">
        <f t="shared" si="45"/>
        <v>2.2886280074956581E-2</v>
      </c>
      <c r="BL89" s="22">
        <f t="shared" si="45"/>
        <v>2.2967509683473147E-2</v>
      </c>
      <c r="BM89" s="22">
        <f t="shared" si="45"/>
        <v>2.3048950093749847E-2</v>
      </c>
      <c r="BN89" s="22">
        <f t="shared" si="45"/>
        <v>2.3130605179478243E-2</v>
      </c>
      <c r="BO89" s="22">
        <f t="shared" si="45"/>
        <v>2.3212480549337111E-2</v>
      </c>
      <c r="BP89" s="22">
        <f t="shared" si="45"/>
        <v>2.3294584385469195E-2</v>
      </c>
      <c r="BQ89" s="22">
        <f t="shared" si="45"/>
        <v>2.3376928685667375E-2</v>
      </c>
      <c r="BR89" s="22">
        <f t="shared" si="45"/>
        <v>2.3459531102926479E-2</v>
      </c>
      <c r="BS89" s="22">
        <f t="shared" si="45"/>
        <v>2.3542417668586849E-2</v>
      </c>
      <c r="BT89" s="22">
        <f t="shared" si="45"/>
        <v>2.3625626821981608E-2</v>
      </c>
      <c r="BU89" s="22">
        <f t="shared" si="45"/>
        <v>2.3709215371291045E-2</v>
      </c>
      <c r="BV89" s="22">
        <f t="shared" si="45"/>
        <v>2.379326730819558E-2</v>
      </c>
      <c r="BW89" s="22">
        <f t="shared" si="45"/>
        <v>2.3877906838701824E-2</v>
      </c>
      <c r="BX89" s="22">
        <f t="shared" si="45"/>
        <v>2.3963317641997491E-2</v>
      </c>
      <c r="BY89" s="22">
        <f t="shared" si="45"/>
        <v>2.4049771328989826E-2</v>
      </c>
      <c r="BZ89" s="22">
        <f t="shared" si="43"/>
        <v>2.4137669492214974E-2</v>
      </c>
      <c r="CA89" s="22">
        <f t="shared" si="43"/>
        <v>2.422760584371297E-2</v>
      </c>
      <c r="CB89" s="22">
        <f t="shared" si="43"/>
        <v>2.4320458066693886E-2</v>
      </c>
      <c r="CC89" s="22">
        <f t="shared" si="43"/>
        <v>2.4417523679411864E-2</v>
      </c>
      <c r="CD89" s="22">
        <f t="shared" si="43"/>
        <v>2.4520721232344989E-2</v>
      </c>
      <c r="CE89" s="22">
        <f t="shared" si="43"/>
        <v>2.4632888814084267E-2</v>
      </c>
      <c r="CF89" s="22">
        <f t="shared" si="43"/>
        <v>2.4758228220762606E-2</v>
      </c>
      <c r="CG89" s="22">
        <f t="shared" si="43"/>
        <v>2.490296878688884E-2</v>
      </c>
      <c r="CH89" s="22">
        <f t="shared" si="43"/>
        <v>2.5076366003126734E-2</v>
      </c>
      <c r="CI89" s="22">
        <f t="shared" si="43"/>
        <v>2.5292218076679574E-2</v>
      </c>
      <c r="CJ89" s="22">
        <f t="shared" si="43"/>
        <v>2.557120043736931E-2</v>
      </c>
      <c r="CK89" s="22">
        <f t="shared" si="43"/>
        <v>2.594452786273237E-2</v>
      </c>
      <c r="CL89" s="22">
        <f t="shared" si="43"/>
        <v>2.6459848857683401E-2</v>
      </c>
      <c r="CM89" s="22">
        <f t="shared" si="43"/>
        <v>2.7191060810229858E-2</v>
      </c>
      <c r="CN89" s="22">
        <f t="shared" si="43"/>
        <v>2.82553789874475E-2</v>
      </c>
      <c r="CO89" s="22">
        <f t="shared" si="43"/>
        <v>2.9844654981451894E-2</v>
      </c>
      <c r="CP89" s="22">
        <f t="shared" si="43"/>
        <v>3.2286657252628775E-2</v>
      </c>
      <c r="CQ89" s="22">
        <f t="shared" si="43"/>
        <v>3.6174425550677715E-2</v>
      </c>
      <c r="CR89" s="22">
        <f t="shared" si="43"/>
        <v>4.2664853237656224E-2</v>
      </c>
      <c r="CS89" s="22">
        <f t="shared" si="43"/>
        <v>5.4245781483654214E-2</v>
      </c>
      <c r="CT89" s="22">
        <f t="shared" si="43"/>
        <v>7.6984104148384747E-2</v>
      </c>
      <c r="CU89" s="22">
        <f t="shared" si="43"/>
        <v>0.12831000891333771</v>
      </c>
      <c r="CV89" s="22">
        <f t="shared" si="43"/>
        <v>0.27052477734606278</v>
      </c>
      <c r="CW89" s="22">
        <f t="shared" si="43"/>
        <v>0.80418000000046763</v>
      </c>
    </row>
  </sheetData>
  <phoneticPr fontId="1"/>
  <conditionalFormatting sqref="C3:C82">
    <cfRule type="cellIs" dxfId="3" priority="1" operator="equal">
      <formula>2</formula>
    </cfRule>
  </conditionalFormatting>
  <conditionalFormatting sqref="L3:L82">
    <cfRule type="expression" dxfId="0" priority="2">
      <formula>IF($C3=2,ABS($L3)&gt;0.000001,FALSE)</formula>
    </cfRule>
  </conditionalFormatting>
  <dataValidations count="1">
    <dataValidation type="list" allowBlank="1" showInputMessage="1" showErrorMessage="1" sqref="A85:A89" xr:uid="{F56504E7-8058-3246-A6B1-0C934BD16CE8}">
      <formula1>$A$3:$A$82</formula1>
    </dataValidation>
  </dataValidations>
  <pageMargins left="0.75" right="0.75" top="1" bottom="1" header="0.51200000000000001" footer="0.51200000000000001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3F8D9-9F5F-5143-B2EF-922FEE89BD1B}">
  <dimension ref="A1:AE104"/>
  <sheetViews>
    <sheetView tabSelected="1" zoomScaleNormal="100" workbookViewId="0">
      <pane xSplit="2" ySplit="3" topLeftCell="J5" activePane="bottomRight" state="frozen"/>
      <selection pane="topRight" activeCell="C1" sqref="C1"/>
      <selection pane="bottomLeft" activeCell="A4" sqref="A4"/>
      <selection pane="bottomRight" activeCell="AD4" sqref="AD4"/>
    </sheetView>
  </sheetViews>
  <sheetFormatPr baseColWidth="10" defaultRowHeight="14"/>
  <cols>
    <col min="1" max="1" width="13.5" bestFit="1" customWidth="1"/>
    <col min="2" max="2" width="42.83203125" bestFit="1" customWidth="1"/>
    <col min="3" max="4" width="9.1640625" bestFit="1" customWidth="1"/>
    <col min="5" max="5" width="9.5" style="4" customWidth="1"/>
    <col min="6" max="7" width="9.1640625" bestFit="1" customWidth="1"/>
    <col min="8" max="8" width="10.6640625" bestFit="1" customWidth="1"/>
    <col min="9" max="9" width="9.6640625" bestFit="1" customWidth="1"/>
    <col min="10" max="10" width="9.1640625" bestFit="1" customWidth="1"/>
    <col min="11" max="11" width="8.83203125" customWidth="1"/>
    <col min="12" max="12" width="9.1640625" bestFit="1" customWidth="1"/>
    <col min="13" max="13" width="9.6640625" bestFit="1" customWidth="1"/>
    <col min="14" max="14" width="9.1640625" customWidth="1"/>
    <col min="15" max="15" width="9.33203125" customWidth="1"/>
    <col min="16" max="16" width="10" customWidth="1"/>
    <col min="17" max="19" width="10.6640625" bestFit="1" customWidth="1"/>
    <col min="20" max="20" width="9.6640625" bestFit="1" customWidth="1"/>
    <col min="21" max="22" width="9.1640625" bestFit="1" customWidth="1"/>
    <col min="23" max="23" width="9.1640625" customWidth="1"/>
    <col min="24" max="27" width="9.1640625" bestFit="1" customWidth="1"/>
    <col min="28" max="248" width="8.83203125" customWidth="1"/>
  </cols>
  <sheetData>
    <row r="1" spans="1:31">
      <c r="A1" t="s">
        <v>10</v>
      </c>
    </row>
    <row r="2" spans="1:31" ht="16">
      <c r="B2" t="s">
        <v>120</v>
      </c>
      <c r="E2" s="4" t="s">
        <v>11</v>
      </c>
      <c r="N2" t="s">
        <v>11</v>
      </c>
      <c r="W2" t="s">
        <v>11</v>
      </c>
      <c r="AC2" s="25" t="s">
        <v>125</v>
      </c>
      <c r="AD2" s="26">
        <v>1</v>
      </c>
    </row>
    <row r="3" spans="1:31">
      <c r="C3" s="1" t="s">
        <v>30</v>
      </c>
      <c r="D3" s="3" t="s">
        <v>26</v>
      </c>
      <c r="E3" s="9" t="s">
        <v>12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6" t="s">
        <v>27</v>
      </c>
      <c r="M3" s="8" t="s">
        <v>26</v>
      </c>
      <c r="N3" s="5" t="s">
        <v>19</v>
      </c>
      <c r="O3" s="5" t="s">
        <v>20</v>
      </c>
      <c r="P3" s="5" t="s">
        <v>21</v>
      </c>
      <c r="Q3" s="5" t="s">
        <v>22</v>
      </c>
      <c r="R3" s="5" t="s">
        <v>23</v>
      </c>
      <c r="S3" s="5" t="s">
        <v>24</v>
      </c>
      <c r="T3" s="5" t="s">
        <v>25</v>
      </c>
      <c r="U3" s="8" t="s">
        <v>27</v>
      </c>
      <c r="V3" s="7" t="s">
        <v>26</v>
      </c>
      <c r="W3" s="5" t="s">
        <v>19</v>
      </c>
      <c r="X3" s="5" t="s">
        <v>20</v>
      </c>
      <c r="Y3" s="5" t="s">
        <v>21</v>
      </c>
      <c r="Z3" s="5" t="s">
        <v>22</v>
      </c>
      <c r="AA3" s="5" t="s">
        <v>23</v>
      </c>
      <c r="AB3" s="5" t="s">
        <v>28</v>
      </c>
      <c r="AC3" s="5" t="s">
        <v>29</v>
      </c>
      <c r="AD3" s="27" t="s">
        <v>126</v>
      </c>
      <c r="AE3" s="28" t="s">
        <v>127</v>
      </c>
    </row>
    <row r="4" spans="1:31">
      <c r="A4">
        <v>1</v>
      </c>
      <c r="B4" s="17" t="str">
        <f>データファイル用!$B4</f>
        <v>MEWS Aerated Concrete</v>
      </c>
      <c r="C4" s="20">
        <f>データファイル用!R4</f>
        <v>3</v>
      </c>
      <c r="D4" s="21">
        <f>データファイル用!S4</f>
        <v>8.6999999999999994E-2</v>
      </c>
      <c r="E4" s="24">
        <f>データファイル用!T4</f>
        <v>-18.559942811285872</v>
      </c>
      <c r="F4" s="19">
        <f>データファイル用!U4</f>
        <v>0</v>
      </c>
      <c r="G4" s="19">
        <f>データファイル用!V4</f>
        <v>0</v>
      </c>
      <c r="H4" s="19">
        <f>データファイル用!W4</f>
        <v>0</v>
      </c>
      <c r="I4" s="19">
        <f>データファイル用!X4</f>
        <v>0</v>
      </c>
      <c r="J4" s="19">
        <f>データファイル用!Y4</f>
        <v>0</v>
      </c>
      <c r="K4" s="19">
        <f>データファイル用!Z4</f>
        <v>0</v>
      </c>
      <c r="L4" s="20">
        <f>データファイル用!AA4</f>
        <v>8.6999999999999994E-2</v>
      </c>
      <c r="M4" s="17">
        <f>データファイル用!AB4</f>
        <v>0.54</v>
      </c>
      <c r="N4" s="19">
        <f>データファイル用!AC4</f>
        <v>-15.073</v>
      </c>
      <c r="O4" s="19">
        <f>データファイル用!AD4</f>
        <v>-63.311999999999998</v>
      </c>
      <c r="P4" s="19">
        <f>データファイル用!AE4</f>
        <v>324.95999999999998</v>
      </c>
      <c r="Q4" s="19">
        <f>データファイル用!AF4</f>
        <v>-731.86</v>
      </c>
      <c r="R4" s="19">
        <f>データファイル用!AG4</f>
        <v>623.29999999999995</v>
      </c>
      <c r="S4" s="19">
        <f>データファイル用!AH4</f>
        <v>0</v>
      </c>
      <c r="T4" s="19">
        <f>データファイル用!AI4</f>
        <v>0</v>
      </c>
      <c r="U4" s="17">
        <f>データファイル用!AJ4</f>
        <v>0.54</v>
      </c>
      <c r="V4" s="21">
        <f>データファイル用!AK4</f>
        <v>1.3</v>
      </c>
      <c r="W4" s="18">
        <f>データファイル用!AL4</f>
        <v>-16.772022118364983</v>
      </c>
      <c r="X4" s="19">
        <f>データファイル用!AM4</f>
        <v>0</v>
      </c>
      <c r="Y4" s="19">
        <f>データファイル用!AN4</f>
        <v>0</v>
      </c>
      <c r="Z4" s="19">
        <f>データファイル用!AO4</f>
        <v>0</v>
      </c>
      <c r="AA4" s="19">
        <f>データファイル用!AP4</f>
        <v>0</v>
      </c>
      <c r="AB4" s="19">
        <f>データファイル用!AQ4</f>
        <v>0</v>
      </c>
      <c r="AC4" s="19">
        <f>データファイル用!AR4</f>
        <v>0</v>
      </c>
      <c r="AD4">
        <f>IF(V4&gt;0,V4,IF(M4&gt;0,M4,IF(D4&gt;0,D4,$AD$2)))</f>
        <v>1.3</v>
      </c>
      <c r="AE4" t="str">
        <f>_xlfn.LET(_xlpm.err, _xlfn.TEXTJOIN(" / ", TRUE, IF(AND(C4=0, D4+L4+M4+U4+V4&lt;&gt;0), "C=0だが境界値≠0", ""), IF(AND(C4=1, D4+L4+M4+U4+V4&lt;&gt;0), "C=1だが境界値≠0", ""), IF(AND(C4&gt;=2, D4&lt;=0), "D≤0", ""), IF(AND(C4&gt;=2, ABS(L4-D4)&gt;0.00000001), "L≠D("&amp;L4&amp;"≠"&amp;D4&amp;")", ""), IF(AND(C4&gt;=2, M4&lt;=D4), "M≤D", ""), IF(AND(C4=2, OR(U4&lt;&gt;0,V4&lt;&gt;0)), "C=2だが範囲大値あり", ""), IF(AND(C4&gt;=3, ABS(U4-M4)&gt;0.00000001), "U≠M("&amp;U4&amp;"≠"&amp;M4&amp;")", ""), IF(AND(C4&gt;=3, V4&lt;=M4), "V≤M", ""), IF(C4&gt;4, "C値異常("&amp;C4&amp;")", "")), IF(_xlpm.err="","OK",_xlpm.err))</f>
        <v>OK</v>
      </c>
    </row>
    <row r="5" spans="1:31">
      <c r="A5">
        <v>2</v>
      </c>
      <c r="B5" s="17" t="str">
        <f>データファイル用!$B5</f>
        <v>MEWS Oriented Strand Board</v>
      </c>
      <c r="C5" s="20">
        <f>データファイル用!R5</f>
        <v>2</v>
      </c>
      <c r="D5" s="21">
        <f>データファイル用!S5</f>
        <v>0.92</v>
      </c>
      <c r="E5" s="24">
        <f>データファイル用!T5</f>
        <v>-18.023</v>
      </c>
      <c r="F5" s="19">
        <f>データファイル用!U5</f>
        <v>-34.412999999999997</v>
      </c>
      <c r="G5" s="19">
        <f>データファイル用!V5</f>
        <v>140.32</v>
      </c>
      <c r="H5" s="19">
        <f>データファイル用!W5</f>
        <v>-285.57</v>
      </c>
      <c r="I5" s="19">
        <f>データファイル用!X5</f>
        <v>277.27999999999997</v>
      </c>
      <c r="J5" s="19">
        <f>データファイル用!Y5</f>
        <v>-102.33</v>
      </c>
      <c r="K5" s="19">
        <f>データファイル用!Z5</f>
        <v>0</v>
      </c>
      <c r="L5" s="20">
        <f>データファイル用!AA5</f>
        <v>0.92</v>
      </c>
      <c r="M5" s="17">
        <f>データファイル用!AB5</f>
        <v>1.4</v>
      </c>
      <c r="N5" s="19">
        <f>データファイル用!AC5</f>
        <v>-21.996231512759298</v>
      </c>
      <c r="O5" s="19">
        <f>データファイル用!AD5</f>
        <v>0</v>
      </c>
      <c r="P5" s="19">
        <f>データファイル用!AE5</f>
        <v>0</v>
      </c>
      <c r="Q5" s="19">
        <f>データファイル用!AF5</f>
        <v>0</v>
      </c>
      <c r="R5" s="19">
        <f>データファイル用!AG5</f>
        <v>0</v>
      </c>
      <c r="S5" s="19">
        <f>データファイル用!AH5</f>
        <v>0</v>
      </c>
      <c r="T5" s="19">
        <f>データファイル用!AI5</f>
        <v>0</v>
      </c>
      <c r="U5" s="17">
        <f>データファイル用!AJ5</f>
        <v>0</v>
      </c>
      <c r="V5" s="21">
        <f>データファイル用!AK5</f>
        <v>0</v>
      </c>
      <c r="W5" s="18">
        <f>データファイル用!AL5</f>
        <v>0</v>
      </c>
      <c r="X5" s="19">
        <f>データファイル用!AM5</f>
        <v>0</v>
      </c>
      <c r="Y5" s="19">
        <f>データファイル用!AN5</f>
        <v>0</v>
      </c>
      <c r="Z5" s="19">
        <f>データファイル用!AO5</f>
        <v>0</v>
      </c>
      <c r="AA5" s="19">
        <f>データファイル用!AP5</f>
        <v>0</v>
      </c>
      <c r="AB5" s="19">
        <f>データファイル用!AQ5</f>
        <v>0</v>
      </c>
      <c r="AC5" s="19">
        <f>データファイル用!AR5</f>
        <v>0</v>
      </c>
      <c r="AD5">
        <f t="shared" ref="AD5:AD68" si="0">IF(V5&gt;0,V5,IF(M5&gt;0,M5,IF(D5&gt;0,D5,$AD$2)))</f>
        <v>1.4</v>
      </c>
      <c r="AE5" t="str">
        <f t="shared" ref="AE5:AE68" si="1">_xlfn.LET(_xlpm.err, _xlfn.TEXTJOIN(" / ", TRUE, IF(AND(C5=0, D5+L5+M5+U5+V5&lt;&gt;0), "C=0だが境界値≠0", ""), IF(AND(C5=1, D5+L5+M5+U5+V5&lt;&gt;0), "C=1だが境界値≠0", ""), IF(AND(C5&gt;=2, D5&lt;=0), "D≤0", ""), IF(AND(C5&gt;=2, ABS(L5-D5)&gt;0.00000001), "L≠D("&amp;L5&amp;"≠"&amp;D5&amp;")", ""), IF(AND(C5&gt;=2, M5&lt;=D5), "M≤D", ""), IF(AND(C5=2, OR(U5&lt;&gt;0,V5&lt;&gt;0)), "C=2だが範囲大値あり", ""), IF(AND(C5&gt;=3, ABS(U5-M5)&gt;0.00000001), "U≠M("&amp;U5&amp;"≠"&amp;M5&amp;")", ""), IF(AND(C5&gt;=3, V5&lt;=M5), "V≤M", ""), IF(C5&gt;4, "C値異常("&amp;C5&amp;")", "")), IF(_xlpm.err="","OK",_xlpm.err))</f>
        <v>OK</v>
      </c>
    </row>
    <row r="6" spans="1:31">
      <c r="A6">
        <v>3</v>
      </c>
      <c r="B6" s="17" t="str">
        <f>データファイル用!$B6</f>
        <v>MEWS Plywood</v>
      </c>
      <c r="C6" s="20">
        <f>データファイル用!R6</f>
        <v>2</v>
      </c>
      <c r="D6" s="21">
        <f>データファイル用!S6</f>
        <v>1.2</v>
      </c>
      <c r="E6" s="24">
        <f>データファイル用!T6</f>
        <v>-18.117000000000001</v>
      </c>
      <c r="F6" s="19">
        <f>データファイル用!U6</f>
        <v>-24.847999999999999</v>
      </c>
      <c r="G6" s="19">
        <f>データファイル用!V6</f>
        <v>75.350999999999999</v>
      </c>
      <c r="H6" s="19">
        <f>データファイル用!W6</f>
        <v>-115.08</v>
      </c>
      <c r="I6" s="19">
        <f>データファイル用!X6</f>
        <v>84.347999999999999</v>
      </c>
      <c r="J6" s="19">
        <f>データファイル用!Y6</f>
        <v>-23.594999999999999</v>
      </c>
      <c r="K6" s="19">
        <f>データファイル用!Z6</f>
        <v>0</v>
      </c>
      <c r="L6" s="20">
        <f>データファイル用!AA6</f>
        <v>1.2</v>
      </c>
      <c r="M6" s="17">
        <f>データファイル用!AB6</f>
        <v>1.6</v>
      </c>
      <c r="N6" s="19">
        <f>データファイル用!AC6</f>
        <v>-21.996231512759298</v>
      </c>
      <c r="O6" s="19">
        <f>データファイル用!AD6</f>
        <v>0</v>
      </c>
      <c r="P6" s="19">
        <f>データファイル用!AE6</f>
        <v>0</v>
      </c>
      <c r="Q6" s="19">
        <f>データファイル用!AF6</f>
        <v>0</v>
      </c>
      <c r="R6" s="19">
        <f>データファイル用!AG6</f>
        <v>0</v>
      </c>
      <c r="S6" s="19">
        <f>データファイル用!AH6</f>
        <v>0</v>
      </c>
      <c r="T6" s="19">
        <f>データファイル用!AI6</f>
        <v>0</v>
      </c>
      <c r="U6" s="17">
        <f>データファイル用!AJ6</f>
        <v>0</v>
      </c>
      <c r="V6" s="21">
        <f>データファイル用!AK6</f>
        <v>0</v>
      </c>
      <c r="W6" s="18">
        <f>データファイル用!AL6</f>
        <v>0</v>
      </c>
      <c r="X6" s="19">
        <f>データファイル用!AM6</f>
        <v>0</v>
      </c>
      <c r="Y6" s="19">
        <f>データファイル用!AN6</f>
        <v>0</v>
      </c>
      <c r="Z6" s="19">
        <f>データファイル用!AO6</f>
        <v>0</v>
      </c>
      <c r="AA6" s="19">
        <f>データファイル用!AP6</f>
        <v>0</v>
      </c>
      <c r="AB6" s="19">
        <f>データファイル用!AQ6</f>
        <v>0</v>
      </c>
      <c r="AC6" s="19">
        <f>データファイル用!AR6</f>
        <v>0</v>
      </c>
      <c r="AD6">
        <f t="shared" si="0"/>
        <v>1.6</v>
      </c>
      <c r="AE6" t="str">
        <f t="shared" si="1"/>
        <v>OK</v>
      </c>
    </row>
    <row r="7" spans="1:31">
      <c r="A7">
        <v>4</v>
      </c>
      <c r="B7" s="17" t="str">
        <f>データファイル用!$B7</f>
        <v>MEWS Building Membrane IA</v>
      </c>
      <c r="C7" s="20">
        <f>データファイル用!R7</f>
        <v>0</v>
      </c>
      <c r="D7" s="21">
        <f>データファイル用!S7</f>
        <v>0</v>
      </c>
      <c r="E7" s="24">
        <f>データファイル用!T7</f>
        <v>11.512915464920228</v>
      </c>
      <c r="F7" s="19">
        <f>データファイル用!U7</f>
        <v>0</v>
      </c>
      <c r="G7" s="19">
        <f>データファイル用!V7</f>
        <v>0</v>
      </c>
      <c r="H7" s="19">
        <f>データファイル用!W7</f>
        <v>0</v>
      </c>
      <c r="I7" s="19">
        <f>データファイル用!X7</f>
        <v>0</v>
      </c>
      <c r="J7" s="19">
        <f>データファイル用!Y7</f>
        <v>0</v>
      </c>
      <c r="K7" s="19">
        <f>データファイル用!Z7</f>
        <v>0</v>
      </c>
      <c r="L7" s="20">
        <f>データファイル用!AA7</f>
        <v>0</v>
      </c>
      <c r="M7" s="17">
        <f>データファイル用!AB7</f>
        <v>0</v>
      </c>
      <c r="N7" s="19">
        <f>データファイル用!AC7</f>
        <v>0</v>
      </c>
      <c r="O7" s="19">
        <f>データファイル用!AD7</f>
        <v>0</v>
      </c>
      <c r="P7" s="19">
        <f>データファイル用!AE7</f>
        <v>0</v>
      </c>
      <c r="Q7" s="19">
        <f>データファイル用!AF7</f>
        <v>0</v>
      </c>
      <c r="R7" s="19">
        <f>データファイル用!AG7</f>
        <v>0</v>
      </c>
      <c r="S7" s="19">
        <f>データファイル用!AH7</f>
        <v>0</v>
      </c>
      <c r="T7" s="19">
        <f>データファイル用!AI7</f>
        <v>0</v>
      </c>
      <c r="U7" s="17">
        <f>データファイル用!AJ7</f>
        <v>0</v>
      </c>
      <c r="V7" s="21">
        <f>データファイル用!AK7</f>
        <v>0</v>
      </c>
      <c r="W7" s="18">
        <f>データファイル用!AL7</f>
        <v>0</v>
      </c>
      <c r="X7" s="19">
        <f>データファイル用!AM7</f>
        <v>0</v>
      </c>
      <c r="Y7" s="19">
        <f>データファイル用!AN7</f>
        <v>0</v>
      </c>
      <c r="Z7" s="19">
        <f>データファイル用!AO7</f>
        <v>0</v>
      </c>
      <c r="AA7" s="19">
        <f>データファイル用!AP7</f>
        <v>0</v>
      </c>
      <c r="AB7" s="19">
        <f>データファイル用!AQ7</f>
        <v>0</v>
      </c>
      <c r="AC7" s="19">
        <f>データファイル用!AR7</f>
        <v>0</v>
      </c>
      <c r="AD7">
        <f t="shared" si="0"/>
        <v>1</v>
      </c>
      <c r="AE7" t="str">
        <f t="shared" si="1"/>
        <v>OK</v>
      </c>
    </row>
    <row r="8" spans="1:31">
      <c r="A8">
        <v>5</v>
      </c>
      <c r="B8" s="17" t="str">
        <f>データファイル用!$B8</f>
        <v>MEWS Building Membrane II</v>
      </c>
      <c r="C8" s="20">
        <f>データファイル用!R8</f>
        <v>0</v>
      </c>
      <c r="D8" s="21">
        <f>データファイル用!S8</f>
        <v>0</v>
      </c>
      <c r="E8" s="24">
        <f>データファイル用!T8</f>
        <v>11.512915464920228</v>
      </c>
      <c r="F8" s="19">
        <f>データファイル用!U8</f>
        <v>0</v>
      </c>
      <c r="G8" s="19">
        <f>データファイル用!V8</f>
        <v>0</v>
      </c>
      <c r="H8" s="19">
        <f>データファイル用!W8</f>
        <v>0</v>
      </c>
      <c r="I8" s="19">
        <f>データファイル用!X8</f>
        <v>0</v>
      </c>
      <c r="J8" s="19">
        <f>データファイル用!Y8</f>
        <v>0</v>
      </c>
      <c r="K8" s="19">
        <f>データファイル用!Z8</f>
        <v>0</v>
      </c>
      <c r="L8" s="20">
        <f>データファイル用!AA8</f>
        <v>0</v>
      </c>
      <c r="M8" s="17">
        <f>データファイル用!AB8</f>
        <v>0</v>
      </c>
      <c r="N8" s="19">
        <f>データファイル用!AC8</f>
        <v>0</v>
      </c>
      <c r="O8" s="19">
        <f>データファイル用!AD8</f>
        <v>0</v>
      </c>
      <c r="P8" s="19">
        <f>データファイル用!AE8</f>
        <v>0</v>
      </c>
      <c r="Q8" s="19">
        <f>データファイル用!AF8</f>
        <v>0</v>
      </c>
      <c r="R8" s="19">
        <f>データファイル用!AG8</f>
        <v>0</v>
      </c>
      <c r="S8" s="19">
        <f>データファイル用!AH8</f>
        <v>0</v>
      </c>
      <c r="T8" s="19">
        <f>データファイル用!AI8</f>
        <v>0</v>
      </c>
      <c r="U8" s="17">
        <f>データファイル用!AJ8</f>
        <v>0</v>
      </c>
      <c r="V8" s="21">
        <f>データファイル用!AK8</f>
        <v>0</v>
      </c>
      <c r="W8" s="18">
        <f>データファイル用!AL8</f>
        <v>0</v>
      </c>
      <c r="X8" s="19">
        <f>データファイル用!AM8</f>
        <v>0</v>
      </c>
      <c r="Y8" s="19">
        <f>データファイル用!AN8</f>
        <v>0</v>
      </c>
      <c r="Z8" s="19">
        <f>データファイル用!AO8</f>
        <v>0</v>
      </c>
      <c r="AA8" s="19">
        <f>データファイル用!AP8</f>
        <v>0</v>
      </c>
      <c r="AB8" s="19">
        <f>データファイル用!AQ8</f>
        <v>0</v>
      </c>
      <c r="AC8" s="19">
        <f>データファイル用!AR8</f>
        <v>0</v>
      </c>
      <c r="AD8">
        <f t="shared" si="0"/>
        <v>1</v>
      </c>
      <c r="AE8" t="str">
        <f t="shared" si="1"/>
        <v>OK</v>
      </c>
    </row>
    <row r="9" spans="1:31">
      <c r="A9">
        <v>6</v>
      </c>
      <c r="B9" s="17" t="str">
        <f>データファイル用!$B9</f>
        <v>MEWS Building Membrane III</v>
      </c>
      <c r="C9" s="20">
        <f>データファイル用!R9</f>
        <v>0</v>
      </c>
      <c r="D9" s="21">
        <f>データファイル用!S9</f>
        <v>0</v>
      </c>
      <c r="E9" s="24">
        <f>データファイル用!T9</f>
        <v>11.512915464920228</v>
      </c>
      <c r="F9" s="19">
        <f>データファイル用!U9</f>
        <v>0</v>
      </c>
      <c r="G9" s="19">
        <f>データファイル用!V9</f>
        <v>0</v>
      </c>
      <c r="H9" s="19">
        <f>データファイル用!W9</f>
        <v>0</v>
      </c>
      <c r="I9" s="19">
        <f>データファイル用!X9</f>
        <v>0</v>
      </c>
      <c r="J9" s="19">
        <f>データファイル用!Y9</f>
        <v>0</v>
      </c>
      <c r="K9" s="19">
        <f>データファイル用!Z9</f>
        <v>0</v>
      </c>
      <c r="L9" s="20">
        <f>データファイル用!AA9</f>
        <v>0</v>
      </c>
      <c r="M9" s="17">
        <f>データファイル用!AB9</f>
        <v>0</v>
      </c>
      <c r="N9" s="19">
        <f>データファイル用!AC9</f>
        <v>0</v>
      </c>
      <c r="O9" s="19">
        <f>データファイル用!AD9</f>
        <v>0</v>
      </c>
      <c r="P9" s="19">
        <f>データファイル用!AE9</f>
        <v>0</v>
      </c>
      <c r="Q9" s="19">
        <f>データファイル用!AF9</f>
        <v>0</v>
      </c>
      <c r="R9" s="19">
        <f>データファイル用!AG9</f>
        <v>0</v>
      </c>
      <c r="S9" s="19">
        <f>データファイル用!AH9</f>
        <v>0</v>
      </c>
      <c r="T9" s="19">
        <f>データファイル用!AI9</f>
        <v>0</v>
      </c>
      <c r="U9" s="17">
        <f>データファイル用!AJ9</f>
        <v>0</v>
      </c>
      <c r="V9" s="21">
        <f>データファイル用!AK9</f>
        <v>0</v>
      </c>
      <c r="W9" s="18">
        <f>データファイル用!AL9</f>
        <v>0</v>
      </c>
      <c r="X9" s="19">
        <f>データファイル用!AM9</f>
        <v>0</v>
      </c>
      <c r="Y9" s="19">
        <f>データファイル用!AN9</f>
        <v>0</v>
      </c>
      <c r="Z9" s="19">
        <f>データファイル用!AO9</f>
        <v>0</v>
      </c>
      <c r="AA9" s="19">
        <f>データファイル用!AP9</f>
        <v>0</v>
      </c>
      <c r="AB9" s="19">
        <f>データファイル用!AQ9</f>
        <v>0</v>
      </c>
      <c r="AC9" s="19">
        <f>データファイル用!AR9</f>
        <v>0</v>
      </c>
      <c r="AD9">
        <f t="shared" si="0"/>
        <v>1</v>
      </c>
      <c r="AE9" t="str">
        <f t="shared" si="1"/>
        <v>OK</v>
      </c>
    </row>
    <row r="10" spans="1:31">
      <c r="A10">
        <v>7</v>
      </c>
      <c r="B10" s="17" t="str">
        <f>データファイル用!$B10</f>
        <v>MEWS Building Membrane IVA</v>
      </c>
      <c r="C10" s="20">
        <f>データファイル用!R10</f>
        <v>0</v>
      </c>
      <c r="D10" s="21">
        <f>データファイル用!S10</f>
        <v>0</v>
      </c>
      <c r="E10" s="24">
        <f>データファイル用!T10</f>
        <v>11.512915464920228</v>
      </c>
      <c r="F10" s="19">
        <f>データファイル用!U10</f>
        <v>0</v>
      </c>
      <c r="G10" s="19">
        <f>データファイル用!V10</f>
        <v>0</v>
      </c>
      <c r="H10" s="19">
        <f>データファイル用!W10</f>
        <v>0</v>
      </c>
      <c r="I10" s="19">
        <f>データファイル用!X10</f>
        <v>0</v>
      </c>
      <c r="J10" s="19">
        <f>データファイル用!Y10</f>
        <v>0</v>
      </c>
      <c r="K10" s="19">
        <f>データファイル用!Z10</f>
        <v>0</v>
      </c>
      <c r="L10" s="20">
        <f>データファイル用!AA10</f>
        <v>0</v>
      </c>
      <c r="M10" s="17">
        <f>データファイル用!AB10</f>
        <v>0</v>
      </c>
      <c r="N10" s="19">
        <f>データファイル用!AC10</f>
        <v>0</v>
      </c>
      <c r="O10" s="19">
        <f>データファイル用!AD10</f>
        <v>0</v>
      </c>
      <c r="P10" s="19">
        <f>データファイル用!AE10</f>
        <v>0</v>
      </c>
      <c r="Q10" s="19">
        <f>データファイル用!AF10</f>
        <v>0</v>
      </c>
      <c r="R10" s="19">
        <f>データファイル用!AG10</f>
        <v>0</v>
      </c>
      <c r="S10" s="19">
        <f>データファイル用!AH10</f>
        <v>0</v>
      </c>
      <c r="T10" s="19">
        <f>データファイル用!AI10</f>
        <v>0</v>
      </c>
      <c r="U10" s="17">
        <f>データファイル用!AJ10</f>
        <v>0</v>
      </c>
      <c r="V10" s="21">
        <f>データファイル用!AK10</f>
        <v>0</v>
      </c>
      <c r="W10" s="18">
        <f>データファイル用!AL10</f>
        <v>0</v>
      </c>
      <c r="X10" s="19">
        <f>データファイル用!AM10</f>
        <v>0</v>
      </c>
      <c r="Y10" s="19">
        <f>データファイル用!AN10</f>
        <v>0</v>
      </c>
      <c r="Z10" s="19">
        <f>データファイル用!AO10</f>
        <v>0</v>
      </c>
      <c r="AA10" s="19">
        <f>データファイル用!AP10</f>
        <v>0</v>
      </c>
      <c r="AB10" s="19">
        <f>データファイル用!AQ10</f>
        <v>0</v>
      </c>
      <c r="AC10" s="19">
        <f>データファイル用!AR10</f>
        <v>0</v>
      </c>
      <c r="AD10">
        <f t="shared" si="0"/>
        <v>1</v>
      </c>
      <c r="AE10" t="str">
        <f t="shared" si="1"/>
        <v>OK</v>
      </c>
    </row>
    <row r="11" spans="1:31">
      <c r="A11">
        <v>8</v>
      </c>
      <c r="B11" s="17" t="str">
        <f>データファイル用!$B11</f>
        <v>MEWS Building Membrane V A</v>
      </c>
      <c r="C11" s="20">
        <f>データファイル用!R11</f>
        <v>0</v>
      </c>
      <c r="D11" s="21">
        <f>データファイル用!S11</f>
        <v>0</v>
      </c>
      <c r="E11" s="24">
        <f>データファイル用!T11</f>
        <v>11.512915464920228</v>
      </c>
      <c r="F11" s="19">
        <f>データファイル用!U11</f>
        <v>0</v>
      </c>
      <c r="G11" s="19">
        <f>データファイル用!V11</f>
        <v>0</v>
      </c>
      <c r="H11" s="19">
        <f>データファイル用!W11</f>
        <v>0</v>
      </c>
      <c r="I11" s="19">
        <f>データファイル用!X11</f>
        <v>0</v>
      </c>
      <c r="J11" s="19">
        <f>データファイル用!Y11</f>
        <v>0</v>
      </c>
      <c r="K11" s="19">
        <f>データファイル用!Z11</f>
        <v>0</v>
      </c>
      <c r="L11" s="20">
        <f>データファイル用!AA11</f>
        <v>0</v>
      </c>
      <c r="M11" s="17">
        <f>データファイル用!AB11</f>
        <v>0</v>
      </c>
      <c r="N11" s="19">
        <f>データファイル用!AC11</f>
        <v>0</v>
      </c>
      <c r="O11" s="19">
        <f>データファイル用!AD11</f>
        <v>0</v>
      </c>
      <c r="P11" s="19">
        <f>データファイル用!AE11</f>
        <v>0</v>
      </c>
      <c r="Q11" s="19">
        <f>データファイル用!AF11</f>
        <v>0</v>
      </c>
      <c r="R11" s="19">
        <f>データファイル用!AG11</f>
        <v>0</v>
      </c>
      <c r="S11" s="19">
        <f>データファイル用!AH11</f>
        <v>0</v>
      </c>
      <c r="T11" s="19">
        <f>データファイル用!AI11</f>
        <v>0</v>
      </c>
      <c r="U11" s="17">
        <f>データファイル用!AJ11</f>
        <v>0</v>
      </c>
      <c r="V11" s="21">
        <f>データファイル用!AK11</f>
        <v>0</v>
      </c>
      <c r="W11" s="18">
        <f>データファイル用!AL11</f>
        <v>0</v>
      </c>
      <c r="X11" s="19">
        <f>データファイル用!AM11</f>
        <v>0</v>
      </c>
      <c r="Y11" s="19">
        <f>データファイル用!AN11</f>
        <v>0</v>
      </c>
      <c r="Z11" s="19">
        <f>データファイル用!AO11</f>
        <v>0</v>
      </c>
      <c r="AA11" s="19">
        <f>データファイル用!AP11</f>
        <v>0</v>
      </c>
      <c r="AB11" s="19">
        <f>データファイル用!AQ11</f>
        <v>0</v>
      </c>
      <c r="AC11" s="19">
        <f>データファイル用!AR11</f>
        <v>0</v>
      </c>
      <c r="AD11">
        <f t="shared" si="0"/>
        <v>1</v>
      </c>
      <c r="AE11" t="str">
        <f t="shared" si="1"/>
        <v>OK</v>
      </c>
    </row>
    <row r="12" spans="1:31">
      <c r="A12">
        <v>9</v>
      </c>
      <c r="B12" s="17" t="str">
        <f>データファイル用!$B12</f>
        <v>MEWS Building Membrane V C</v>
      </c>
      <c r="C12" s="20">
        <f>データファイル用!R12</f>
        <v>0</v>
      </c>
      <c r="D12" s="21">
        <f>データファイル用!S12</f>
        <v>0</v>
      </c>
      <c r="E12" s="24">
        <f>データファイル用!T12</f>
        <v>11.512915464920228</v>
      </c>
      <c r="F12" s="19">
        <f>データファイル用!U12</f>
        <v>0</v>
      </c>
      <c r="G12" s="19">
        <f>データファイル用!V12</f>
        <v>0</v>
      </c>
      <c r="H12" s="19">
        <f>データファイル用!W12</f>
        <v>0</v>
      </c>
      <c r="I12" s="19">
        <f>データファイル用!X12</f>
        <v>0</v>
      </c>
      <c r="J12" s="19">
        <f>データファイル用!Y12</f>
        <v>0</v>
      </c>
      <c r="K12" s="19">
        <f>データファイル用!Z12</f>
        <v>0</v>
      </c>
      <c r="L12" s="20">
        <f>データファイル用!AA12</f>
        <v>0</v>
      </c>
      <c r="M12" s="17">
        <f>データファイル用!AB12</f>
        <v>0</v>
      </c>
      <c r="N12" s="19">
        <f>データファイル用!AC12</f>
        <v>0</v>
      </c>
      <c r="O12" s="19">
        <f>データファイル用!AD12</f>
        <v>0</v>
      </c>
      <c r="P12" s="19">
        <f>データファイル用!AE12</f>
        <v>0</v>
      </c>
      <c r="Q12" s="19">
        <f>データファイル用!AF12</f>
        <v>0</v>
      </c>
      <c r="R12" s="19">
        <f>データファイル用!AG12</f>
        <v>0</v>
      </c>
      <c r="S12" s="19">
        <f>データファイル用!AH12</f>
        <v>0</v>
      </c>
      <c r="T12" s="19">
        <f>データファイル用!AI12</f>
        <v>0</v>
      </c>
      <c r="U12" s="17">
        <f>データファイル用!AJ12</f>
        <v>0</v>
      </c>
      <c r="V12" s="21">
        <f>データファイル用!AK12</f>
        <v>0</v>
      </c>
      <c r="W12" s="18">
        <f>データファイル用!AL12</f>
        <v>0</v>
      </c>
      <c r="X12" s="19">
        <f>データファイル用!AM12</f>
        <v>0</v>
      </c>
      <c r="Y12" s="19">
        <f>データファイル用!AN12</f>
        <v>0</v>
      </c>
      <c r="Z12" s="19">
        <f>データファイル用!AO12</f>
        <v>0</v>
      </c>
      <c r="AA12" s="19">
        <f>データファイル用!AP12</f>
        <v>0</v>
      </c>
      <c r="AB12" s="19">
        <f>データファイル用!AQ12</f>
        <v>0</v>
      </c>
      <c r="AC12" s="19">
        <f>データファイル用!AR12</f>
        <v>0</v>
      </c>
      <c r="AD12">
        <f t="shared" si="0"/>
        <v>1</v>
      </c>
      <c r="AE12" t="str">
        <f t="shared" si="1"/>
        <v>OK</v>
      </c>
    </row>
    <row r="13" spans="1:31">
      <c r="A13">
        <v>10</v>
      </c>
      <c r="B13" s="17" t="str">
        <f>データファイル用!$B13</f>
        <v>MEWS Building Membrane VI</v>
      </c>
      <c r="C13" s="20">
        <f>データファイル用!R13</f>
        <v>0</v>
      </c>
      <c r="D13" s="21">
        <f>データファイル用!S13</f>
        <v>0</v>
      </c>
      <c r="E13" s="24">
        <f>データファイル用!T13</f>
        <v>11.512915464920228</v>
      </c>
      <c r="F13" s="19">
        <f>データファイル用!U13</f>
        <v>0</v>
      </c>
      <c r="G13" s="19">
        <f>データファイル用!V13</f>
        <v>0</v>
      </c>
      <c r="H13" s="19">
        <f>データファイル用!W13</f>
        <v>0</v>
      </c>
      <c r="I13" s="19">
        <f>データファイル用!X13</f>
        <v>0</v>
      </c>
      <c r="J13" s="19">
        <f>データファイル用!Y13</f>
        <v>0</v>
      </c>
      <c r="K13" s="19">
        <f>データファイル用!Z13</f>
        <v>0</v>
      </c>
      <c r="L13" s="20">
        <f>データファイル用!AA13</f>
        <v>0</v>
      </c>
      <c r="M13" s="17">
        <f>データファイル用!AB13</f>
        <v>0</v>
      </c>
      <c r="N13" s="19">
        <f>データファイル用!AC13</f>
        <v>0</v>
      </c>
      <c r="O13" s="19">
        <f>データファイル用!AD13</f>
        <v>0</v>
      </c>
      <c r="P13" s="19">
        <f>データファイル用!AE13</f>
        <v>0</v>
      </c>
      <c r="Q13" s="19">
        <f>データファイル用!AF13</f>
        <v>0</v>
      </c>
      <c r="R13" s="19">
        <f>データファイル用!AG13</f>
        <v>0</v>
      </c>
      <c r="S13" s="19">
        <f>データファイル用!AH13</f>
        <v>0</v>
      </c>
      <c r="T13" s="19">
        <f>データファイル用!AI13</f>
        <v>0</v>
      </c>
      <c r="U13" s="17">
        <f>データファイル用!AJ13</f>
        <v>0</v>
      </c>
      <c r="V13" s="21">
        <f>データファイル用!AK13</f>
        <v>0</v>
      </c>
      <c r="W13" s="18">
        <f>データファイル用!AL13</f>
        <v>0</v>
      </c>
      <c r="X13" s="19">
        <f>データファイル用!AM13</f>
        <v>0</v>
      </c>
      <c r="Y13" s="19">
        <f>データファイル用!AN13</f>
        <v>0</v>
      </c>
      <c r="Z13" s="19">
        <f>データファイル用!AO13</f>
        <v>0</v>
      </c>
      <c r="AA13" s="19">
        <f>データファイル用!AP13</f>
        <v>0</v>
      </c>
      <c r="AB13" s="19">
        <f>データファイル用!AQ13</f>
        <v>0</v>
      </c>
      <c r="AC13" s="19">
        <f>データファイル用!AR13</f>
        <v>0</v>
      </c>
      <c r="AD13">
        <f t="shared" si="0"/>
        <v>1</v>
      </c>
      <c r="AE13" t="str">
        <f t="shared" si="1"/>
        <v>OK</v>
      </c>
    </row>
    <row r="14" spans="1:31">
      <c r="A14">
        <v>11</v>
      </c>
      <c r="B14" s="17" t="str">
        <f>データファイル用!$B14</f>
        <v>MEWS Building Membrane VII</v>
      </c>
      <c r="C14" s="20">
        <f>データファイル用!R14</f>
        <v>0</v>
      </c>
      <c r="D14" s="21">
        <f>データファイル用!S14</f>
        <v>0</v>
      </c>
      <c r="E14" s="24">
        <f>データファイル用!T14</f>
        <v>11.512915464920228</v>
      </c>
      <c r="F14" s="19">
        <f>データファイル用!U14</f>
        <v>0</v>
      </c>
      <c r="G14" s="19">
        <f>データファイル用!V14</f>
        <v>0</v>
      </c>
      <c r="H14" s="19">
        <f>データファイル用!W14</f>
        <v>0</v>
      </c>
      <c r="I14" s="19">
        <f>データファイル用!X14</f>
        <v>0</v>
      </c>
      <c r="J14" s="19">
        <f>データファイル用!Y14</f>
        <v>0</v>
      </c>
      <c r="K14" s="19">
        <f>データファイル用!Z14</f>
        <v>0</v>
      </c>
      <c r="L14" s="20">
        <f>データファイル用!AA14</f>
        <v>0</v>
      </c>
      <c r="M14" s="17">
        <f>データファイル用!AB14</f>
        <v>0</v>
      </c>
      <c r="N14" s="19">
        <f>データファイル用!AC14</f>
        <v>0</v>
      </c>
      <c r="O14" s="19">
        <f>データファイル用!AD14</f>
        <v>0</v>
      </c>
      <c r="P14" s="19">
        <f>データファイル用!AE14</f>
        <v>0</v>
      </c>
      <c r="Q14" s="19">
        <f>データファイル用!AF14</f>
        <v>0</v>
      </c>
      <c r="R14" s="19">
        <f>データファイル用!AG14</f>
        <v>0</v>
      </c>
      <c r="S14" s="19">
        <f>データファイル用!AH14</f>
        <v>0</v>
      </c>
      <c r="T14" s="19">
        <f>データファイル用!AI14</f>
        <v>0</v>
      </c>
      <c r="U14" s="17">
        <f>データファイル用!AJ14</f>
        <v>0</v>
      </c>
      <c r="V14" s="21">
        <f>データファイル用!AK14</f>
        <v>0</v>
      </c>
      <c r="W14" s="18">
        <f>データファイル用!AL14</f>
        <v>0</v>
      </c>
      <c r="X14" s="19">
        <f>データファイル用!AM14</f>
        <v>0</v>
      </c>
      <c r="Y14" s="19">
        <f>データファイル用!AN14</f>
        <v>0</v>
      </c>
      <c r="Z14" s="19">
        <f>データファイル用!AO14</f>
        <v>0</v>
      </c>
      <c r="AA14" s="19">
        <f>データファイル用!AP14</f>
        <v>0</v>
      </c>
      <c r="AB14" s="19">
        <f>データファイル用!AQ14</f>
        <v>0</v>
      </c>
      <c r="AC14" s="19">
        <f>データファイル用!AR14</f>
        <v>0</v>
      </c>
      <c r="AD14">
        <f t="shared" si="0"/>
        <v>1</v>
      </c>
      <c r="AE14" t="str">
        <f t="shared" si="1"/>
        <v>OK</v>
      </c>
    </row>
    <row r="15" spans="1:31">
      <c r="A15">
        <v>12</v>
      </c>
      <c r="B15" s="17" t="str">
        <f>データファイル用!$B15</f>
        <v>MEWS Building Membrane VIII</v>
      </c>
      <c r="C15" s="20">
        <f>データファイル用!R15</f>
        <v>0</v>
      </c>
      <c r="D15" s="21">
        <f>データファイル用!S15</f>
        <v>0</v>
      </c>
      <c r="E15" s="24">
        <f>データファイル用!T15</f>
        <v>11.512915464920228</v>
      </c>
      <c r="F15" s="19">
        <f>データファイル用!U15</f>
        <v>0</v>
      </c>
      <c r="G15" s="19">
        <f>データファイル用!V15</f>
        <v>0</v>
      </c>
      <c r="H15" s="19">
        <f>データファイル用!W15</f>
        <v>0</v>
      </c>
      <c r="I15" s="19">
        <f>データファイル用!X15</f>
        <v>0</v>
      </c>
      <c r="J15" s="19">
        <f>データファイル用!Y15</f>
        <v>0</v>
      </c>
      <c r="K15" s="19">
        <f>データファイル用!Z15</f>
        <v>0</v>
      </c>
      <c r="L15" s="20">
        <f>データファイル用!AA15</f>
        <v>0</v>
      </c>
      <c r="M15" s="17">
        <f>データファイル用!AB15</f>
        <v>0</v>
      </c>
      <c r="N15" s="19">
        <f>データファイル用!AC15</f>
        <v>0</v>
      </c>
      <c r="O15" s="19">
        <f>データファイル用!AD15</f>
        <v>0</v>
      </c>
      <c r="P15" s="19">
        <f>データファイル用!AE15</f>
        <v>0</v>
      </c>
      <c r="Q15" s="19">
        <f>データファイル用!AF15</f>
        <v>0</v>
      </c>
      <c r="R15" s="19">
        <f>データファイル用!AG15</f>
        <v>0</v>
      </c>
      <c r="S15" s="19">
        <f>データファイル用!AH15</f>
        <v>0</v>
      </c>
      <c r="T15" s="19">
        <f>データファイル用!AI15</f>
        <v>0</v>
      </c>
      <c r="U15" s="17">
        <f>データファイル用!AJ15</f>
        <v>0</v>
      </c>
      <c r="V15" s="21">
        <f>データファイル用!AK15</f>
        <v>0</v>
      </c>
      <c r="W15" s="18">
        <f>データファイル用!AL15</f>
        <v>0</v>
      </c>
      <c r="X15" s="19">
        <f>データファイル用!AM15</f>
        <v>0</v>
      </c>
      <c r="Y15" s="19">
        <f>データファイル用!AN15</f>
        <v>0</v>
      </c>
      <c r="Z15" s="19">
        <f>データファイル用!AO15</f>
        <v>0</v>
      </c>
      <c r="AA15" s="19">
        <f>データファイル用!AP15</f>
        <v>0</v>
      </c>
      <c r="AB15" s="19">
        <f>データファイル用!AQ15</f>
        <v>0</v>
      </c>
      <c r="AC15" s="19">
        <f>データファイル用!AR15</f>
        <v>0</v>
      </c>
      <c r="AD15">
        <f t="shared" si="0"/>
        <v>1</v>
      </c>
      <c r="AE15" t="str">
        <f t="shared" si="1"/>
        <v>OK</v>
      </c>
    </row>
    <row r="16" spans="1:31">
      <c r="A16">
        <v>13</v>
      </c>
      <c r="B16" s="17" t="str">
        <f>データファイル用!$B16</f>
        <v>MEWS Building Membrane IX</v>
      </c>
      <c r="C16" s="20">
        <f>データファイル用!R16</f>
        <v>0</v>
      </c>
      <c r="D16" s="21">
        <f>データファイル用!S16</f>
        <v>0</v>
      </c>
      <c r="E16" s="24">
        <f>データファイル用!T16</f>
        <v>11.512915464920228</v>
      </c>
      <c r="F16" s="19">
        <f>データファイル用!U16</f>
        <v>0</v>
      </c>
      <c r="G16" s="19">
        <f>データファイル用!V16</f>
        <v>0</v>
      </c>
      <c r="H16" s="19">
        <f>データファイル用!W16</f>
        <v>0</v>
      </c>
      <c r="I16" s="19">
        <f>データファイル用!X16</f>
        <v>0</v>
      </c>
      <c r="J16" s="19">
        <f>データファイル用!Y16</f>
        <v>0</v>
      </c>
      <c r="K16" s="19">
        <f>データファイル用!Z16</f>
        <v>0</v>
      </c>
      <c r="L16" s="20">
        <f>データファイル用!AA16</f>
        <v>0</v>
      </c>
      <c r="M16" s="17">
        <f>データファイル用!AB16</f>
        <v>0</v>
      </c>
      <c r="N16" s="19">
        <f>データファイル用!AC16</f>
        <v>0</v>
      </c>
      <c r="O16" s="19">
        <f>データファイル用!AD16</f>
        <v>0</v>
      </c>
      <c r="P16" s="19">
        <f>データファイル用!AE16</f>
        <v>0</v>
      </c>
      <c r="Q16" s="19">
        <f>データファイル用!AF16</f>
        <v>0</v>
      </c>
      <c r="R16" s="19">
        <f>データファイル用!AG16</f>
        <v>0</v>
      </c>
      <c r="S16" s="19">
        <f>データファイル用!AH16</f>
        <v>0</v>
      </c>
      <c r="T16" s="19">
        <f>データファイル用!AI16</f>
        <v>0</v>
      </c>
      <c r="U16" s="17">
        <f>データファイル用!AJ16</f>
        <v>0</v>
      </c>
      <c r="V16" s="21">
        <f>データファイル用!AK16</f>
        <v>0</v>
      </c>
      <c r="W16" s="18">
        <f>データファイル用!AL16</f>
        <v>0</v>
      </c>
      <c r="X16" s="19">
        <f>データファイル用!AM16</f>
        <v>0</v>
      </c>
      <c r="Y16" s="19">
        <f>データファイル用!AN16</f>
        <v>0</v>
      </c>
      <c r="Z16" s="19">
        <f>データファイル用!AO16</f>
        <v>0</v>
      </c>
      <c r="AA16" s="19">
        <f>データファイル用!AP16</f>
        <v>0</v>
      </c>
      <c r="AB16" s="19">
        <f>データファイル用!AQ16</f>
        <v>0</v>
      </c>
      <c r="AC16" s="19">
        <f>データファイル用!AR16</f>
        <v>0</v>
      </c>
      <c r="AD16">
        <f t="shared" si="0"/>
        <v>1</v>
      </c>
      <c r="AE16" t="str">
        <f t="shared" si="1"/>
        <v>OK</v>
      </c>
    </row>
    <row r="17" spans="1:31">
      <c r="A17">
        <v>14</v>
      </c>
      <c r="B17" s="17" t="str">
        <f>データファイル用!$B17</f>
        <v>MEWS Brick I - White Concrete Brick</v>
      </c>
      <c r="C17" s="20">
        <f>データファイル用!R17</f>
        <v>1</v>
      </c>
      <c r="D17" s="21">
        <f>データファイル用!S17</f>
        <v>0</v>
      </c>
      <c r="E17" s="24">
        <f>データファイル用!T17</f>
        <v>-32.284999999999997</v>
      </c>
      <c r="F17" s="19">
        <f>データファイル用!U17</f>
        <v>272.18</v>
      </c>
      <c r="G17" s="19">
        <f>データファイル用!V17</f>
        <v>0</v>
      </c>
      <c r="H17" s="19">
        <f>データファイル用!W17</f>
        <v>0</v>
      </c>
      <c r="I17" s="19">
        <f>データファイル用!X17</f>
        <v>0</v>
      </c>
      <c r="J17" s="19">
        <f>データファイル用!Y17</f>
        <v>0</v>
      </c>
      <c r="K17" s="19">
        <f>データファイル用!Z17</f>
        <v>0</v>
      </c>
      <c r="L17" s="20">
        <f>データファイル用!AA17</f>
        <v>0</v>
      </c>
      <c r="M17" s="17">
        <f>データファイル用!AB17</f>
        <v>0</v>
      </c>
      <c r="N17" s="19">
        <f>データファイル用!AC17</f>
        <v>0</v>
      </c>
      <c r="O17" s="19">
        <f>データファイル用!AD17</f>
        <v>0</v>
      </c>
      <c r="P17" s="19">
        <f>データファイル用!AE17</f>
        <v>0</v>
      </c>
      <c r="Q17" s="19">
        <f>データファイル用!AF17</f>
        <v>0</v>
      </c>
      <c r="R17" s="19">
        <f>データファイル用!AG17</f>
        <v>0</v>
      </c>
      <c r="S17" s="19">
        <f>データファイル用!AH17</f>
        <v>0</v>
      </c>
      <c r="T17" s="19">
        <f>データファイル用!AI17</f>
        <v>0</v>
      </c>
      <c r="U17" s="17">
        <f>データファイル用!AJ17</f>
        <v>0</v>
      </c>
      <c r="V17" s="21">
        <f>データファイル用!AK17</f>
        <v>0</v>
      </c>
      <c r="W17" s="18">
        <f>データファイル用!AL17</f>
        <v>0</v>
      </c>
      <c r="X17" s="19">
        <f>データファイル用!AM17</f>
        <v>0</v>
      </c>
      <c r="Y17" s="19">
        <f>データファイル用!AN17</f>
        <v>0</v>
      </c>
      <c r="Z17" s="19">
        <f>データファイル用!AO17</f>
        <v>0</v>
      </c>
      <c r="AA17" s="19">
        <f>データファイル用!AP17</f>
        <v>0</v>
      </c>
      <c r="AB17" s="19">
        <f>データファイル用!AQ17</f>
        <v>0</v>
      </c>
      <c r="AC17" s="19">
        <f>データファイル用!AR17</f>
        <v>0</v>
      </c>
      <c r="AD17">
        <f t="shared" si="0"/>
        <v>1</v>
      </c>
      <c r="AE17" t="str">
        <f t="shared" si="1"/>
        <v>OK</v>
      </c>
    </row>
    <row r="18" spans="1:31">
      <c r="A18">
        <v>15</v>
      </c>
      <c r="B18" s="17" t="str">
        <f>データファイル用!$B18</f>
        <v>MEWS Brick II - Red Matt Clay Brick</v>
      </c>
      <c r="C18" s="20">
        <f>データファイル用!R18</f>
        <v>1</v>
      </c>
      <c r="D18" s="21">
        <f>データファイル用!S18</f>
        <v>0</v>
      </c>
      <c r="E18" s="24">
        <f>データファイル用!T18</f>
        <v>-30.850999999999999</v>
      </c>
      <c r="F18" s="19">
        <f>データファイル用!U18</f>
        <v>124.97</v>
      </c>
      <c r="G18" s="19">
        <f>データファイル用!V18</f>
        <v>0</v>
      </c>
      <c r="H18" s="19">
        <f>データファイル用!W18</f>
        <v>0</v>
      </c>
      <c r="I18" s="19">
        <f>データファイル用!X18</f>
        <v>0</v>
      </c>
      <c r="J18" s="19">
        <f>データファイル用!Y18</f>
        <v>0</v>
      </c>
      <c r="K18" s="19">
        <f>データファイル用!Z18</f>
        <v>0</v>
      </c>
      <c r="L18" s="20">
        <f>データファイル用!AA18</f>
        <v>0</v>
      </c>
      <c r="M18" s="17">
        <f>データファイル用!AB18</f>
        <v>0</v>
      </c>
      <c r="N18" s="19">
        <f>データファイル用!AC18</f>
        <v>0</v>
      </c>
      <c r="O18" s="19">
        <f>データファイル用!AD18</f>
        <v>0</v>
      </c>
      <c r="P18" s="19">
        <f>データファイル用!AE18</f>
        <v>0</v>
      </c>
      <c r="Q18" s="19">
        <f>データファイル用!AF18</f>
        <v>0</v>
      </c>
      <c r="R18" s="19">
        <f>データファイル用!AG18</f>
        <v>0</v>
      </c>
      <c r="S18" s="19">
        <f>データファイル用!AH18</f>
        <v>0</v>
      </c>
      <c r="T18" s="19">
        <f>データファイル用!AI18</f>
        <v>0</v>
      </c>
      <c r="U18" s="17">
        <f>データファイル用!AJ18</f>
        <v>0</v>
      </c>
      <c r="V18" s="21">
        <f>データファイル用!AK18</f>
        <v>0</v>
      </c>
      <c r="W18" s="18">
        <f>データファイル用!AL18</f>
        <v>0</v>
      </c>
      <c r="X18" s="19">
        <f>データファイル用!AM18</f>
        <v>0</v>
      </c>
      <c r="Y18" s="19">
        <f>データファイル用!AN18</f>
        <v>0</v>
      </c>
      <c r="Z18" s="19">
        <f>データファイル用!AO18</f>
        <v>0</v>
      </c>
      <c r="AA18" s="19">
        <f>データファイル用!AP18</f>
        <v>0</v>
      </c>
      <c r="AB18" s="19">
        <f>データファイル用!AQ18</f>
        <v>0</v>
      </c>
      <c r="AC18" s="19">
        <f>データファイル用!AR18</f>
        <v>0</v>
      </c>
      <c r="AD18">
        <f t="shared" si="0"/>
        <v>1</v>
      </c>
      <c r="AE18" t="str">
        <f t="shared" si="1"/>
        <v>OK</v>
      </c>
    </row>
    <row r="19" spans="1:31">
      <c r="A19">
        <v>16</v>
      </c>
      <c r="B19" s="17" t="str">
        <f>データファイル用!$B19</f>
        <v>MEWS Brick III - Buff Matt Clay Brick</v>
      </c>
      <c r="C19" s="20">
        <f>データファイル用!R19</f>
        <v>1</v>
      </c>
      <c r="D19" s="21">
        <f>データファイル用!S19</f>
        <v>0</v>
      </c>
      <c r="E19" s="24">
        <f>データファイル用!T19</f>
        <v>-36.680999999999997</v>
      </c>
      <c r="F19" s="19">
        <f>データファイル用!U19</f>
        <v>10.183</v>
      </c>
      <c r="G19" s="19">
        <f>データファイル用!V19</f>
        <v>836.35</v>
      </c>
      <c r="H19" s="19">
        <f>データファイル用!W19</f>
        <v>-4746.2</v>
      </c>
      <c r="I19" s="19">
        <f>データファイル用!X19</f>
        <v>9364.5</v>
      </c>
      <c r="J19" s="19">
        <f>データファイル用!Y19</f>
        <v>0</v>
      </c>
      <c r="K19" s="19">
        <f>データファイル用!Z19</f>
        <v>0</v>
      </c>
      <c r="L19" s="20">
        <f>データファイル用!AA19</f>
        <v>0</v>
      </c>
      <c r="M19" s="17">
        <f>データファイル用!AB19</f>
        <v>0</v>
      </c>
      <c r="N19" s="19">
        <f>データファイル用!AC19</f>
        <v>0</v>
      </c>
      <c r="O19" s="19">
        <f>データファイル用!AD19</f>
        <v>0</v>
      </c>
      <c r="P19" s="19">
        <f>データファイル用!AE19</f>
        <v>0</v>
      </c>
      <c r="Q19" s="19">
        <f>データファイル用!AF19</f>
        <v>0</v>
      </c>
      <c r="R19" s="19">
        <f>データファイル用!AG19</f>
        <v>0</v>
      </c>
      <c r="S19" s="19">
        <f>データファイル用!AH19</f>
        <v>0</v>
      </c>
      <c r="T19" s="19">
        <f>データファイル用!AI19</f>
        <v>0</v>
      </c>
      <c r="U19" s="17">
        <f>データファイル用!AJ19</f>
        <v>0</v>
      </c>
      <c r="V19" s="21">
        <f>データファイル用!AK19</f>
        <v>0</v>
      </c>
      <c r="W19" s="18">
        <f>データファイル用!AL19</f>
        <v>0</v>
      </c>
      <c r="X19" s="19">
        <f>データファイル用!AM19</f>
        <v>0</v>
      </c>
      <c r="Y19" s="19">
        <f>データファイル用!AN19</f>
        <v>0</v>
      </c>
      <c r="Z19" s="19">
        <f>データファイル用!AO19</f>
        <v>0</v>
      </c>
      <c r="AA19" s="19">
        <f>データファイル用!AP19</f>
        <v>0</v>
      </c>
      <c r="AB19" s="19">
        <f>データファイル用!AQ19</f>
        <v>0</v>
      </c>
      <c r="AC19" s="19">
        <f>データファイル用!AR19</f>
        <v>0</v>
      </c>
      <c r="AD19">
        <f t="shared" si="0"/>
        <v>1</v>
      </c>
      <c r="AE19" t="str">
        <f t="shared" si="1"/>
        <v>OK</v>
      </c>
    </row>
    <row r="20" spans="1:31">
      <c r="A20">
        <v>17</v>
      </c>
      <c r="B20" s="17" t="str">
        <f>データファイル用!$B20</f>
        <v>MEWS Brick IV - Textured Coated Clay Brick</v>
      </c>
      <c r="C20" s="20">
        <f>データファイル用!R20</f>
        <v>1</v>
      </c>
      <c r="D20" s="21">
        <f>データファイル用!S20</f>
        <v>0</v>
      </c>
      <c r="E20" s="24">
        <f>データファイル用!T20</f>
        <v>-30.861999999999998</v>
      </c>
      <c r="F20" s="19">
        <f>データファイル用!U20</f>
        <v>43.509</v>
      </c>
      <c r="G20" s="19">
        <f>データファイル用!V20</f>
        <v>622.5</v>
      </c>
      <c r="H20" s="19">
        <f>データファイル用!W20</f>
        <v>-4354.8999999999996</v>
      </c>
      <c r="I20" s="19">
        <f>データファイル用!X20</f>
        <v>10254</v>
      </c>
      <c r="J20" s="19">
        <f>データファイル用!Y20</f>
        <v>0</v>
      </c>
      <c r="K20" s="19">
        <f>データファイル用!Z20</f>
        <v>0</v>
      </c>
      <c r="L20" s="20">
        <f>データファイル用!AA20</f>
        <v>0</v>
      </c>
      <c r="M20" s="17">
        <f>データファイル用!AB20</f>
        <v>0</v>
      </c>
      <c r="N20" s="19">
        <f>データファイル用!AC20</f>
        <v>0</v>
      </c>
      <c r="O20" s="19">
        <f>データファイル用!AD20</f>
        <v>0</v>
      </c>
      <c r="P20" s="19">
        <f>データファイル用!AE20</f>
        <v>0</v>
      </c>
      <c r="Q20" s="19">
        <f>データファイル用!AF20</f>
        <v>0</v>
      </c>
      <c r="R20" s="19">
        <f>データファイル用!AG20</f>
        <v>0</v>
      </c>
      <c r="S20" s="19">
        <f>データファイル用!AH20</f>
        <v>0</v>
      </c>
      <c r="T20" s="19">
        <f>データファイル用!AI20</f>
        <v>0</v>
      </c>
      <c r="U20" s="17">
        <f>データファイル用!AJ20</f>
        <v>0</v>
      </c>
      <c r="V20" s="21">
        <f>データファイル用!AK20</f>
        <v>0</v>
      </c>
      <c r="W20" s="18">
        <f>データファイル用!AL20</f>
        <v>0</v>
      </c>
      <c r="X20" s="19">
        <f>データファイル用!AM20</f>
        <v>0</v>
      </c>
      <c r="Y20" s="19">
        <f>データファイル用!AN20</f>
        <v>0</v>
      </c>
      <c r="Z20" s="19">
        <f>データファイル用!AO20</f>
        <v>0</v>
      </c>
      <c r="AA20" s="19">
        <f>データファイル用!AP20</f>
        <v>0</v>
      </c>
      <c r="AB20" s="19">
        <f>データファイル用!AQ20</f>
        <v>0</v>
      </c>
      <c r="AC20" s="19">
        <f>データファイル用!AR20</f>
        <v>0</v>
      </c>
      <c r="AD20">
        <f t="shared" si="0"/>
        <v>1</v>
      </c>
      <c r="AE20" t="str">
        <f t="shared" si="1"/>
        <v>OK</v>
      </c>
    </row>
    <row r="21" spans="1:31">
      <c r="A21">
        <v>18</v>
      </c>
      <c r="B21" s="17" t="str">
        <f>データファイル用!$B21</f>
        <v>MEWS Brick V - Concrete Brick</v>
      </c>
      <c r="C21" s="20">
        <f>データファイル用!R21</f>
        <v>1</v>
      </c>
      <c r="D21" s="21">
        <f>データファイル用!S21</f>
        <v>0</v>
      </c>
      <c r="E21" s="24">
        <f>データファイル用!T21</f>
        <v>-29.709</v>
      </c>
      <c r="F21" s="19">
        <f>データファイル用!U21</f>
        <v>-31.190999999999999</v>
      </c>
      <c r="G21" s="19">
        <f>データファイル用!V21</f>
        <v>13106</v>
      </c>
      <c r="H21" s="19">
        <f>データファイル用!W21</f>
        <v>-251440</v>
      </c>
      <c r="I21" s="19">
        <f>データファイル用!X21</f>
        <v>1719200</v>
      </c>
      <c r="J21" s="19">
        <f>データファイル用!Y21</f>
        <v>0</v>
      </c>
      <c r="K21" s="19">
        <f>データファイル用!Z21</f>
        <v>0</v>
      </c>
      <c r="L21" s="20">
        <f>データファイル用!AA21</f>
        <v>0</v>
      </c>
      <c r="M21" s="17">
        <f>データファイル用!AB21</f>
        <v>0</v>
      </c>
      <c r="N21" s="19">
        <f>データファイル用!AC21</f>
        <v>0</v>
      </c>
      <c r="O21" s="19">
        <f>データファイル用!AD21</f>
        <v>0</v>
      </c>
      <c r="P21" s="19">
        <f>データファイル用!AE21</f>
        <v>0</v>
      </c>
      <c r="Q21" s="19">
        <f>データファイル用!AF21</f>
        <v>0</v>
      </c>
      <c r="R21" s="19">
        <f>データファイル用!AG21</f>
        <v>0</v>
      </c>
      <c r="S21" s="19">
        <f>データファイル用!AH21</f>
        <v>0</v>
      </c>
      <c r="T21" s="19">
        <f>データファイル用!AI21</f>
        <v>0</v>
      </c>
      <c r="U21" s="17">
        <f>データファイル用!AJ21</f>
        <v>0</v>
      </c>
      <c r="V21" s="21">
        <f>データファイル用!AK21</f>
        <v>0</v>
      </c>
      <c r="W21" s="18">
        <f>データファイル用!AL21</f>
        <v>0</v>
      </c>
      <c r="X21" s="19">
        <f>データファイル用!AM21</f>
        <v>0</v>
      </c>
      <c r="Y21" s="19">
        <f>データファイル用!AN21</f>
        <v>0</v>
      </c>
      <c r="Z21" s="19">
        <f>データファイル用!AO21</f>
        <v>0</v>
      </c>
      <c r="AA21" s="19">
        <f>データファイル用!AP21</f>
        <v>0</v>
      </c>
      <c r="AB21" s="19">
        <f>データファイル用!AQ21</f>
        <v>0</v>
      </c>
      <c r="AC21" s="19">
        <f>データファイル用!AR21</f>
        <v>0</v>
      </c>
      <c r="AD21">
        <f t="shared" si="0"/>
        <v>1</v>
      </c>
      <c r="AE21" t="str">
        <f t="shared" si="1"/>
        <v>OK</v>
      </c>
    </row>
    <row r="22" spans="1:31">
      <c r="A22">
        <v>19</v>
      </c>
      <c r="B22" s="17" t="str">
        <f>データファイル用!$B22</f>
        <v>MEWS Brick VI - Calcium Silicate Brick</v>
      </c>
      <c r="C22" s="20">
        <f>データファイル用!R22</f>
        <v>1</v>
      </c>
      <c r="D22" s="21">
        <f>データファイル用!S22</f>
        <v>0</v>
      </c>
      <c r="E22" s="24">
        <f>データファイル用!T22</f>
        <v>-31.454999999999998</v>
      </c>
      <c r="F22" s="19">
        <f>データファイル用!U22</f>
        <v>61.671999999999997</v>
      </c>
      <c r="G22" s="19">
        <f>データファイル用!V22</f>
        <v>775.58</v>
      </c>
      <c r="H22" s="19">
        <f>データファイル用!W22</f>
        <v>-5305.9</v>
      </c>
      <c r="I22" s="19">
        <f>データファイル用!X22</f>
        <v>11119</v>
      </c>
      <c r="J22" s="19">
        <f>データファイル用!Y22</f>
        <v>0</v>
      </c>
      <c r="K22" s="19">
        <f>データファイル用!Z22</f>
        <v>0</v>
      </c>
      <c r="L22" s="20">
        <f>データファイル用!AA22</f>
        <v>0</v>
      </c>
      <c r="M22" s="17">
        <f>データファイル用!AB22</f>
        <v>0</v>
      </c>
      <c r="N22" s="19">
        <f>データファイル用!AC22</f>
        <v>0</v>
      </c>
      <c r="O22" s="19">
        <f>データファイル用!AD22</f>
        <v>0</v>
      </c>
      <c r="P22" s="19">
        <f>データファイル用!AE22</f>
        <v>0</v>
      </c>
      <c r="Q22" s="19">
        <f>データファイル用!AF22</f>
        <v>0</v>
      </c>
      <c r="R22" s="19">
        <f>データファイル用!AG22</f>
        <v>0</v>
      </c>
      <c r="S22" s="19">
        <f>データファイル用!AH22</f>
        <v>0</v>
      </c>
      <c r="T22" s="19">
        <f>データファイル用!AI22</f>
        <v>0</v>
      </c>
      <c r="U22" s="17">
        <f>データファイル用!AJ22</f>
        <v>0</v>
      </c>
      <c r="V22" s="21">
        <f>データファイル用!AK22</f>
        <v>0</v>
      </c>
      <c r="W22" s="18">
        <f>データファイル用!AL22</f>
        <v>0</v>
      </c>
      <c r="X22" s="19">
        <f>データファイル用!AM22</f>
        <v>0</v>
      </c>
      <c r="Y22" s="19">
        <f>データファイル用!AN22</f>
        <v>0</v>
      </c>
      <c r="Z22" s="19">
        <f>データファイル用!AO22</f>
        <v>0</v>
      </c>
      <c r="AA22" s="19">
        <f>データファイル用!AP22</f>
        <v>0</v>
      </c>
      <c r="AB22" s="19">
        <f>データファイル用!AQ22</f>
        <v>0</v>
      </c>
      <c r="AC22" s="19">
        <f>データファイル用!AR22</f>
        <v>0</v>
      </c>
      <c r="AD22">
        <f t="shared" si="0"/>
        <v>1</v>
      </c>
      <c r="AE22" t="str">
        <f t="shared" si="1"/>
        <v>OK</v>
      </c>
    </row>
    <row r="23" spans="1:31">
      <c r="A23">
        <v>20</v>
      </c>
      <c r="B23" s="17" t="str">
        <f>データファイル用!$B23</f>
        <v>MEWS Mortar 1-S</v>
      </c>
      <c r="C23" s="20">
        <f>データファイル用!R23</f>
        <v>1</v>
      </c>
      <c r="D23" s="21">
        <f>データファイル用!S23</f>
        <v>0</v>
      </c>
      <c r="E23" s="24">
        <f>データファイル用!T23</f>
        <v>-29.04</v>
      </c>
      <c r="F23" s="19">
        <f>データファイル用!U23</f>
        <v>93.881</v>
      </c>
      <c r="G23" s="19">
        <f>データファイル用!V23</f>
        <v>0</v>
      </c>
      <c r="H23" s="19">
        <f>データファイル用!W23</f>
        <v>0</v>
      </c>
      <c r="I23" s="19">
        <f>データファイル用!X23</f>
        <v>0</v>
      </c>
      <c r="J23" s="19">
        <f>データファイル用!Y23</f>
        <v>0</v>
      </c>
      <c r="K23" s="19">
        <f>データファイル用!Z23</f>
        <v>0</v>
      </c>
      <c r="L23" s="20">
        <f>データファイル用!AA23</f>
        <v>0</v>
      </c>
      <c r="M23" s="17">
        <f>データファイル用!AB23</f>
        <v>0</v>
      </c>
      <c r="N23" s="19">
        <f>データファイル用!AC23</f>
        <v>0</v>
      </c>
      <c r="O23" s="19">
        <f>データファイル用!AD23</f>
        <v>0</v>
      </c>
      <c r="P23" s="19">
        <f>データファイル用!AE23</f>
        <v>0</v>
      </c>
      <c r="Q23" s="19">
        <f>データファイル用!AF23</f>
        <v>0</v>
      </c>
      <c r="R23" s="19">
        <f>データファイル用!AG23</f>
        <v>0</v>
      </c>
      <c r="S23" s="19">
        <f>データファイル用!AH23</f>
        <v>0</v>
      </c>
      <c r="T23" s="19">
        <f>データファイル用!AI23</f>
        <v>0</v>
      </c>
      <c r="U23" s="17">
        <f>データファイル用!AJ23</f>
        <v>0</v>
      </c>
      <c r="V23" s="21">
        <f>データファイル用!AK23</f>
        <v>0</v>
      </c>
      <c r="W23" s="18">
        <f>データファイル用!AL23</f>
        <v>0</v>
      </c>
      <c r="X23" s="19">
        <f>データファイル用!AM23</f>
        <v>0</v>
      </c>
      <c r="Y23" s="19">
        <f>データファイル用!AN23</f>
        <v>0</v>
      </c>
      <c r="Z23" s="19">
        <f>データファイル用!AO23</f>
        <v>0</v>
      </c>
      <c r="AA23" s="19">
        <f>データファイル用!AP23</f>
        <v>0</v>
      </c>
      <c r="AB23" s="19">
        <f>データファイル用!AQ23</f>
        <v>0</v>
      </c>
      <c r="AC23" s="19">
        <f>データファイル用!AR23</f>
        <v>0</v>
      </c>
      <c r="AD23">
        <f t="shared" si="0"/>
        <v>1</v>
      </c>
      <c r="AE23" t="str">
        <f t="shared" si="1"/>
        <v>OK</v>
      </c>
    </row>
    <row r="24" spans="1:31">
      <c r="A24">
        <v>21</v>
      </c>
      <c r="B24" s="17" t="str">
        <f>データファイル用!$B24</f>
        <v>MEWS Mortar 1-N</v>
      </c>
      <c r="C24" s="20">
        <f>データファイル用!R24</f>
        <v>1</v>
      </c>
      <c r="D24" s="21">
        <f>データファイル用!S24</f>
        <v>0</v>
      </c>
      <c r="E24" s="24">
        <f>データファイル用!T24</f>
        <v>-29.716999999999999</v>
      </c>
      <c r="F24" s="19">
        <f>データファイル用!U24</f>
        <v>99.968000000000004</v>
      </c>
      <c r="G24" s="19">
        <f>データファイル用!V24</f>
        <v>-25.666</v>
      </c>
      <c r="H24" s="19">
        <f>データファイル用!W24</f>
        <v>0</v>
      </c>
      <c r="I24" s="19">
        <f>データファイル用!X24</f>
        <v>0</v>
      </c>
      <c r="J24" s="19">
        <f>データファイル用!Y24</f>
        <v>0</v>
      </c>
      <c r="K24" s="19">
        <f>データファイル用!Z24</f>
        <v>0</v>
      </c>
      <c r="L24" s="20">
        <f>データファイル用!AA24</f>
        <v>0</v>
      </c>
      <c r="M24" s="17">
        <f>データファイル用!AB24</f>
        <v>0</v>
      </c>
      <c r="N24" s="19">
        <f>データファイル用!AC24</f>
        <v>0</v>
      </c>
      <c r="O24" s="19">
        <f>データファイル用!AD24</f>
        <v>0</v>
      </c>
      <c r="P24" s="19">
        <f>データファイル用!AE24</f>
        <v>0</v>
      </c>
      <c r="Q24" s="19">
        <f>データファイル用!AF24</f>
        <v>0</v>
      </c>
      <c r="R24" s="19">
        <f>データファイル用!AG24</f>
        <v>0</v>
      </c>
      <c r="S24" s="19">
        <f>データファイル用!AH24</f>
        <v>0</v>
      </c>
      <c r="T24" s="19">
        <f>データファイル用!AI24</f>
        <v>0</v>
      </c>
      <c r="U24" s="17">
        <f>データファイル用!AJ24</f>
        <v>0</v>
      </c>
      <c r="V24" s="21">
        <f>データファイル用!AK24</f>
        <v>0</v>
      </c>
      <c r="W24" s="18">
        <f>データファイル用!AL24</f>
        <v>0</v>
      </c>
      <c r="X24" s="19">
        <f>データファイル用!AM24</f>
        <v>0</v>
      </c>
      <c r="Y24" s="19">
        <f>データファイル用!AN24</f>
        <v>0</v>
      </c>
      <c r="Z24" s="19">
        <f>データファイル用!AO24</f>
        <v>0</v>
      </c>
      <c r="AA24" s="19">
        <f>データファイル用!AP24</f>
        <v>0</v>
      </c>
      <c r="AB24" s="19">
        <f>データファイル用!AQ24</f>
        <v>0</v>
      </c>
      <c r="AC24" s="19">
        <f>データファイル用!AR24</f>
        <v>0</v>
      </c>
      <c r="AD24">
        <f t="shared" si="0"/>
        <v>1</v>
      </c>
      <c r="AE24" t="str">
        <f t="shared" si="1"/>
        <v>OK</v>
      </c>
    </row>
    <row r="25" spans="1:31">
      <c r="A25">
        <v>22</v>
      </c>
      <c r="B25" s="17" t="str">
        <f>データファイル用!$B25</f>
        <v>MEWS Mortar 2-S</v>
      </c>
      <c r="C25" s="20">
        <f>データファイル用!R25</f>
        <v>1</v>
      </c>
      <c r="D25" s="21">
        <f>データファイル用!S25</f>
        <v>0</v>
      </c>
      <c r="E25" s="24">
        <f>データファイル用!T25</f>
        <v>-33.819000000000003</v>
      </c>
      <c r="F25" s="19">
        <f>データファイル用!U25</f>
        <v>56.826999999999998</v>
      </c>
      <c r="G25" s="19">
        <f>データファイル用!V25</f>
        <v>0.60026999999999997</v>
      </c>
      <c r="H25" s="19">
        <f>データファイル用!W25</f>
        <v>0</v>
      </c>
      <c r="I25" s="19">
        <f>データファイル用!X25</f>
        <v>0</v>
      </c>
      <c r="J25" s="19">
        <f>データファイル用!Y25</f>
        <v>0</v>
      </c>
      <c r="K25" s="19">
        <f>データファイル用!Z25</f>
        <v>0</v>
      </c>
      <c r="L25" s="20">
        <f>データファイル用!AA25</f>
        <v>0</v>
      </c>
      <c r="M25" s="17">
        <f>データファイル用!AB25</f>
        <v>0</v>
      </c>
      <c r="N25" s="19">
        <f>データファイル用!AC25</f>
        <v>0</v>
      </c>
      <c r="O25" s="19">
        <f>データファイル用!AD25</f>
        <v>0</v>
      </c>
      <c r="P25" s="19">
        <f>データファイル用!AE25</f>
        <v>0</v>
      </c>
      <c r="Q25" s="19">
        <f>データファイル用!AF25</f>
        <v>0</v>
      </c>
      <c r="R25" s="19">
        <f>データファイル用!AG25</f>
        <v>0</v>
      </c>
      <c r="S25" s="19">
        <f>データファイル用!AH25</f>
        <v>0</v>
      </c>
      <c r="T25" s="19">
        <f>データファイル用!AI25</f>
        <v>0</v>
      </c>
      <c r="U25" s="17">
        <f>データファイル用!AJ25</f>
        <v>0</v>
      </c>
      <c r="V25" s="21">
        <f>データファイル用!AK25</f>
        <v>0</v>
      </c>
      <c r="W25" s="18">
        <f>データファイル用!AL25</f>
        <v>0</v>
      </c>
      <c r="X25" s="19">
        <f>データファイル用!AM25</f>
        <v>0</v>
      </c>
      <c r="Y25" s="19">
        <f>データファイル用!AN25</f>
        <v>0</v>
      </c>
      <c r="Z25" s="19">
        <f>データファイル用!AO25</f>
        <v>0</v>
      </c>
      <c r="AA25" s="19">
        <f>データファイル用!AP25</f>
        <v>0</v>
      </c>
      <c r="AB25" s="19">
        <f>データファイル用!AQ25</f>
        <v>0</v>
      </c>
      <c r="AC25" s="19">
        <f>データファイル用!AR25</f>
        <v>0</v>
      </c>
      <c r="AD25">
        <f t="shared" si="0"/>
        <v>1</v>
      </c>
      <c r="AE25" t="str">
        <f t="shared" si="1"/>
        <v>OK</v>
      </c>
    </row>
    <row r="26" spans="1:31">
      <c r="A26">
        <v>23</v>
      </c>
      <c r="B26" s="17" t="str">
        <f>データファイル用!$B26</f>
        <v>MEWS Mortar 2-N</v>
      </c>
      <c r="C26" s="20">
        <f>データファイル用!R26</f>
        <v>1</v>
      </c>
      <c r="D26" s="21">
        <f>データファイル用!S26</f>
        <v>0</v>
      </c>
      <c r="E26" s="24">
        <f>データファイル用!T26</f>
        <v>-33.326999999999998</v>
      </c>
      <c r="F26" s="19">
        <f>データファイル用!U26</f>
        <v>57.006</v>
      </c>
      <c r="G26" s="19">
        <f>データファイル用!V26</f>
        <v>-5.5749000000000004</v>
      </c>
      <c r="H26" s="19">
        <f>データファイル用!W26</f>
        <v>0</v>
      </c>
      <c r="I26" s="19">
        <f>データファイル用!X26</f>
        <v>0</v>
      </c>
      <c r="J26" s="19">
        <f>データファイル用!Y26</f>
        <v>0</v>
      </c>
      <c r="K26" s="19">
        <f>データファイル用!Z26</f>
        <v>0</v>
      </c>
      <c r="L26" s="20">
        <f>データファイル用!AA26</f>
        <v>0</v>
      </c>
      <c r="M26" s="17">
        <f>データファイル用!AB26</f>
        <v>0</v>
      </c>
      <c r="N26" s="19">
        <f>データファイル用!AC26</f>
        <v>0</v>
      </c>
      <c r="O26" s="19">
        <f>データファイル用!AD26</f>
        <v>0</v>
      </c>
      <c r="P26" s="19">
        <f>データファイル用!AE26</f>
        <v>0</v>
      </c>
      <c r="Q26" s="19">
        <f>データファイル用!AF26</f>
        <v>0</v>
      </c>
      <c r="R26" s="19">
        <f>データファイル用!AG26</f>
        <v>0</v>
      </c>
      <c r="S26" s="19">
        <f>データファイル用!AH26</f>
        <v>0</v>
      </c>
      <c r="T26" s="19">
        <f>データファイル用!AI26</f>
        <v>0</v>
      </c>
      <c r="U26" s="17">
        <f>データファイル用!AJ26</f>
        <v>0</v>
      </c>
      <c r="V26" s="21">
        <f>データファイル用!AK26</f>
        <v>0</v>
      </c>
      <c r="W26" s="18">
        <f>データファイル用!AL26</f>
        <v>0</v>
      </c>
      <c r="X26" s="19">
        <f>データファイル用!AM26</f>
        <v>0</v>
      </c>
      <c r="Y26" s="19">
        <f>データファイル用!AN26</f>
        <v>0</v>
      </c>
      <c r="Z26" s="19">
        <f>データファイル用!AO26</f>
        <v>0</v>
      </c>
      <c r="AA26" s="19">
        <f>データファイル用!AP26</f>
        <v>0</v>
      </c>
      <c r="AB26" s="19">
        <f>データファイル用!AQ26</f>
        <v>0</v>
      </c>
      <c r="AC26" s="19">
        <f>データファイル用!AR26</f>
        <v>0</v>
      </c>
      <c r="AD26">
        <f t="shared" si="0"/>
        <v>1</v>
      </c>
      <c r="AE26" t="str">
        <f t="shared" si="1"/>
        <v>OK</v>
      </c>
    </row>
    <row r="27" spans="1:31">
      <c r="A27">
        <v>24</v>
      </c>
      <c r="B27" s="17" t="str">
        <f>データファイル用!$B27</f>
        <v>MEWS Regular Lime Stucco</v>
      </c>
      <c r="C27" s="20">
        <f>データファイル用!R27</f>
        <v>3</v>
      </c>
      <c r="D27" s="21">
        <f>データファイル用!S27</f>
        <v>2.1999999999999999E-2</v>
      </c>
      <c r="E27" s="24">
        <f>データファイル用!T27</f>
        <v>-19.219188440170136</v>
      </c>
      <c r="F27" s="19">
        <f>データファイル用!U27</f>
        <v>0</v>
      </c>
      <c r="G27" s="19">
        <f>データファイル用!V27</f>
        <v>0</v>
      </c>
      <c r="H27" s="19">
        <f>データファイル用!W27</f>
        <v>0</v>
      </c>
      <c r="I27" s="19">
        <f>データファイル用!X27</f>
        <v>0</v>
      </c>
      <c r="J27" s="19">
        <f>データファイル用!Y27</f>
        <v>0</v>
      </c>
      <c r="K27" s="19">
        <f>データファイル用!Z27</f>
        <v>0</v>
      </c>
      <c r="L27" s="20">
        <f>データファイル用!AA27</f>
        <v>2.1999999999999999E-2</v>
      </c>
      <c r="M27" s="17">
        <f>データファイル用!AB27</f>
        <v>0.12</v>
      </c>
      <c r="N27" s="19">
        <f>データファイル用!AC27</f>
        <v>-11.167</v>
      </c>
      <c r="O27" s="19">
        <f>データファイル用!AD27</f>
        <v>-697.1</v>
      </c>
      <c r="P27" s="19">
        <f>データファイル用!AE27</f>
        <v>20914</v>
      </c>
      <c r="Q27" s="19">
        <f>データファイル用!AF27</f>
        <v>-308270</v>
      </c>
      <c r="R27" s="19">
        <f>データファイル用!AG27</f>
        <v>2215600</v>
      </c>
      <c r="S27" s="19">
        <f>データファイル用!AH27</f>
        <v>-6094700</v>
      </c>
      <c r="T27" s="19">
        <f>データファイル用!AI27</f>
        <v>0</v>
      </c>
      <c r="U27" s="17">
        <f>データファイル用!AJ27</f>
        <v>0.12</v>
      </c>
      <c r="V27" s="21">
        <f>データファイル用!AK27</f>
        <v>0.16</v>
      </c>
      <c r="W27" s="18">
        <f>データファイル用!AL27</f>
        <v>-18.482556147670454</v>
      </c>
      <c r="X27" s="19">
        <f>データファイル用!AM27</f>
        <v>0</v>
      </c>
      <c r="Y27" s="19">
        <f>データファイル用!AN27</f>
        <v>0</v>
      </c>
      <c r="Z27" s="19">
        <f>データファイル用!AO27</f>
        <v>0</v>
      </c>
      <c r="AA27" s="19">
        <f>データファイル用!AP27</f>
        <v>0</v>
      </c>
      <c r="AB27" s="19">
        <f>データファイル用!AQ27</f>
        <v>0</v>
      </c>
      <c r="AC27" s="19">
        <f>データファイル用!AR27</f>
        <v>0</v>
      </c>
      <c r="AD27">
        <f t="shared" si="0"/>
        <v>0.16</v>
      </c>
      <c r="AE27" t="str">
        <f t="shared" si="1"/>
        <v>OK</v>
      </c>
    </row>
    <row r="28" spans="1:31">
      <c r="A28">
        <v>25</v>
      </c>
      <c r="B28" s="17" t="str">
        <f>データファイル用!$B28</f>
        <v>MEWS Regular Portland Stucco</v>
      </c>
      <c r="C28" s="20">
        <f>データファイル用!R28</f>
        <v>3</v>
      </c>
      <c r="D28" s="21">
        <f>データファイル用!S28</f>
        <v>5.0000000000000001E-3</v>
      </c>
      <c r="E28" s="24">
        <f>データファイル用!T28</f>
        <v>-20.460901572478921</v>
      </c>
      <c r="F28" s="19">
        <f>データファイル用!U28</f>
        <v>0</v>
      </c>
      <c r="G28" s="19">
        <f>データファイル用!V28</f>
        <v>0</v>
      </c>
      <c r="H28" s="19">
        <f>データファイル用!W28</f>
        <v>0</v>
      </c>
      <c r="I28" s="19">
        <f>データファイル用!X28</f>
        <v>0</v>
      </c>
      <c r="J28" s="19">
        <f>データファイル用!Y28</f>
        <v>0</v>
      </c>
      <c r="K28" s="19">
        <f>データファイル用!Z28</f>
        <v>0</v>
      </c>
      <c r="L28" s="20">
        <f>データファイル用!AA28</f>
        <v>5.0000000000000001E-3</v>
      </c>
      <c r="M28" s="17">
        <f>データファイル用!AB28</f>
        <v>4.2000000000000003E-2</v>
      </c>
      <c r="N28" s="19">
        <f>データファイル用!AC28</f>
        <v>-20.387</v>
      </c>
      <c r="O28" s="19">
        <f>データファイル用!AD28</f>
        <v>79.284000000000006</v>
      </c>
      <c r="P28" s="19">
        <f>データファイル用!AE28</f>
        <v>-31522</v>
      </c>
      <c r="Q28" s="19">
        <f>データファイル用!AF28</f>
        <v>2239700</v>
      </c>
      <c r="R28" s="19">
        <f>データファイル用!AG28</f>
        <v>-61521000</v>
      </c>
      <c r="S28" s="19">
        <f>データファイル用!AH28</f>
        <v>619720000</v>
      </c>
      <c r="T28" s="19">
        <f>データファイル用!AI28</f>
        <v>0</v>
      </c>
      <c r="U28" s="17">
        <f>データファイル用!AJ28</f>
        <v>4.2000000000000003E-2</v>
      </c>
      <c r="V28" s="21">
        <f>データファイル用!AK28</f>
        <v>0.12</v>
      </c>
      <c r="W28" s="18">
        <f>データファイル用!AL28</f>
        <v>-17.034386382832476</v>
      </c>
      <c r="X28" s="19">
        <f>データファイル用!AM28</f>
        <v>0</v>
      </c>
      <c r="Y28" s="19">
        <f>データファイル用!AN28</f>
        <v>0</v>
      </c>
      <c r="Z28" s="19">
        <f>データファイル用!AO28</f>
        <v>0</v>
      </c>
      <c r="AA28" s="19">
        <f>データファイル用!AP28</f>
        <v>0</v>
      </c>
      <c r="AB28" s="19">
        <f>データファイル用!AQ28</f>
        <v>0</v>
      </c>
      <c r="AC28" s="19">
        <f>データファイル用!AR28</f>
        <v>0</v>
      </c>
      <c r="AD28">
        <f t="shared" si="0"/>
        <v>0.12</v>
      </c>
      <c r="AE28" t="str">
        <f t="shared" si="1"/>
        <v>OK</v>
      </c>
    </row>
    <row r="29" spans="1:31">
      <c r="A29">
        <v>26</v>
      </c>
      <c r="B29" s="17" t="str">
        <f>データファイル用!$B29</f>
        <v>MEWS Acrylic Stucco</v>
      </c>
      <c r="C29" s="20">
        <f>データファイル用!R29</f>
        <v>3</v>
      </c>
      <c r="D29" s="21">
        <f>データファイル用!S29</f>
        <v>2.8E-3</v>
      </c>
      <c r="E29" s="24">
        <f>データファイル用!T29</f>
        <v>-19.658555099953983</v>
      </c>
      <c r="F29" s="19">
        <f>データファイル用!U29</f>
        <v>0</v>
      </c>
      <c r="G29" s="19">
        <f>データファイル用!V29</f>
        <v>0</v>
      </c>
      <c r="H29" s="19">
        <f>データファイル用!W29</f>
        <v>0</v>
      </c>
      <c r="I29" s="19">
        <f>データファイル用!X29</f>
        <v>0</v>
      </c>
      <c r="J29" s="19">
        <f>データファイル用!Y29</f>
        <v>0</v>
      </c>
      <c r="K29" s="19">
        <f>データファイル用!Z29</f>
        <v>0</v>
      </c>
      <c r="L29" s="20">
        <f>データファイル用!AA29</f>
        <v>2.8E-3</v>
      </c>
      <c r="M29" s="17">
        <f>データファイル用!AB29</f>
        <v>4.3999999999999997E-2</v>
      </c>
      <c r="N29" s="19">
        <f>データファイル用!AC29</f>
        <v>-19.225000000000001</v>
      </c>
      <c r="O29" s="19">
        <f>データファイル用!AD29</f>
        <v>-171.99</v>
      </c>
      <c r="P29" s="19">
        <f>データファイル用!AE29</f>
        <v>3713.3</v>
      </c>
      <c r="Q29" s="19">
        <f>データファイル用!AF29</f>
        <v>88457</v>
      </c>
      <c r="R29" s="19">
        <f>データファイル用!AG29</f>
        <v>-4280600</v>
      </c>
      <c r="S29" s="19">
        <f>データファイル用!AH29</f>
        <v>49819000</v>
      </c>
      <c r="T29" s="19">
        <f>データファイル用!AI29</f>
        <v>0</v>
      </c>
      <c r="U29" s="17">
        <f>データファイル用!AJ29</f>
        <v>4.3999999999999997E-2</v>
      </c>
      <c r="V29" s="21">
        <f>データファイル用!AK29</f>
        <v>0.16</v>
      </c>
      <c r="W29" s="18">
        <f>データファイル用!AL29</f>
        <v>-19.890356714011308</v>
      </c>
      <c r="X29" s="19">
        <f>データファイル用!AM29</f>
        <v>0</v>
      </c>
      <c r="Y29" s="19">
        <f>データファイル用!AN29</f>
        <v>0</v>
      </c>
      <c r="Z29" s="19">
        <f>データファイル用!AO29</f>
        <v>0</v>
      </c>
      <c r="AA29" s="19">
        <f>データファイル用!AP29</f>
        <v>0</v>
      </c>
      <c r="AB29" s="19">
        <f>データファイル用!AQ29</f>
        <v>0</v>
      </c>
      <c r="AC29" s="19">
        <f>データファイル用!AR29</f>
        <v>0</v>
      </c>
      <c r="AD29">
        <f t="shared" si="0"/>
        <v>0.16</v>
      </c>
      <c r="AE29" t="str">
        <f t="shared" si="1"/>
        <v>OK</v>
      </c>
    </row>
    <row r="30" spans="1:31">
      <c r="A30">
        <v>27</v>
      </c>
      <c r="B30" s="17" t="str">
        <f>データファイル用!$B30</f>
        <v>MEWS Fibreboard I - Paper Facer</v>
      </c>
      <c r="C30" s="20">
        <f>データファイル用!R30</f>
        <v>4</v>
      </c>
      <c r="D30" s="21">
        <f>データファイル用!S30</f>
        <v>0.11</v>
      </c>
      <c r="E30" s="24">
        <f>データファイル用!T30</f>
        <v>-19.890356714011308</v>
      </c>
      <c r="F30" s="19">
        <f>データファイル用!U30</f>
        <v>0</v>
      </c>
      <c r="G30" s="19">
        <f>データファイル用!V30</f>
        <v>0</v>
      </c>
      <c r="H30" s="19">
        <f>データファイル用!W30</f>
        <v>0</v>
      </c>
      <c r="I30" s="19">
        <f>データファイル用!X30</f>
        <v>0</v>
      </c>
      <c r="J30" s="19">
        <f>データファイル用!Y30</f>
        <v>0</v>
      </c>
      <c r="K30" s="19">
        <f>データファイル用!Z30</f>
        <v>0</v>
      </c>
      <c r="L30" s="20">
        <f>データファイル用!AA30</f>
        <v>0.11</v>
      </c>
      <c r="M30" s="17">
        <f>データファイル用!AB30</f>
        <v>0.32</v>
      </c>
      <c r="N30" s="19">
        <f>データファイル用!AC30</f>
        <v>5.6967999999999996</v>
      </c>
      <c r="O30" s="19">
        <f>データファイル用!AD30</f>
        <v>-677.38</v>
      </c>
      <c r="P30" s="19">
        <f>データファイル用!AE30</f>
        <v>6968.5</v>
      </c>
      <c r="Q30" s="19">
        <f>データファイル用!AF30</f>
        <v>-35046</v>
      </c>
      <c r="R30" s="19">
        <f>データファイル用!AG30</f>
        <v>85320</v>
      </c>
      <c r="S30" s="19">
        <f>データファイル用!AH30</f>
        <v>-79720</v>
      </c>
      <c r="T30" s="19">
        <f>データファイル用!AI30</f>
        <v>0</v>
      </c>
      <c r="U30" s="17">
        <f>データファイル用!AJ30</f>
        <v>0.32</v>
      </c>
      <c r="V30" s="21">
        <f>データファイル用!AK30</f>
        <v>0.53</v>
      </c>
      <c r="W30" s="18">
        <f>データファイル用!AL30</f>
        <v>124.47</v>
      </c>
      <c r="X30" s="19">
        <f>データファイル用!AM30</f>
        <v>-1250</v>
      </c>
      <c r="Y30" s="19">
        <f>データファイル用!AN30</f>
        <v>4080.2</v>
      </c>
      <c r="Z30" s="19">
        <f>データファイル用!AO30</f>
        <v>-5961</v>
      </c>
      <c r="AA30" s="19">
        <f>データファイル用!AP30</f>
        <v>3265.1</v>
      </c>
      <c r="AB30" s="19">
        <f>データファイル用!AQ30</f>
        <v>0</v>
      </c>
      <c r="AC30" s="19">
        <f>データファイル用!AR30</f>
        <v>0</v>
      </c>
      <c r="AD30">
        <f t="shared" si="0"/>
        <v>0.53</v>
      </c>
      <c r="AE30" t="str">
        <f t="shared" si="1"/>
        <v>OK</v>
      </c>
    </row>
    <row r="31" spans="1:31">
      <c r="A31">
        <v>28</v>
      </c>
      <c r="B31" s="17" t="str">
        <f>データファイル用!$B31</f>
        <v>MEWS Fibreboard II - Plain</v>
      </c>
      <c r="C31" s="20">
        <f>データファイル用!R31</f>
        <v>3</v>
      </c>
      <c r="D31" s="21">
        <f>データファイル用!S31</f>
        <v>0.12</v>
      </c>
      <c r="E31" s="24">
        <f>データファイル用!T31</f>
        <v>-20.192637585884242</v>
      </c>
      <c r="F31" s="19">
        <f>データファイル用!U31</f>
        <v>0</v>
      </c>
      <c r="G31" s="19">
        <f>データファイル用!V31</f>
        <v>0</v>
      </c>
      <c r="H31" s="19">
        <f>データファイル用!W31</f>
        <v>0</v>
      </c>
      <c r="I31" s="19">
        <f>データファイル用!X31</f>
        <v>0</v>
      </c>
      <c r="J31" s="19">
        <f>データファイル用!Y31</f>
        <v>0</v>
      </c>
      <c r="K31" s="19">
        <f>データファイル用!Z31</f>
        <v>0</v>
      </c>
      <c r="L31" s="20">
        <f>データファイル用!AA31</f>
        <v>0.12</v>
      </c>
      <c r="M31" s="17">
        <f>データファイル用!AB31</f>
        <v>2.2000000000000002</v>
      </c>
      <c r="N31" s="19">
        <f>データファイル用!AC31</f>
        <v>-17.719000000000001</v>
      </c>
      <c r="O31" s="19">
        <f>データファイル用!AD31</f>
        <v>-32.414999999999999</v>
      </c>
      <c r="P31" s="19">
        <f>データファイル用!AE31</f>
        <v>81.965999999999994</v>
      </c>
      <c r="Q31" s="19">
        <f>データファイル用!AF31</f>
        <v>-102.68</v>
      </c>
      <c r="R31" s="19">
        <f>データファイル用!AG31</f>
        <v>67.745000000000005</v>
      </c>
      <c r="S31" s="19">
        <f>データファイル用!AH31</f>
        <v>-22.428999999999998</v>
      </c>
      <c r="T31" s="19">
        <f>データファイル用!AI31</f>
        <v>2.9371999999999998</v>
      </c>
      <c r="U31" s="17">
        <f>データファイル用!AJ31</f>
        <v>2.2000000000000002</v>
      </c>
      <c r="V31" s="21">
        <f>データファイル用!AK31</f>
        <v>3.2</v>
      </c>
      <c r="W31" s="18">
        <f>データファイル用!AL31</f>
        <v>-21.664874376804857</v>
      </c>
      <c r="X31" s="19">
        <f>データファイル用!AM31</f>
        <v>0</v>
      </c>
      <c r="Y31" s="19">
        <f>データファイル用!AN31</f>
        <v>0</v>
      </c>
      <c r="Z31" s="19">
        <f>データファイル用!AO31</f>
        <v>0</v>
      </c>
      <c r="AA31" s="19">
        <f>データファイル用!AP31</f>
        <v>0</v>
      </c>
      <c r="AB31" s="19">
        <f>データファイル用!AQ31</f>
        <v>0</v>
      </c>
      <c r="AC31" s="19">
        <f>データファイル用!AR31</f>
        <v>0</v>
      </c>
      <c r="AD31">
        <f t="shared" si="0"/>
        <v>3.2</v>
      </c>
      <c r="AE31" t="str">
        <f t="shared" si="1"/>
        <v>OK</v>
      </c>
    </row>
    <row r="32" spans="1:31">
      <c r="A32">
        <v>29</v>
      </c>
      <c r="B32" s="17" t="str">
        <f>データファイル用!$B32</f>
        <v>MEWS Fibreboard III - Foil Facer</v>
      </c>
      <c r="C32" s="20">
        <f>データファイル用!R32</f>
        <v>0</v>
      </c>
      <c r="D32" s="21">
        <f>データファイル用!S32</f>
        <v>0</v>
      </c>
      <c r="E32" s="24">
        <f>データファイル用!T32</f>
        <v>-18.325370564148042</v>
      </c>
      <c r="F32" s="19">
        <f>データファイル用!U32</f>
        <v>0</v>
      </c>
      <c r="G32" s="19">
        <f>データファイル用!V32</f>
        <v>0</v>
      </c>
      <c r="H32" s="19">
        <f>データファイル用!W32</f>
        <v>0</v>
      </c>
      <c r="I32" s="19">
        <f>データファイル用!X32</f>
        <v>0</v>
      </c>
      <c r="J32" s="19">
        <f>データファイル用!Y32</f>
        <v>0</v>
      </c>
      <c r="K32" s="19">
        <f>データファイル用!Z32</f>
        <v>0</v>
      </c>
      <c r="L32" s="20">
        <f>データファイル用!AA32</f>
        <v>0</v>
      </c>
      <c r="M32" s="17">
        <f>データファイル用!AB32</f>
        <v>0</v>
      </c>
      <c r="N32" s="19">
        <f>データファイル用!AC32</f>
        <v>0</v>
      </c>
      <c r="O32" s="19">
        <f>データファイル用!AD32</f>
        <v>0</v>
      </c>
      <c r="P32" s="19">
        <f>データファイル用!AE32</f>
        <v>0</v>
      </c>
      <c r="Q32" s="19">
        <f>データファイル用!AF32</f>
        <v>0</v>
      </c>
      <c r="R32" s="19">
        <f>データファイル用!AG32</f>
        <v>0</v>
      </c>
      <c r="S32" s="19">
        <f>データファイル用!AH32</f>
        <v>0</v>
      </c>
      <c r="T32" s="19">
        <f>データファイル用!AI32</f>
        <v>0</v>
      </c>
      <c r="U32" s="17">
        <f>データファイル用!AJ32</f>
        <v>0</v>
      </c>
      <c r="V32" s="21">
        <f>データファイル用!AK32</f>
        <v>0</v>
      </c>
      <c r="W32" s="18">
        <f>データファイル用!AL32</f>
        <v>0</v>
      </c>
      <c r="X32" s="19">
        <f>データファイル用!AM32</f>
        <v>0</v>
      </c>
      <c r="Y32" s="19">
        <f>データファイル用!AN32</f>
        <v>0</v>
      </c>
      <c r="Z32" s="19">
        <f>データファイル用!AO32</f>
        <v>0</v>
      </c>
      <c r="AA32" s="19">
        <f>データファイル用!AP32</f>
        <v>0</v>
      </c>
      <c r="AB32" s="19">
        <f>データファイル用!AQ32</f>
        <v>0</v>
      </c>
      <c r="AC32" s="19">
        <f>データファイル用!AR32</f>
        <v>0</v>
      </c>
      <c r="AD32">
        <f t="shared" si="0"/>
        <v>1</v>
      </c>
      <c r="AE32" t="str">
        <f t="shared" si="1"/>
        <v>OK</v>
      </c>
    </row>
    <row r="33" spans="1:31">
      <c r="A33">
        <v>30</v>
      </c>
      <c r="B33" s="17" t="str">
        <f>データファイル用!$B33</f>
        <v>MEWS Fibreboard IV - Plain</v>
      </c>
      <c r="C33" s="20">
        <f>データファイル用!R33</f>
        <v>3</v>
      </c>
      <c r="D33" s="21">
        <f>データファイル用!S33</f>
        <v>0.13</v>
      </c>
      <c r="E33" s="24">
        <f>データファイル用!T33</f>
        <v>-18.325370564148042</v>
      </c>
      <c r="F33" s="19">
        <f>データファイル用!U33</f>
        <v>0</v>
      </c>
      <c r="G33" s="19">
        <f>データファイル用!V33</f>
        <v>0</v>
      </c>
      <c r="H33" s="19">
        <f>データファイル用!W33</f>
        <v>0</v>
      </c>
      <c r="I33" s="19">
        <f>データファイル用!X33</f>
        <v>0</v>
      </c>
      <c r="J33" s="19">
        <f>データファイル用!Y33</f>
        <v>0</v>
      </c>
      <c r="K33" s="19">
        <f>データファイル用!Z33</f>
        <v>0</v>
      </c>
      <c r="L33" s="20">
        <f>データファイル用!AA33</f>
        <v>0.13</v>
      </c>
      <c r="M33" s="17">
        <f>データファイル用!AB33</f>
        <v>1.7</v>
      </c>
      <c r="N33" s="19">
        <f>データファイル用!AC33</f>
        <v>-17.846</v>
      </c>
      <c r="O33" s="19">
        <f>データファイル用!AD33</f>
        <v>-13.707000000000001</v>
      </c>
      <c r="P33" s="19">
        <f>データファイル用!AE33</f>
        <v>22.207000000000001</v>
      </c>
      <c r="Q33" s="19">
        <f>データファイル用!AF33</f>
        <v>-20.134</v>
      </c>
      <c r="R33" s="19">
        <f>データファイル用!AG33</f>
        <v>9.2232000000000003</v>
      </c>
      <c r="S33" s="19">
        <f>データファイル用!AH33</f>
        <v>-1.6609</v>
      </c>
      <c r="T33" s="19">
        <f>データファイル用!AI33</f>
        <v>0</v>
      </c>
      <c r="U33" s="17">
        <f>データファイル用!AJ33</f>
        <v>1.7</v>
      </c>
      <c r="V33" s="21">
        <f>データファイル用!AK33</f>
        <v>4.4000000000000004</v>
      </c>
      <c r="W33" s="18">
        <f>データファイル用!AL33</f>
        <v>-22.438064265038339</v>
      </c>
      <c r="X33" s="19">
        <f>データファイル用!AM33</f>
        <v>0</v>
      </c>
      <c r="Y33" s="19">
        <f>データファイル用!AN33</f>
        <v>0</v>
      </c>
      <c r="Z33" s="19">
        <f>データファイル用!AO33</f>
        <v>0</v>
      </c>
      <c r="AA33" s="19">
        <f>データファイル用!AP33</f>
        <v>0</v>
      </c>
      <c r="AB33" s="19">
        <f>データファイル用!AQ33</f>
        <v>0</v>
      </c>
      <c r="AC33" s="19">
        <f>データファイル用!AR33</f>
        <v>0</v>
      </c>
      <c r="AD33">
        <f t="shared" si="0"/>
        <v>4.4000000000000004</v>
      </c>
      <c r="AE33" t="str">
        <f t="shared" si="1"/>
        <v>OK</v>
      </c>
    </row>
    <row r="34" spans="1:31">
      <c r="A34">
        <v>31</v>
      </c>
      <c r="B34" s="17" t="str">
        <f>データファイル用!$B34</f>
        <v>MEWS Fibreboard V - Black Coat</v>
      </c>
      <c r="C34" s="20">
        <f>データファイル用!R34</f>
        <v>3</v>
      </c>
      <c r="D34" s="21">
        <f>データファイル用!S34</f>
        <v>0.11</v>
      </c>
      <c r="E34" s="24">
        <f>データファイル用!T34</f>
        <v>-18.451139951437074</v>
      </c>
      <c r="F34" s="19">
        <f>データファイル用!U34</f>
        <v>0</v>
      </c>
      <c r="G34" s="19">
        <f>データファイル用!V34</f>
        <v>0</v>
      </c>
      <c r="H34" s="19">
        <f>データファイル用!W34</f>
        <v>0</v>
      </c>
      <c r="I34" s="19">
        <f>データファイル用!X34</f>
        <v>0</v>
      </c>
      <c r="J34" s="19">
        <f>データファイル用!Y34</f>
        <v>0</v>
      </c>
      <c r="K34" s="19">
        <f>データファイル用!Z34</f>
        <v>0</v>
      </c>
      <c r="L34" s="20">
        <f>データファイル用!AA34</f>
        <v>0.11</v>
      </c>
      <c r="M34" s="17">
        <f>データファイル用!AB34</f>
        <v>0.33</v>
      </c>
      <c r="N34" s="19">
        <f>データファイル用!AC34</f>
        <v>-15.279</v>
      </c>
      <c r="O34" s="19">
        <f>データファイル用!AD34</f>
        <v>-18.481999999999999</v>
      </c>
      <c r="P34" s="19">
        <f>データファイル用!AE34</f>
        <v>-121.22</v>
      </c>
      <c r="Q34" s="19">
        <f>データファイル用!AF34</f>
        <v>622.49</v>
      </c>
      <c r="R34" s="19">
        <f>データファイル用!AG34</f>
        <v>-805.21</v>
      </c>
      <c r="S34" s="19">
        <f>データファイル用!AH34</f>
        <v>0</v>
      </c>
      <c r="T34" s="19">
        <f>データファイル用!AI34</f>
        <v>0</v>
      </c>
      <c r="U34" s="17">
        <f>データファイル用!AJ34</f>
        <v>0.33</v>
      </c>
      <c r="V34" s="21">
        <f>データファイル用!AK34</f>
        <v>4.4000000000000004</v>
      </c>
      <c r="W34" s="18">
        <f>データファイル用!AL34</f>
        <v>-21.773087961445089</v>
      </c>
      <c r="X34" s="19">
        <f>データファイル用!AM34</f>
        <v>0</v>
      </c>
      <c r="Y34" s="19">
        <f>データファイル用!AN34</f>
        <v>0</v>
      </c>
      <c r="Z34" s="19">
        <f>データファイル用!AO34</f>
        <v>0</v>
      </c>
      <c r="AA34" s="19">
        <f>データファイル用!AP34</f>
        <v>0</v>
      </c>
      <c r="AB34" s="19">
        <f>データファイル用!AQ34</f>
        <v>0</v>
      </c>
      <c r="AC34" s="19">
        <f>データファイル用!AR34</f>
        <v>0</v>
      </c>
      <c r="AD34">
        <f t="shared" si="0"/>
        <v>4.4000000000000004</v>
      </c>
      <c r="AE34" t="str">
        <f t="shared" si="1"/>
        <v>OK</v>
      </c>
    </row>
    <row r="35" spans="1:31">
      <c r="A35">
        <v>32</v>
      </c>
      <c r="B35" s="17" t="str">
        <f>データファイル用!$B35</f>
        <v>MEWS Fibreboard VI - Black Coat</v>
      </c>
      <c r="C35" s="20">
        <f>データファイル用!R35</f>
        <v>3</v>
      </c>
      <c r="D35" s="21">
        <f>データファイル用!S35</f>
        <v>0.11</v>
      </c>
      <c r="E35" s="24">
        <f>データファイル用!T35</f>
        <v>-17.322068455284256</v>
      </c>
      <c r="F35" s="19">
        <f>データファイル用!U35</f>
        <v>0</v>
      </c>
      <c r="G35" s="19">
        <f>データファイル用!V35</f>
        <v>0</v>
      </c>
      <c r="H35" s="19">
        <f>データファイル用!W35</f>
        <v>0</v>
      </c>
      <c r="I35" s="19">
        <f>データファイル用!X35</f>
        <v>0</v>
      </c>
      <c r="J35" s="19">
        <f>データファイル用!Y35</f>
        <v>0</v>
      </c>
      <c r="K35" s="19">
        <f>データファイル用!Z35</f>
        <v>0</v>
      </c>
      <c r="L35" s="20">
        <f>データファイル用!AA35</f>
        <v>0.11</v>
      </c>
      <c r="M35" s="17">
        <f>データファイル用!AB35</f>
        <v>0.56999999999999995</v>
      </c>
      <c r="N35" s="19">
        <f>データファイル用!AC35</f>
        <v>-15.784000000000001</v>
      </c>
      <c r="O35" s="19">
        <f>データファイル用!AD35</f>
        <v>-15.452999999999999</v>
      </c>
      <c r="P35" s="19">
        <f>データファイル用!AE35</f>
        <v>10.661</v>
      </c>
      <c r="Q35" s="19">
        <f>データファイル用!AF35</f>
        <v>0</v>
      </c>
      <c r="R35" s="19">
        <f>データファイル用!AG35</f>
        <v>0</v>
      </c>
      <c r="S35" s="19">
        <f>データファイル用!AH35</f>
        <v>0</v>
      </c>
      <c r="T35" s="19">
        <f>データファイル用!AI35</f>
        <v>0</v>
      </c>
      <c r="U35" s="17">
        <f>データファイル用!AJ35</f>
        <v>0.56999999999999995</v>
      </c>
      <c r="V35" s="21">
        <f>データファイル用!AK35</f>
        <v>3.7</v>
      </c>
      <c r="W35" s="18">
        <f>データファイル用!AL35</f>
        <v>-21.185301296542971</v>
      </c>
      <c r="X35" s="19">
        <f>データファイル用!AM35</f>
        <v>0</v>
      </c>
      <c r="Y35" s="19">
        <f>データファイル用!AN35</f>
        <v>0</v>
      </c>
      <c r="Z35" s="19">
        <f>データファイル用!AO35</f>
        <v>0</v>
      </c>
      <c r="AA35" s="19">
        <f>データファイル用!AP35</f>
        <v>0</v>
      </c>
      <c r="AB35" s="19">
        <f>データファイル用!AQ35</f>
        <v>0</v>
      </c>
      <c r="AC35" s="19">
        <f>データファイル用!AR35</f>
        <v>0</v>
      </c>
      <c r="AD35">
        <f t="shared" si="0"/>
        <v>3.7</v>
      </c>
      <c r="AE35" t="str">
        <f t="shared" si="1"/>
        <v>OK</v>
      </c>
    </row>
    <row r="36" spans="1:31">
      <c r="A36">
        <v>33</v>
      </c>
      <c r="B36" s="17" t="str">
        <f>データファイル用!$B36</f>
        <v>MEWS Fibreboard VII - Black Coat</v>
      </c>
      <c r="C36" s="20">
        <f>データファイル用!R36</f>
        <v>0</v>
      </c>
      <c r="D36" s="21">
        <f>データファイル用!S36</f>
        <v>0</v>
      </c>
      <c r="E36" s="24">
        <f>データファイル用!T36</f>
        <v>11.512915464920228</v>
      </c>
      <c r="F36" s="19">
        <f>データファイル用!U36</f>
        <v>0</v>
      </c>
      <c r="G36" s="19">
        <f>データファイル用!V36</f>
        <v>0</v>
      </c>
      <c r="H36" s="19">
        <f>データファイル用!W36</f>
        <v>0</v>
      </c>
      <c r="I36" s="19">
        <f>データファイル用!X36</f>
        <v>0</v>
      </c>
      <c r="J36" s="19">
        <f>データファイル用!Y36</f>
        <v>0</v>
      </c>
      <c r="K36" s="19">
        <f>データファイル用!Z36</f>
        <v>0</v>
      </c>
      <c r="L36" s="20">
        <f>データファイル用!AA36</f>
        <v>0</v>
      </c>
      <c r="M36" s="17">
        <f>データファイル用!AB36</f>
        <v>0</v>
      </c>
      <c r="N36" s="19">
        <f>データファイル用!AC36</f>
        <v>0</v>
      </c>
      <c r="O36" s="19">
        <f>データファイル用!AD36</f>
        <v>0</v>
      </c>
      <c r="P36" s="19">
        <f>データファイル用!AE36</f>
        <v>0</v>
      </c>
      <c r="Q36" s="19">
        <f>データファイル用!AF36</f>
        <v>0</v>
      </c>
      <c r="R36" s="19">
        <f>データファイル用!AG36</f>
        <v>0</v>
      </c>
      <c r="S36" s="19">
        <f>データファイル用!AH36</f>
        <v>0</v>
      </c>
      <c r="T36" s="19">
        <f>データファイル用!AI36</f>
        <v>0</v>
      </c>
      <c r="U36" s="17">
        <f>データファイル用!AJ36</f>
        <v>0</v>
      </c>
      <c r="V36" s="21">
        <f>データファイル用!AK36</f>
        <v>0</v>
      </c>
      <c r="W36" s="18">
        <f>データファイル用!AL36</f>
        <v>0</v>
      </c>
      <c r="X36" s="19">
        <f>データファイル用!AM36</f>
        <v>0</v>
      </c>
      <c r="Y36" s="19">
        <f>データファイル用!AN36</f>
        <v>0</v>
      </c>
      <c r="Z36" s="19">
        <f>データファイル用!AO36</f>
        <v>0</v>
      </c>
      <c r="AA36" s="19">
        <f>データファイル用!AP36</f>
        <v>0</v>
      </c>
      <c r="AB36" s="19">
        <f>データファイル用!AQ36</f>
        <v>0</v>
      </c>
      <c r="AC36" s="19">
        <f>データファイル用!AR36</f>
        <v>0</v>
      </c>
      <c r="AD36">
        <f t="shared" si="0"/>
        <v>1</v>
      </c>
      <c r="AE36" t="str">
        <f t="shared" si="1"/>
        <v>OK</v>
      </c>
    </row>
    <row r="37" spans="1:31">
      <c r="A37">
        <v>34</v>
      </c>
      <c r="B37" s="17" t="str">
        <f>データファイル用!$B37</f>
        <v>MEWS Fibreboard VIII - Black Coat</v>
      </c>
      <c r="C37" s="20">
        <f>データファイル用!R37</f>
        <v>3</v>
      </c>
      <c r="D37" s="21">
        <f>データファイル用!S37</f>
        <v>9.1999999999999998E-2</v>
      </c>
      <c r="E37" s="24">
        <f>データファイル用!T37</f>
        <v>-16.894624440457317</v>
      </c>
      <c r="F37" s="19">
        <f>データファイル用!U37</f>
        <v>0</v>
      </c>
      <c r="G37" s="19">
        <f>データファイル用!V37</f>
        <v>0</v>
      </c>
      <c r="H37" s="19">
        <f>データファイル用!W37</f>
        <v>0</v>
      </c>
      <c r="I37" s="19">
        <f>データファイル用!X37</f>
        <v>0</v>
      </c>
      <c r="J37" s="19">
        <f>データファイル用!Y37</f>
        <v>0</v>
      </c>
      <c r="K37" s="19">
        <f>データファイル用!Z37</f>
        <v>0</v>
      </c>
      <c r="L37" s="20">
        <f>データファイル用!AA37</f>
        <v>9.1999999999999998E-2</v>
      </c>
      <c r="M37" s="17">
        <f>データファイル用!AB37</f>
        <v>0.31</v>
      </c>
      <c r="N37" s="19">
        <f>データファイル用!AC37</f>
        <v>-5.4878999999999998</v>
      </c>
      <c r="O37" s="19">
        <f>データファイル用!AD37</f>
        <v>-226.48</v>
      </c>
      <c r="P37" s="19">
        <f>データファイル用!AE37</f>
        <v>1435</v>
      </c>
      <c r="Q37" s="19">
        <f>データファイル用!AF37</f>
        <v>-4194.8999999999996</v>
      </c>
      <c r="R37" s="19">
        <f>データファイル用!AG37</f>
        <v>4580.5</v>
      </c>
      <c r="S37" s="19">
        <f>データファイル用!AH37</f>
        <v>0</v>
      </c>
      <c r="T37" s="19">
        <f>データファイル用!AI37</f>
        <v>0</v>
      </c>
      <c r="U37" s="17">
        <f>データファイル用!AJ37</f>
        <v>0.31</v>
      </c>
      <c r="V37" s="21">
        <f>データファイル用!AK37</f>
        <v>3.1</v>
      </c>
      <c r="W37" s="18">
        <f>データファイル用!AL37</f>
        <v>-20.540944280152456</v>
      </c>
      <c r="X37" s="19">
        <f>データファイル用!AM37</f>
        <v>0</v>
      </c>
      <c r="Y37" s="19">
        <f>データファイル用!AN37</f>
        <v>0</v>
      </c>
      <c r="Z37" s="19">
        <f>データファイル用!AO37</f>
        <v>0</v>
      </c>
      <c r="AA37" s="19">
        <f>データファイル用!AP37</f>
        <v>0</v>
      </c>
      <c r="AB37" s="19">
        <f>データファイル用!AQ37</f>
        <v>0</v>
      </c>
      <c r="AC37" s="19">
        <f>データファイル用!AR37</f>
        <v>0</v>
      </c>
      <c r="AD37">
        <f t="shared" si="0"/>
        <v>3.1</v>
      </c>
      <c r="AE37" t="str">
        <f t="shared" si="1"/>
        <v>OK</v>
      </c>
    </row>
    <row r="38" spans="1:31">
      <c r="A38">
        <v>35</v>
      </c>
      <c r="B38" s="17" t="str">
        <f>データファイル用!$B38</f>
        <v>MEWS Siding I - OSB</v>
      </c>
      <c r="C38" s="20">
        <f>データファイル用!R38</f>
        <v>0</v>
      </c>
      <c r="D38" s="21">
        <f>データファイル用!S38</f>
        <v>0</v>
      </c>
      <c r="E38" s="24">
        <f>データファイル用!T38</f>
        <v>-36.841361487904734</v>
      </c>
      <c r="F38" s="19">
        <f>データファイル用!U38</f>
        <v>0</v>
      </c>
      <c r="G38" s="19">
        <f>データファイル用!V38</f>
        <v>0</v>
      </c>
      <c r="H38" s="19">
        <f>データファイル用!W38</f>
        <v>0</v>
      </c>
      <c r="I38" s="19">
        <f>データファイル用!X38</f>
        <v>0</v>
      </c>
      <c r="J38" s="19">
        <f>データファイル用!Y38</f>
        <v>0</v>
      </c>
      <c r="K38" s="19">
        <f>データファイル用!Z38</f>
        <v>0</v>
      </c>
      <c r="L38" s="20">
        <f>データファイル用!AA38</f>
        <v>0</v>
      </c>
      <c r="M38" s="17">
        <f>データファイル用!AB38</f>
        <v>0</v>
      </c>
      <c r="N38" s="19">
        <f>データファイル用!AC38</f>
        <v>0</v>
      </c>
      <c r="O38" s="19">
        <f>データファイル用!AD38</f>
        <v>0</v>
      </c>
      <c r="P38" s="19">
        <f>データファイル用!AE38</f>
        <v>0</v>
      </c>
      <c r="Q38" s="19">
        <f>データファイル用!AF38</f>
        <v>0</v>
      </c>
      <c r="R38" s="19">
        <f>データファイル用!AG38</f>
        <v>0</v>
      </c>
      <c r="S38" s="19">
        <f>データファイル用!AH38</f>
        <v>0</v>
      </c>
      <c r="T38" s="19">
        <f>データファイル用!AI38</f>
        <v>0</v>
      </c>
      <c r="U38" s="17">
        <f>データファイル用!AJ38</f>
        <v>0</v>
      </c>
      <c r="V38" s="21">
        <f>データファイル用!AK38</f>
        <v>0</v>
      </c>
      <c r="W38" s="18">
        <f>データファイル用!AL38</f>
        <v>0</v>
      </c>
      <c r="X38" s="19">
        <f>データファイル用!AM38</f>
        <v>0</v>
      </c>
      <c r="Y38" s="19">
        <f>データファイル用!AN38</f>
        <v>0</v>
      </c>
      <c r="Z38" s="19">
        <f>データファイル用!AO38</f>
        <v>0</v>
      </c>
      <c r="AA38" s="19">
        <f>データファイル用!AP38</f>
        <v>0</v>
      </c>
      <c r="AB38" s="19">
        <f>データファイル用!AQ38</f>
        <v>0</v>
      </c>
      <c r="AC38" s="19">
        <f>データファイル用!AR38</f>
        <v>0</v>
      </c>
      <c r="AD38">
        <f t="shared" si="0"/>
        <v>1</v>
      </c>
      <c r="AE38" t="str">
        <f t="shared" si="1"/>
        <v>OK</v>
      </c>
    </row>
    <row r="39" spans="1:31">
      <c r="A39">
        <v>36</v>
      </c>
      <c r="B39" s="17" t="str">
        <f>データファイル用!$B39</f>
        <v>MEWS Siding II - Plywood</v>
      </c>
      <c r="C39" s="20">
        <f>データファイル用!R39</f>
        <v>3</v>
      </c>
      <c r="D39" s="21">
        <f>データファイル用!S39</f>
        <v>0.05</v>
      </c>
      <c r="E39" s="24">
        <f>データファイル用!T39</f>
        <v>-18.084208507331152</v>
      </c>
      <c r="F39" s="19">
        <f>データファイル用!U39</f>
        <v>0</v>
      </c>
      <c r="G39" s="19">
        <f>データファイル用!V39</f>
        <v>0</v>
      </c>
      <c r="H39" s="19">
        <f>データファイル用!W39</f>
        <v>0</v>
      </c>
      <c r="I39" s="19">
        <f>データファイル用!X39</f>
        <v>0</v>
      </c>
      <c r="J39" s="19">
        <f>データファイル用!Y39</f>
        <v>0</v>
      </c>
      <c r="K39" s="19">
        <f>データファイル用!Z39</f>
        <v>0</v>
      </c>
      <c r="L39" s="20">
        <f>データファイル用!AA39</f>
        <v>0.05</v>
      </c>
      <c r="M39" s="17">
        <f>データファイル用!AB39</f>
        <v>0.83</v>
      </c>
      <c r="N39" s="19">
        <f>データファイル用!AC39</f>
        <v>-14.663</v>
      </c>
      <c r="O39" s="19">
        <f>データファイル用!AD39</f>
        <v>-94.11</v>
      </c>
      <c r="P39" s="19">
        <f>データファイル用!AE39</f>
        <v>625.11</v>
      </c>
      <c r="Q39" s="19">
        <f>データファイル用!AF39</f>
        <v>-2162.9</v>
      </c>
      <c r="R39" s="19">
        <f>データファイル用!AG39</f>
        <v>4066</v>
      </c>
      <c r="S39" s="19">
        <f>データファイル用!AH39</f>
        <v>-3921.8</v>
      </c>
      <c r="T39" s="19">
        <f>データファイル用!AI39</f>
        <v>1504.8</v>
      </c>
      <c r="U39" s="17">
        <f>データファイル用!AJ39</f>
        <v>0.83</v>
      </c>
      <c r="V39" s="21">
        <f>データファイル用!AK39</f>
        <v>1</v>
      </c>
      <c r="W39" s="18">
        <f>データファイル用!AL39</f>
        <v>-22.070339484913021</v>
      </c>
      <c r="X39" s="19">
        <f>データファイル用!AM39</f>
        <v>0</v>
      </c>
      <c r="Y39" s="19">
        <f>データファイル用!AN39</f>
        <v>0</v>
      </c>
      <c r="Z39" s="19">
        <f>データファイル用!AO39</f>
        <v>0</v>
      </c>
      <c r="AA39" s="19">
        <f>データファイル用!AP39</f>
        <v>0</v>
      </c>
      <c r="AB39" s="19">
        <f>データファイル用!AQ39</f>
        <v>0</v>
      </c>
      <c r="AC39" s="19">
        <f>データファイル用!AR39</f>
        <v>0</v>
      </c>
      <c r="AD39">
        <f t="shared" si="0"/>
        <v>1</v>
      </c>
      <c r="AE39" t="str">
        <f t="shared" si="1"/>
        <v>OK</v>
      </c>
    </row>
    <row r="40" spans="1:31">
      <c r="A40">
        <v>37</v>
      </c>
      <c r="B40" s="17" t="str">
        <f>データファイル用!$B40</f>
        <v>MEWS Siding III - Fibreboard</v>
      </c>
      <c r="C40" s="20">
        <f>データファイル用!R40</f>
        <v>0</v>
      </c>
      <c r="D40" s="21">
        <f>データファイル用!S40</f>
        <v>0</v>
      </c>
      <c r="E40" s="24">
        <f>データファイル用!T40</f>
        <v>-36.841361487904734</v>
      </c>
      <c r="F40" s="19">
        <f>データファイル用!U40</f>
        <v>0</v>
      </c>
      <c r="G40" s="19">
        <f>データファイル用!V40</f>
        <v>0</v>
      </c>
      <c r="H40" s="19">
        <f>データファイル用!W40</f>
        <v>0</v>
      </c>
      <c r="I40" s="19">
        <f>データファイル用!X40</f>
        <v>0</v>
      </c>
      <c r="J40" s="19">
        <f>データファイル用!Y40</f>
        <v>0</v>
      </c>
      <c r="K40" s="19">
        <f>データファイル用!Z40</f>
        <v>0</v>
      </c>
      <c r="L40" s="20">
        <f>データファイル用!AA40</f>
        <v>0</v>
      </c>
      <c r="M40" s="17">
        <f>データファイル用!AB40</f>
        <v>0</v>
      </c>
      <c r="N40" s="19">
        <f>データファイル用!AC40</f>
        <v>0</v>
      </c>
      <c r="O40" s="19">
        <f>データファイル用!AD40</f>
        <v>0</v>
      </c>
      <c r="P40" s="19">
        <f>データファイル用!AE40</f>
        <v>0</v>
      </c>
      <c r="Q40" s="19">
        <f>データファイル用!AF40</f>
        <v>0</v>
      </c>
      <c r="R40" s="19">
        <f>データファイル用!AG40</f>
        <v>0</v>
      </c>
      <c r="S40" s="19">
        <f>データファイル用!AH40</f>
        <v>0</v>
      </c>
      <c r="T40" s="19">
        <f>データファイル用!AI40</f>
        <v>0</v>
      </c>
      <c r="U40" s="17">
        <f>データファイル用!AJ40</f>
        <v>0</v>
      </c>
      <c r="V40" s="21">
        <f>データファイル用!AK40</f>
        <v>0</v>
      </c>
      <c r="W40" s="18">
        <f>データファイル用!AL40</f>
        <v>0</v>
      </c>
      <c r="X40" s="19">
        <f>データファイル用!AM40</f>
        <v>0</v>
      </c>
      <c r="Y40" s="19">
        <f>データファイル用!AN40</f>
        <v>0</v>
      </c>
      <c r="Z40" s="19">
        <f>データファイル用!AO40</f>
        <v>0</v>
      </c>
      <c r="AA40" s="19">
        <f>データファイル用!AP40</f>
        <v>0</v>
      </c>
      <c r="AB40" s="19">
        <f>データファイル用!AQ40</f>
        <v>0</v>
      </c>
      <c r="AC40" s="19">
        <f>データファイル用!AR40</f>
        <v>0</v>
      </c>
      <c r="AD40">
        <f t="shared" si="0"/>
        <v>1</v>
      </c>
      <c r="AE40" t="str">
        <f t="shared" si="1"/>
        <v>OK</v>
      </c>
    </row>
    <row r="41" spans="1:31">
      <c r="A41">
        <v>38</v>
      </c>
      <c r="B41" s="17" t="str">
        <f>データファイル用!$B41</f>
        <v>MEWS Siding IV - Fibreboard</v>
      </c>
      <c r="C41" s="20">
        <f>データファイル用!R41</f>
        <v>3</v>
      </c>
      <c r="D41" s="21">
        <f>データファイル用!S41</f>
        <v>3.3000000000000002E-2</v>
      </c>
      <c r="E41" s="24">
        <f>データファイル用!T41</f>
        <v>-19.693646419765251</v>
      </c>
      <c r="F41" s="19">
        <f>データファイル用!U41</f>
        <v>0</v>
      </c>
      <c r="G41" s="19">
        <f>データファイル用!V41</f>
        <v>0</v>
      </c>
      <c r="H41" s="19">
        <f>データファイル用!W41</f>
        <v>0</v>
      </c>
      <c r="I41" s="19">
        <f>データファイル用!X41</f>
        <v>0</v>
      </c>
      <c r="J41" s="19">
        <f>データファイル用!Y41</f>
        <v>0</v>
      </c>
      <c r="K41" s="19">
        <f>データファイル用!Z41</f>
        <v>0</v>
      </c>
      <c r="L41" s="20">
        <f>データファイル用!AA41</f>
        <v>3.3000000000000002E-2</v>
      </c>
      <c r="M41" s="17">
        <f>データファイル用!AB41</f>
        <v>0.14000000000000001</v>
      </c>
      <c r="N41" s="19">
        <f>データファイル用!AC41</f>
        <v>-12.407</v>
      </c>
      <c r="O41" s="19">
        <f>データファイル用!AD41</f>
        <v>-366.21</v>
      </c>
      <c r="P41" s="19">
        <f>データファイル用!AE41</f>
        <v>5348</v>
      </c>
      <c r="Q41" s="19">
        <f>データファイル用!AF41</f>
        <v>-36145</v>
      </c>
      <c r="R41" s="19">
        <f>データファイル用!AG41</f>
        <v>91410</v>
      </c>
      <c r="S41" s="19">
        <f>データファイル用!AH41</f>
        <v>0</v>
      </c>
      <c r="T41" s="19">
        <f>データファイル用!AI41</f>
        <v>0</v>
      </c>
      <c r="U41" s="17">
        <f>データファイル用!AJ41</f>
        <v>0.14000000000000001</v>
      </c>
      <c r="V41" s="21">
        <f>データファイル用!AK41</f>
        <v>0.66</v>
      </c>
      <c r="W41" s="18">
        <f>データファイル用!AL41</f>
        <v>-23.066672924460711</v>
      </c>
      <c r="X41" s="19">
        <f>データファイル用!AM41</f>
        <v>0</v>
      </c>
      <c r="Y41" s="19">
        <f>データファイル用!AN41</f>
        <v>0</v>
      </c>
      <c r="Z41" s="19">
        <f>データファイル用!AO41</f>
        <v>0</v>
      </c>
      <c r="AA41" s="19">
        <f>データファイル用!AP41</f>
        <v>0</v>
      </c>
      <c r="AB41" s="19">
        <f>データファイル用!AQ41</f>
        <v>0</v>
      </c>
      <c r="AC41" s="19">
        <f>データファイル用!AR41</f>
        <v>0</v>
      </c>
      <c r="AD41">
        <f t="shared" si="0"/>
        <v>0.66</v>
      </c>
      <c r="AE41" t="str">
        <f t="shared" si="1"/>
        <v>OK</v>
      </c>
    </row>
    <row r="42" spans="1:31">
      <c r="A42">
        <v>39</v>
      </c>
      <c r="B42" s="17" t="str">
        <f>データファイル用!$B42</f>
        <v>MEWS Siding V - Fibreboard</v>
      </c>
      <c r="C42" s="20">
        <f>データファイル用!R42</f>
        <v>3</v>
      </c>
      <c r="D42" s="21">
        <f>データファイル用!S42</f>
        <v>4.1000000000000002E-2</v>
      </c>
      <c r="E42" s="24">
        <f>データファイル用!T42</f>
        <v>-22.930540750136132</v>
      </c>
      <c r="F42" s="19">
        <f>データファイル用!U42</f>
        <v>0</v>
      </c>
      <c r="G42" s="19">
        <f>データファイル用!V42</f>
        <v>0</v>
      </c>
      <c r="H42" s="19">
        <f>データファイル用!W42</f>
        <v>0</v>
      </c>
      <c r="I42" s="19">
        <f>データファイル用!X42</f>
        <v>0</v>
      </c>
      <c r="J42" s="19">
        <f>データファイル用!Y42</f>
        <v>0</v>
      </c>
      <c r="K42" s="19">
        <f>データファイル用!Z42</f>
        <v>0</v>
      </c>
      <c r="L42" s="20">
        <f>データファイル用!AA42</f>
        <v>4.1000000000000002E-2</v>
      </c>
      <c r="M42" s="17">
        <f>データファイル用!AB42</f>
        <v>0.68</v>
      </c>
      <c r="N42" s="19">
        <f>データファイル用!AC42</f>
        <v>-21.61</v>
      </c>
      <c r="O42" s="19">
        <f>データファイル用!AD42</f>
        <v>-46.505000000000003</v>
      </c>
      <c r="P42" s="19">
        <f>データファイル用!AE42</f>
        <v>381.26</v>
      </c>
      <c r="Q42" s="19">
        <f>データファイル用!AF42</f>
        <v>-1585</v>
      </c>
      <c r="R42" s="19">
        <f>データファイル用!AG42</f>
        <v>3468.6</v>
      </c>
      <c r="S42" s="19">
        <f>データファイル用!AH42</f>
        <v>-3795.3</v>
      </c>
      <c r="T42" s="19">
        <f>データファイル用!AI42</f>
        <v>1636.6</v>
      </c>
      <c r="U42" s="17">
        <f>データファイル用!AJ42</f>
        <v>0.68</v>
      </c>
      <c r="V42" s="21">
        <f>データファイル用!AK42</f>
        <v>0.91</v>
      </c>
      <c r="W42" s="18">
        <f>データファイル用!AL42</f>
        <v>-23.73920081781792</v>
      </c>
      <c r="X42" s="19">
        <f>データファイル用!AM42</f>
        <v>0</v>
      </c>
      <c r="Y42" s="19">
        <f>データファイル用!AN42</f>
        <v>0</v>
      </c>
      <c r="Z42" s="19">
        <f>データファイル用!AO42</f>
        <v>0</v>
      </c>
      <c r="AA42" s="19">
        <f>データファイル用!AP42</f>
        <v>0</v>
      </c>
      <c r="AB42" s="19">
        <f>データファイル用!AQ42</f>
        <v>0</v>
      </c>
      <c r="AC42" s="19">
        <f>データファイル用!AR42</f>
        <v>0</v>
      </c>
      <c r="AD42">
        <f t="shared" si="0"/>
        <v>0.91</v>
      </c>
      <c r="AE42" t="str">
        <f t="shared" si="1"/>
        <v>OK</v>
      </c>
    </row>
    <row r="43" spans="1:31">
      <c r="A43">
        <v>40</v>
      </c>
      <c r="B43" s="17" t="str">
        <f>データファイル用!$B43</f>
        <v>MEWS EIFS Base Coat + Finish Coat</v>
      </c>
      <c r="C43" s="20">
        <f>データファイル用!R43</f>
        <v>2</v>
      </c>
      <c r="D43" s="21">
        <f>データファイル用!S43</f>
        <v>4.2999999999999997E-2</v>
      </c>
      <c r="E43" s="24">
        <f>データファイル用!T43</f>
        <v>-36.841361487904734</v>
      </c>
      <c r="F43" s="19">
        <f>データファイル用!U43</f>
        <v>0</v>
      </c>
      <c r="G43" s="19">
        <f>データファイル用!V43</f>
        <v>0</v>
      </c>
      <c r="H43" s="19">
        <f>データファイル用!W43</f>
        <v>0</v>
      </c>
      <c r="I43" s="19">
        <f>データファイル用!X43</f>
        <v>0</v>
      </c>
      <c r="J43" s="19">
        <f>データファイル用!Y43</f>
        <v>0</v>
      </c>
      <c r="K43" s="19">
        <f>データファイル用!Z43</f>
        <v>0</v>
      </c>
      <c r="L43" s="20">
        <f>データファイル用!AA43</f>
        <v>4.2999999999999997E-2</v>
      </c>
      <c r="M43" s="17">
        <f>データファイル用!AB43</f>
        <v>0.09</v>
      </c>
      <c r="N43" s="19">
        <f>データファイル用!AC43</f>
        <v>771.72</v>
      </c>
      <c r="O43" s="19">
        <f>データファイル用!AD43</f>
        <v>-84721</v>
      </c>
      <c r="P43" s="19">
        <f>データファイル用!AE43</f>
        <v>3506800</v>
      </c>
      <c r="Q43" s="19">
        <f>データファイル用!AF43</f>
        <v>-74110000</v>
      </c>
      <c r="R43" s="19">
        <f>データファイル用!AG43</f>
        <v>854140000</v>
      </c>
      <c r="S43" s="19">
        <f>データファイル用!AH43</f>
        <v>-5128300000</v>
      </c>
      <c r="T43" s="19">
        <f>データファイル用!AI43</f>
        <v>12591000000</v>
      </c>
      <c r="U43" s="17">
        <f>データファイル用!AJ43</f>
        <v>0</v>
      </c>
      <c r="V43" s="21">
        <f>データファイル用!AK43</f>
        <v>0</v>
      </c>
      <c r="W43" s="18">
        <f>データファイル用!AL43</f>
        <v>0</v>
      </c>
      <c r="X43" s="19">
        <f>データファイル用!AM43</f>
        <v>0</v>
      </c>
      <c r="Y43" s="19">
        <f>データファイル用!AN43</f>
        <v>0</v>
      </c>
      <c r="Z43" s="19">
        <f>データファイル用!AO43</f>
        <v>0</v>
      </c>
      <c r="AA43" s="19">
        <f>データファイル用!AP43</f>
        <v>0</v>
      </c>
      <c r="AB43" s="19">
        <f>データファイル用!AQ43</f>
        <v>0</v>
      </c>
      <c r="AC43" s="19">
        <f>データファイル用!AR43</f>
        <v>0</v>
      </c>
      <c r="AD43">
        <f t="shared" si="0"/>
        <v>0.09</v>
      </c>
      <c r="AE43" t="str">
        <f t="shared" si="1"/>
        <v>OK</v>
      </c>
    </row>
    <row r="44" spans="1:31">
      <c r="A44">
        <v>41</v>
      </c>
      <c r="B44" s="17" t="str">
        <f>データファイル用!$B44</f>
        <v>MEWS Exterior Grade Gypsum Board</v>
      </c>
      <c r="C44" s="20">
        <f>データファイル用!R44</f>
        <v>0</v>
      </c>
      <c r="D44" s="21">
        <f>データファイル用!S44</f>
        <v>0</v>
      </c>
      <c r="E44" s="24">
        <f>データファイル用!T44</f>
        <v>-22.930540750136132</v>
      </c>
      <c r="F44" s="19">
        <f>データファイル用!U44</f>
        <v>0</v>
      </c>
      <c r="G44" s="19">
        <f>データファイル用!V44</f>
        <v>0</v>
      </c>
      <c r="H44" s="19">
        <f>データファイル用!W44</f>
        <v>0</v>
      </c>
      <c r="I44" s="19">
        <f>データファイル用!X44</f>
        <v>0</v>
      </c>
      <c r="J44" s="19">
        <f>データファイル用!Y44</f>
        <v>0</v>
      </c>
      <c r="K44" s="19">
        <f>データファイル用!Z44</f>
        <v>0</v>
      </c>
      <c r="L44" s="20">
        <f>データファイル用!AA44</f>
        <v>0</v>
      </c>
      <c r="M44" s="17">
        <f>データファイル用!AB44</f>
        <v>0</v>
      </c>
      <c r="N44" s="19">
        <f>データファイル用!AC44</f>
        <v>0</v>
      </c>
      <c r="O44" s="19">
        <f>データファイル用!AD44</f>
        <v>0</v>
      </c>
      <c r="P44" s="19">
        <f>データファイル用!AE44</f>
        <v>0</v>
      </c>
      <c r="Q44" s="19">
        <f>データファイル用!AF44</f>
        <v>0</v>
      </c>
      <c r="R44" s="19">
        <f>データファイル用!AG44</f>
        <v>0</v>
      </c>
      <c r="S44" s="19">
        <f>データファイル用!AH44</f>
        <v>0</v>
      </c>
      <c r="T44" s="19">
        <f>データファイル用!AI44</f>
        <v>0</v>
      </c>
      <c r="U44" s="17">
        <f>データファイル用!AJ44</f>
        <v>0</v>
      </c>
      <c r="V44" s="21">
        <f>データファイル用!AK44</f>
        <v>0</v>
      </c>
      <c r="W44" s="18">
        <f>データファイル用!AL44</f>
        <v>0</v>
      </c>
      <c r="X44" s="19">
        <f>データファイル用!AM44</f>
        <v>0</v>
      </c>
      <c r="Y44" s="19">
        <f>データファイル用!AN44</f>
        <v>0</v>
      </c>
      <c r="Z44" s="19">
        <f>データファイル用!AO44</f>
        <v>0</v>
      </c>
      <c r="AA44" s="19">
        <f>データファイル用!AP44</f>
        <v>0</v>
      </c>
      <c r="AB44" s="19">
        <f>データファイル用!AQ44</f>
        <v>0</v>
      </c>
      <c r="AC44" s="19">
        <f>データファイル用!AR44</f>
        <v>0</v>
      </c>
      <c r="AD44">
        <f t="shared" si="0"/>
        <v>1</v>
      </c>
      <c r="AE44" t="str">
        <f t="shared" si="1"/>
        <v>OK</v>
      </c>
    </row>
    <row r="45" spans="1:31">
      <c r="A45">
        <v>42</v>
      </c>
      <c r="B45" s="17" t="str">
        <f>データファイル用!$B45</f>
        <v>MEWS Spray Polyurethane Foam</v>
      </c>
      <c r="C45" s="20">
        <f>データファイル用!R45</f>
        <v>0</v>
      </c>
      <c r="D45" s="21">
        <f>データファイル用!S45</f>
        <v>0</v>
      </c>
      <c r="E45" s="24">
        <f>データファイル用!T45</f>
        <v>11.512915464920228</v>
      </c>
      <c r="F45" s="19">
        <f>データファイル用!U45</f>
        <v>0</v>
      </c>
      <c r="G45" s="19">
        <f>データファイル用!V45</f>
        <v>0</v>
      </c>
      <c r="H45" s="19">
        <f>データファイル用!W45</f>
        <v>0</v>
      </c>
      <c r="I45" s="19">
        <f>データファイル用!X45</f>
        <v>0</v>
      </c>
      <c r="J45" s="19">
        <f>データファイル用!Y45</f>
        <v>0</v>
      </c>
      <c r="K45" s="19">
        <f>データファイル用!Z45</f>
        <v>0</v>
      </c>
      <c r="L45" s="20">
        <f>データファイル用!AA45</f>
        <v>0</v>
      </c>
      <c r="M45" s="17">
        <f>データファイル用!AB45</f>
        <v>0</v>
      </c>
      <c r="N45" s="19">
        <f>データファイル用!AC45</f>
        <v>0</v>
      </c>
      <c r="O45" s="19">
        <f>データファイル用!AD45</f>
        <v>0</v>
      </c>
      <c r="P45" s="19">
        <f>データファイル用!AE45</f>
        <v>0</v>
      </c>
      <c r="Q45" s="19">
        <f>データファイル用!AF45</f>
        <v>0</v>
      </c>
      <c r="R45" s="19">
        <f>データファイル用!AG45</f>
        <v>0</v>
      </c>
      <c r="S45" s="19">
        <f>データファイル用!AH45</f>
        <v>0</v>
      </c>
      <c r="T45" s="19">
        <f>データファイル用!AI45</f>
        <v>0</v>
      </c>
      <c r="U45" s="17">
        <f>データファイル用!AJ45</f>
        <v>0</v>
      </c>
      <c r="V45" s="21">
        <f>データファイル用!AK45</f>
        <v>0</v>
      </c>
      <c r="W45" s="18">
        <f>データファイル用!AL45</f>
        <v>0</v>
      </c>
      <c r="X45" s="19">
        <f>データファイル用!AM45</f>
        <v>0</v>
      </c>
      <c r="Y45" s="19">
        <f>データファイル用!AN45</f>
        <v>0</v>
      </c>
      <c r="Z45" s="19">
        <f>データファイル用!AO45</f>
        <v>0</v>
      </c>
      <c r="AA45" s="19">
        <f>データファイル用!AP45</f>
        <v>0</v>
      </c>
      <c r="AB45" s="19">
        <f>データファイル用!AQ45</f>
        <v>0</v>
      </c>
      <c r="AC45" s="19">
        <f>データファイル用!AR45</f>
        <v>0</v>
      </c>
      <c r="AD45">
        <f t="shared" si="0"/>
        <v>1</v>
      </c>
      <c r="AE45" t="str">
        <f t="shared" si="1"/>
        <v>OK</v>
      </c>
    </row>
    <row r="46" spans="1:31">
      <c r="A46">
        <v>43</v>
      </c>
      <c r="B46" s="17" t="str">
        <f>データファイル用!$B46</f>
        <v>ASHRAE OSB -1</v>
      </c>
      <c r="C46" s="20">
        <f>データファイル用!R46</f>
        <v>3</v>
      </c>
      <c r="D46" s="21">
        <f>データファイル用!S46</f>
        <v>0.31</v>
      </c>
      <c r="E46" s="24">
        <f>データファイル用!T46</f>
        <v>-36.841361487904734</v>
      </c>
      <c r="F46" s="19">
        <f>データファイル用!U46</f>
        <v>0</v>
      </c>
      <c r="G46" s="19">
        <f>データファイル用!V46</f>
        <v>0</v>
      </c>
      <c r="H46" s="19">
        <f>データファイル用!W46</f>
        <v>0</v>
      </c>
      <c r="I46" s="19">
        <f>データファイル用!X46</f>
        <v>0</v>
      </c>
      <c r="J46" s="19">
        <f>データファイル用!Y46</f>
        <v>0</v>
      </c>
      <c r="K46" s="19">
        <f>データファイル用!Z46</f>
        <v>0</v>
      </c>
      <c r="L46" s="20">
        <f>データファイル用!AA46</f>
        <v>0.31</v>
      </c>
      <c r="M46" s="17">
        <f>データファイル用!AB46</f>
        <v>0.52</v>
      </c>
      <c r="N46" s="19">
        <f>データファイル用!AC46</f>
        <v>-32.75</v>
      </c>
      <c r="O46" s="19">
        <f>データファイル用!AD46</f>
        <v>6.6252000000000004</v>
      </c>
      <c r="P46" s="19">
        <f>データファイル用!AE46</f>
        <v>-1.3444</v>
      </c>
      <c r="Q46" s="19">
        <f>データファイル用!AF46</f>
        <v>0</v>
      </c>
      <c r="R46" s="19">
        <f>データファイル用!AG46</f>
        <v>0</v>
      </c>
      <c r="S46" s="19">
        <f>データファイル用!AH46</f>
        <v>0</v>
      </c>
      <c r="T46" s="19">
        <f>データファイル用!AI46</f>
        <v>0</v>
      </c>
      <c r="U46" s="17">
        <f>データファイル用!AJ46</f>
        <v>0.52</v>
      </c>
      <c r="V46" s="21">
        <f>データファイル用!AK46</f>
        <v>1.4</v>
      </c>
      <c r="W46" s="18">
        <f>データファイル用!AL46</f>
        <v>-29.597133972301382</v>
      </c>
      <c r="X46" s="19">
        <f>データファイル用!AM46</f>
        <v>0</v>
      </c>
      <c r="Y46" s="19">
        <f>データファイル用!AN46</f>
        <v>0</v>
      </c>
      <c r="Z46" s="19">
        <f>データファイル用!AO46</f>
        <v>0</v>
      </c>
      <c r="AA46" s="19">
        <f>データファイル用!AP46</f>
        <v>0</v>
      </c>
      <c r="AB46" s="19">
        <f>データファイル用!AQ46</f>
        <v>0</v>
      </c>
      <c r="AC46" s="19">
        <f>データファイル用!AR46</f>
        <v>0</v>
      </c>
      <c r="AD46">
        <f t="shared" si="0"/>
        <v>1.4</v>
      </c>
      <c r="AE46" t="str">
        <f t="shared" si="1"/>
        <v>OK</v>
      </c>
    </row>
    <row r="47" spans="1:31">
      <c r="A47">
        <v>44</v>
      </c>
      <c r="B47" s="17" t="str">
        <f>データファイル用!$B47</f>
        <v>ASHRAE OSB -2</v>
      </c>
      <c r="C47" s="20">
        <f>データファイル用!R47</f>
        <v>3</v>
      </c>
      <c r="D47" s="21">
        <f>データファイル用!S47</f>
        <v>0.28999999999999998</v>
      </c>
      <c r="E47" s="24">
        <f>データファイル用!T47</f>
        <v>-36.841361487904734</v>
      </c>
      <c r="F47" s="19">
        <f>データファイル用!U47</f>
        <v>0</v>
      </c>
      <c r="G47" s="19">
        <f>データファイル用!V47</f>
        <v>0</v>
      </c>
      <c r="H47" s="19">
        <f>データファイル用!W47</f>
        <v>0</v>
      </c>
      <c r="I47" s="19">
        <f>データファイル用!X47</f>
        <v>0</v>
      </c>
      <c r="J47" s="19">
        <f>データファイル用!Y47</f>
        <v>0</v>
      </c>
      <c r="K47" s="19">
        <f>データファイル用!Z47</f>
        <v>0</v>
      </c>
      <c r="L47" s="20">
        <f>データファイル用!AA47</f>
        <v>0.28999999999999998</v>
      </c>
      <c r="M47" s="17">
        <f>データファイル用!AB47</f>
        <v>0.64</v>
      </c>
      <c r="N47" s="19">
        <f>データファイル用!AC47</f>
        <v>-32.479999999999997</v>
      </c>
      <c r="O47" s="19">
        <f>データファイル用!AD47</f>
        <v>6.2641999999999998</v>
      </c>
      <c r="P47" s="19">
        <f>データファイル用!AE47</f>
        <v>-0.42285</v>
      </c>
      <c r="Q47" s="19">
        <f>データファイル用!AF47</f>
        <v>0</v>
      </c>
      <c r="R47" s="19">
        <f>データファイル用!AG47</f>
        <v>0</v>
      </c>
      <c r="S47" s="19">
        <f>データファイル用!AH47</f>
        <v>0</v>
      </c>
      <c r="T47" s="19">
        <f>データファイル用!AI47</f>
        <v>0</v>
      </c>
      <c r="U47" s="17">
        <f>データファイル用!AJ47</f>
        <v>0.64</v>
      </c>
      <c r="V47" s="21">
        <f>データファイル用!AK47</f>
        <v>1.3</v>
      </c>
      <c r="W47" s="18">
        <f>データファイル用!AL47</f>
        <v>-28.652672363460528</v>
      </c>
      <c r="X47" s="19">
        <f>データファイル用!AM47</f>
        <v>0</v>
      </c>
      <c r="Y47" s="19">
        <f>データファイル用!AN47</f>
        <v>0</v>
      </c>
      <c r="Z47" s="19">
        <f>データファイル用!AO47</f>
        <v>0</v>
      </c>
      <c r="AA47" s="19">
        <f>データファイル用!AP47</f>
        <v>0</v>
      </c>
      <c r="AB47" s="19">
        <f>データファイル用!AQ47</f>
        <v>0</v>
      </c>
      <c r="AC47" s="19">
        <f>データファイル用!AR47</f>
        <v>0</v>
      </c>
      <c r="AD47">
        <f t="shared" si="0"/>
        <v>1.3</v>
      </c>
      <c r="AE47" t="str">
        <f t="shared" si="1"/>
        <v>OK</v>
      </c>
    </row>
    <row r="48" spans="1:31">
      <c r="A48">
        <v>45</v>
      </c>
      <c r="B48" s="17" t="str">
        <f>データファイル用!$B48</f>
        <v>ASHRAE OSB -3</v>
      </c>
      <c r="C48" s="20">
        <f>データファイル用!R48</f>
        <v>3</v>
      </c>
      <c r="D48" s="21">
        <f>データファイル用!S48</f>
        <v>0.28999999999999998</v>
      </c>
      <c r="E48" s="24">
        <f>データファイル用!T48</f>
        <v>-36.841361487904734</v>
      </c>
      <c r="F48" s="19">
        <f>データファイル用!U48</f>
        <v>0</v>
      </c>
      <c r="G48" s="19">
        <f>データファイル用!V48</f>
        <v>0</v>
      </c>
      <c r="H48" s="19">
        <f>データファイル用!W48</f>
        <v>0</v>
      </c>
      <c r="I48" s="19">
        <f>データファイル用!X48</f>
        <v>0</v>
      </c>
      <c r="J48" s="19">
        <f>データファイル用!Y48</f>
        <v>0</v>
      </c>
      <c r="K48" s="19">
        <f>データファイル用!Z48</f>
        <v>0</v>
      </c>
      <c r="L48" s="20">
        <f>データファイル用!AA48</f>
        <v>0.28999999999999998</v>
      </c>
      <c r="M48" s="17">
        <f>データファイル用!AB48</f>
        <v>0.92</v>
      </c>
      <c r="N48" s="19">
        <f>データファイル用!AC48</f>
        <v>-32.232999999999997</v>
      </c>
      <c r="O48" s="19">
        <f>データファイル用!AD48</f>
        <v>4.6456999999999997</v>
      </c>
      <c r="P48" s="19">
        <f>データファイル用!AE48</f>
        <v>4.1444000000000002E-2</v>
      </c>
      <c r="Q48" s="19">
        <f>データファイル用!AF48</f>
        <v>0</v>
      </c>
      <c r="R48" s="19">
        <f>データファイル用!AG48</f>
        <v>0</v>
      </c>
      <c r="S48" s="19">
        <f>データファイル用!AH48</f>
        <v>0</v>
      </c>
      <c r="T48" s="19">
        <f>データファイル用!AI48</f>
        <v>0</v>
      </c>
      <c r="U48" s="17">
        <f>データファイル用!AJ48</f>
        <v>0.92</v>
      </c>
      <c r="V48" s="21">
        <f>データファイル用!AK48</f>
        <v>1.6</v>
      </c>
      <c r="W48" s="18">
        <f>データファイル用!AL48</f>
        <v>-27.918703188380331</v>
      </c>
      <c r="X48" s="19">
        <f>データファイル用!AM48</f>
        <v>0</v>
      </c>
      <c r="Y48" s="19">
        <f>データファイル用!AN48</f>
        <v>0</v>
      </c>
      <c r="Z48" s="19">
        <f>データファイル用!AO48</f>
        <v>0</v>
      </c>
      <c r="AA48" s="19">
        <f>データファイル用!AP48</f>
        <v>0</v>
      </c>
      <c r="AB48" s="19">
        <f>データファイル用!AQ48</f>
        <v>0</v>
      </c>
      <c r="AC48" s="19">
        <f>データファイル用!AR48</f>
        <v>0</v>
      </c>
      <c r="AD48">
        <f t="shared" si="0"/>
        <v>1.6</v>
      </c>
      <c r="AE48" t="str">
        <f t="shared" si="1"/>
        <v>OK</v>
      </c>
    </row>
    <row r="49" spans="1:31">
      <c r="A49">
        <v>46</v>
      </c>
      <c r="B49" s="17" t="str">
        <f>データファイル用!$B49</f>
        <v>ASHRAE Plywood -1</v>
      </c>
      <c r="C49" s="20">
        <f>データファイル用!R49</f>
        <v>3</v>
      </c>
      <c r="D49" s="21">
        <f>データファイル用!S49</f>
        <v>0.45</v>
      </c>
      <c r="E49" s="24">
        <f>データファイル用!T49</f>
        <v>-36.841361487904734</v>
      </c>
      <c r="F49" s="19">
        <f>データファイル用!U49</f>
        <v>0</v>
      </c>
      <c r="G49" s="19">
        <f>データファイル用!V49</f>
        <v>0</v>
      </c>
      <c r="H49" s="19">
        <f>データファイル用!W49</f>
        <v>0</v>
      </c>
      <c r="I49" s="19">
        <f>データファイル用!X49</f>
        <v>0</v>
      </c>
      <c r="J49" s="19">
        <f>データファイル用!Y49</f>
        <v>0</v>
      </c>
      <c r="K49" s="19">
        <f>データファイル用!Z49</f>
        <v>0</v>
      </c>
      <c r="L49" s="20">
        <f>データファイル用!AA49</f>
        <v>0.45</v>
      </c>
      <c r="M49" s="17">
        <f>データファイル用!AB49</f>
        <v>1.1000000000000001</v>
      </c>
      <c r="N49" s="19">
        <f>データファイル用!AC49</f>
        <v>-30.91</v>
      </c>
      <c r="O49" s="19">
        <f>データファイル用!AD49</f>
        <v>4.2967000000000004</v>
      </c>
      <c r="P49" s="19">
        <f>データファイル用!AE49</f>
        <v>-0.22017</v>
      </c>
      <c r="Q49" s="19">
        <f>データファイル用!AF49</f>
        <v>0</v>
      </c>
      <c r="R49" s="19">
        <f>データファイル用!AG49</f>
        <v>0</v>
      </c>
      <c r="S49" s="19">
        <f>データファイル用!AH49</f>
        <v>0</v>
      </c>
      <c r="T49" s="19">
        <f>データファイル用!AI49</f>
        <v>0</v>
      </c>
      <c r="U49" s="17">
        <f>データファイル用!AJ49</f>
        <v>1.1000000000000001</v>
      </c>
      <c r="V49" s="21">
        <f>データファイル用!AK49</f>
        <v>1.9</v>
      </c>
      <c r="W49" s="18">
        <f>データファイル用!AL49</f>
        <v>-26.270044562792947</v>
      </c>
      <c r="X49" s="19">
        <f>データファイル用!AM49</f>
        <v>0</v>
      </c>
      <c r="Y49" s="19">
        <f>データファイル用!AN49</f>
        <v>0</v>
      </c>
      <c r="Z49" s="19">
        <f>データファイル用!AO49</f>
        <v>0</v>
      </c>
      <c r="AA49" s="19">
        <f>データファイル用!AP49</f>
        <v>0</v>
      </c>
      <c r="AB49" s="19">
        <f>データファイル用!AQ49</f>
        <v>0</v>
      </c>
      <c r="AC49" s="19">
        <f>データファイル用!AR49</f>
        <v>0</v>
      </c>
      <c r="AD49">
        <f t="shared" si="0"/>
        <v>1.9</v>
      </c>
      <c r="AE49" t="str">
        <f t="shared" si="1"/>
        <v>OK</v>
      </c>
    </row>
    <row r="50" spans="1:31">
      <c r="A50">
        <v>47</v>
      </c>
      <c r="B50" s="17" t="str">
        <f>データファイル用!$B50</f>
        <v>ASHRAE Plywood -2</v>
      </c>
      <c r="C50" s="20">
        <f>データファイル用!R50</f>
        <v>3</v>
      </c>
      <c r="D50" s="21">
        <f>データファイル用!S50</f>
        <v>0.45</v>
      </c>
      <c r="E50" s="24">
        <f>データファイル用!T50</f>
        <v>-36.841361487904734</v>
      </c>
      <c r="F50" s="19">
        <f>データファイル用!U50</f>
        <v>0</v>
      </c>
      <c r="G50" s="19">
        <f>データファイル用!V50</f>
        <v>0</v>
      </c>
      <c r="H50" s="19">
        <f>データファイル用!W50</f>
        <v>0</v>
      </c>
      <c r="I50" s="19">
        <f>データファイル用!X50</f>
        <v>0</v>
      </c>
      <c r="J50" s="19">
        <f>データファイル用!Y50</f>
        <v>0</v>
      </c>
      <c r="K50" s="19">
        <f>データファイル用!Z50</f>
        <v>0</v>
      </c>
      <c r="L50" s="20">
        <f>データファイル用!AA50</f>
        <v>0.45</v>
      </c>
      <c r="M50" s="17">
        <f>データファイル用!AB50</f>
        <v>0.95</v>
      </c>
      <c r="N50" s="19">
        <f>データファイル用!AC50</f>
        <v>-30.524000000000001</v>
      </c>
      <c r="O50" s="19">
        <f>データファイル用!AD50</f>
        <v>4.7701000000000002</v>
      </c>
      <c r="P50" s="19">
        <f>データファイル用!AE50</f>
        <v>-0.2782</v>
      </c>
      <c r="Q50" s="19">
        <f>データファイル用!AF50</f>
        <v>0</v>
      </c>
      <c r="R50" s="19">
        <f>データファイル用!AG50</f>
        <v>0</v>
      </c>
      <c r="S50" s="19">
        <f>データファイル用!AH50</f>
        <v>0</v>
      </c>
      <c r="T50" s="19">
        <f>データファイル用!AI50</f>
        <v>0</v>
      </c>
      <c r="U50" s="17">
        <f>データファイル用!AJ50</f>
        <v>0.95</v>
      </c>
      <c r="V50" s="21">
        <f>データファイル用!AK50</f>
        <v>1.7</v>
      </c>
      <c r="W50" s="18">
        <f>データファイル用!AL50</f>
        <v>-26.220034142218285</v>
      </c>
      <c r="X50" s="19">
        <f>データファイル用!AM50</f>
        <v>0</v>
      </c>
      <c r="Y50" s="19">
        <f>データファイル用!AN50</f>
        <v>0</v>
      </c>
      <c r="Z50" s="19">
        <f>データファイル用!AO50</f>
        <v>0</v>
      </c>
      <c r="AA50" s="19">
        <f>データファイル用!AP50</f>
        <v>0</v>
      </c>
      <c r="AB50" s="19">
        <f>データファイル用!AQ50</f>
        <v>0</v>
      </c>
      <c r="AC50" s="19">
        <f>データファイル用!AR50</f>
        <v>0</v>
      </c>
      <c r="AD50">
        <f t="shared" si="0"/>
        <v>1.7</v>
      </c>
      <c r="AE50" t="str">
        <f t="shared" si="1"/>
        <v>OK</v>
      </c>
    </row>
    <row r="51" spans="1:31">
      <c r="A51">
        <v>48</v>
      </c>
      <c r="B51" s="17" t="str">
        <f>データファイル用!$B51</f>
        <v>ASHRAE Plywood -3</v>
      </c>
      <c r="C51" s="20">
        <f>データファイル用!R51</f>
        <v>3</v>
      </c>
      <c r="D51" s="21">
        <f>データファイル用!S51</f>
        <v>0.31</v>
      </c>
      <c r="E51" s="24">
        <f>データファイル用!T51</f>
        <v>-36.841361487904734</v>
      </c>
      <c r="F51" s="19">
        <f>データファイル用!U51</f>
        <v>0</v>
      </c>
      <c r="G51" s="19">
        <f>データファイル用!V51</f>
        <v>0</v>
      </c>
      <c r="H51" s="19">
        <f>データファイル用!W51</f>
        <v>0</v>
      </c>
      <c r="I51" s="19">
        <f>データファイル用!X51</f>
        <v>0</v>
      </c>
      <c r="J51" s="19">
        <f>データファイル用!Y51</f>
        <v>0</v>
      </c>
      <c r="K51" s="19">
        <f>データファイル用!Z51</f>
        <v>0</v>
      </c>
      <c r="L51" s="20">
        <f>データファイル用!AA51</f>
        <v>0.31</v>
      </c>
      <c r="M51" s="17">
        <f>データファイル用!AB51</f>
        <v>0.87</v>
      </c>
      <c r="N51" s="19">
        <f>データファイル用!AC51</f>
        <v>-31.041</v>
      </c>
      <c r="O51" s="19">
        <f>データファイル用!AD51</f>
        <v>5.7055999999999996</v>
      </c>
      <c r="P51" s="19">
        <f>データファイル用!AE51</f>
        <v>-0.2928</v>
      </c>
      <c r="Q51" s="19">
        <f>データファイル用!AF51</f>
        <v>0</v>
      </c>
      <c r="R51" s="19">
        <f>データファイル用!AG51</f>
        <v>0</v>
      </c>
      <c r="S51" s="19">
        <f>データファイル用!AH51</f>
        <v>0</v>
      </c>
      <c r="T51" s="19">
        <f>データファイル用!AI51</f>
        <v>0</v>
      </c>
      <c r="U51" s="17">
        <f>データファイル用!AJ51</f>
        <v>0.87</v>
      </c>
      <c r="V51" s="21">
        <f>データファイル用!AK51</f>
        <v>1.4</v>
      </c>
      <c r="W51" s="18">
        <f>データファイル用!AL51</f>
        <v>-26.270044562792947</v>
      </c>
      <c r="X51" s="19">
        <f>データファイル用!AM51</f>
        <v>0</v>
      </c>
      <c r="Y51" s="19">
        <f>データファイル用!AN51</f>
        <v>0</v>
      </c>
      <c r="Z51" s="19">
        <f>データファイル用!AO51</f>
        <v>0</v>
      </c>
      <c r="AA51" s="19">
        <f>データファイル用!AP51</f>
        <v>0</v>
      </c>
      <c r="AB51" s="19">
        <f>データファイル用!AQ51</f>
        <v>0</v>
      </c>
      <c r="AC51" s="19">
        <f>データファイル用!AR51</f>
        <v>0</v>
      </c>
      <c r="AD51">
        <f t="shared" si="0"/>
        <v>1.4</v>
      </c>
      <c r="AE51" t="str">
        <f t="shared" si="1"/>
        <v>OK</v>
      </c>
    </row>
    <row r="52" spans="1:31">
      <c r="A52">
        <v>49</v>
      </c>
      <c r="B52" s="17" t="str">
        <f>データファイル用!$B52</f>
        <v>ASHRAE Fibreboard</v>
      </c>
      <c r="C52" s="20">
        <f>データファイル用!R52</f>
        <v>2</v>
      </c>
      <c r="D52" s="21">
        <f>データファイル用!S52</f>
        <v>5.8000000000000003E-2</v>
      </c>
      <c r="E52" s="24">
        <f>データファイル用!T52</f>
        <v>-36.841361487904734</v>
      </c>
      <c r="F52" s="19">
        <f>データファイル用!U52</f>
        <v>0</v>
      </c>
      <c r="G52" s="19">
        <f>データファイル用!V52</f>
        <v>0</v>
      </c>
      <c r="H52" s="19">
        <f>データファイル用!W52</f>
        <v>0</v>
      </c>
      <c r="I52" s="19">
        <f>データファイル用!X52</f>
        <v>0</v>
      </c>
      <c r="J52" s="19">
        <f>データファイル用!Y52</f>
        <v>0</v>
      </c>
      <c r="K52" s="19">
        <f>データファイル用!Z52</f>
        <v>0</v>
      </c>
      <c r="L52" s="20">
        <f>データファイル用!AA52</f>
        <v>9.4E-2</v>
      </c>
      <c r="M52" s="17">
        <f>データファイル用!AB52</f>
        <v>1.5</v>
      </c>
      <c r="N52" s="19">
        <f>データファイル用!AC52</f>
        <v>-21.995999999999999</v>
      </c>
      <c r="O52" s="19">
        <f>データファイル用!AD52</f>
        <v>11.89</v>
      </c>
      <c r="P52" s="19">
        <f>データファイル用!AE52</f>
        <v>-41.679000000000002</v>
      </c>
      <c r="Q52" s="19">
        <f>データファイル用!AF52</f>
        <v>72.337000000000003</v>
      </c>
      <c r="R52" s="19">
        <f>データファイル用!AG52</f>
        <v>-66.290000000000006</v>
      </c>
      <c r="S52" s="19">
        <f>データファイル用!AH52</f>
        <v>30.704000000000001</v>
      </c>
      <c r="T52" s="19">
        <f>データファイル用!AI52</f>
        <v>-5.6596000000000002</v>
      </c>
      <c r="U52" s="17">
        <f>データファイル用!AJ52</f>
        <v>0</v>
      </c>
      <c r="V52" s="21">
        <f>データファイル用!AK52</f>
        <v>0</v>
      </c>
      <c r="W52" s="18">
        <f>データファイル用!AL52</f>
        <v>0</v>
      </c>
      <c r="X52" s="19">
        <f>データファイル用!AM52</f>
        <v>0</v>
      </c>
      <c r="Y52" s="19">
        <f>データファイル用!AN52</f>
        <v>0</v>
      </c>
      <c r="Z52" s="19">
        <f>データファイル用!AO52</f>
        <v>0</v>
      </c>
      <c r="AA52" s="19">
        <f>データファイル用!AP52</f>
        <v>0</v>
      </c>
      <c r="AB52" s="19">
        <f>データファイル用!AQ52</f>
        <v>0</v>
      </c>
      <c r="AC52" s="19">
        <f>データファイル用!AR52</f>
        <v>0</v>
      </c>
      <c r="AD52">
        <f t="shared" si="0"/>
        <v>1.5</v>
      </c>
      <c r="AE52" t="str">
        <f t="shared" si="1"/>
        <v>L≠D(0.094≠0.058)</v>
      </c>
    </row>
    <row r="53" spans="1:31">
      <c r="A53">
        <v>50</v>
      </c>
      <c r="B53" s="17" t="str">
        <f>データファイル用!$B53</f>
        <v>ASHRAE Eastern White Cedar</v>
      </c>
      <c r="C53" s="20">
        <f>データファイル用!R53</f>
        <v>3</v>
      </c>
      <c r="D53" s="21">
        <f>データファイル用!S53</f>
        <v>0.76</v>
      </c>
      <c r="E53" s="24">
        <f>データファイル用!T53</f>
        <v>-36.841361487904734</v>
      </c>
      <c r="F53" s="19">
        <f>データファイル用!U53</f>
        <v>0</v>
      </c>
      <c r="G53" s="19">
        <f>データファイル用!V53</f>
        <v>0</v>
      </c>
      <c r="H53" s="19">
        <f>データファイル用!W53</f>
        <v>0</v>
      </c>
      <c r="I53" s="19">
        <f>データファイル用!X53</f>
        <v>0</v>
      </c>
      <c r="J53" s="19">
        <f>データファイル用!Y53</f>
        <v>0</v>
      </c>
      <c r="K53" s="19">
        <f>データファイル用!Z53</f>
        <v>0</v>
      </c>
      <c r="L53" s="20">
        <f>データファイル用!AA53</f>
        <v>0.76</v>
      </c>
      <c r="M53" s="17">
        <f>データファイル用!AB53</f>
        <v>0.9</v>
      </c>
      <c r="N53" s="19">
        <f>データファイル用!AC53</f>
        <v>-25.62</v>
      </c>
      <c r="O53" s="19">
        <f>データファイル用!AD53</f>
        <v>-12.941000000000001</v>
      </c>
      <c r="P53" s="19">
        <f>データファイル用!AE53</f>
        <v>9.6775000000000002</v>
      </c>
      <c r="Q53" s="19">
        <f>データファイル用!AF53</f>
        <v>0</v>
      </c>
      <c r="R53" s="19">
        <f>データファイル用!AG53</f>
        <v>0</v>
      </c>
      <c r="S53" s="19">
        <f>データファイル用!AH53</f>
        <v>0</v>
      </c>
      <c r="T53" s="19">
        <f>データファイル用!AI53</f>
        <v>0</v>
      </c>
      <c r="U53" s="17">
        <f>データファイル用!AJ53</f>
        <v>0.9</v>
      </c>
      <c r="V53" s="21">
        <f>データファイル用!AK53</f>
        <v>2.2999999999999998</v>
      </c>
      <c r="W53" s="18">
        <f>データファイル用!AL53</f>
        <v>-29.463602579676859</v>
      </c>
      <c r="X53" s="19">
        <f>データファイル用!AM53</f>
        <v>0</v>
      </c>
      <c r="Y53" s="19">
        <f>データファイル用!AN53</f>
        <v>0</v>
      </c>
      <c r="Z53" s="19">
        <f>データファイル用!AO53</f>
        <v>0</v>
      </c>
      <c r="AA53" s="19">
        <f>データファイル用!AP53</f>
        <v>0</v>
      </c>
      <c r="AB53" s="19">
        <f>データファイル用!AQ53</f>
        <v>0</v>
      </c>
      <c r="AC53" s="19">
        <f>データファイル用!AR53</f>
        <v>0</v>
      </c>
      <c r="AD53">
        <f t="shared" si="0"/>
        <v>2.2999999999999998</v>
      </c>
      <c r="AE53" t="str">
        <f t="shared" si="1"/>
        <v>OK</v>
      </c>
    </row>
    <row r="54" spans="1:31">
      <c r="A54">
        <v>51</v>
      </c>
      <c r="B54" s="17" t="str">
        <f>データファイル用!$B54</f>
        <v>ASHRAE Western Red Cedar</v>
      </c>
      <c r="C54" s="20">
        <f>データファイル用!R54</f>
        <v>3</v>
      </c>
      <c r="D54" s="21">
        <f>データファイル用!S54</f>
        <v>0.27</v>
      </c>
      <c r="E54" s="24">
        <f>データファイル用!T54</f>
        <v>-36.841361487904734</v>
      </c>
      <c r="F54" s="19">
        <f>データファイル用!U54</f>
        <v>0</v>
      </c>
      <c r="G54" s="19">
        <f>データファイル用!V54</f>
        <v>0</v>
      </c>
      <c r="H54" s="19">
        <f>データファイル用!W54</f>
        <v>0</v>
      </c>
      <c r="I54" s="19">
        <f>データファイル用!X54</f>
        <v>0</v>
      </c>
      <c r="J54" s="19">
        <f>データファイル用!Y54</f>
        <v>0</v>
      </c>
      <c r="K54" s="19">
        <f>データファイル用!Z54</f>
        <v>0</v>
      </c>
      <c r="L54" s="20">
        <f>データファイル用!AA54</f>
        <v>0.27</v>
      </c>
      <c r="M54" s="17">
        <f>データファイル用!AB54</f>
        <v>0.95</v>
      </c>
      <c r="N54" s="19">
        <f>データファイル用!AC54</f>
        <v>-33.29</v>
      </c>
      <c r="O54" s="19">
        <f>データファイル用!AD54</f>
        <v>3.3195999999999999</v>
      </c>
      <c r="P54" s="19">
        <f>データファイル用!AE54</f>
        <v>-1.2628E-2</v>
      </c>
      <c r="Q54" s="19">
        <f>データファイル用!AF54</f>
        <v>0</v>
      </c>
      <c r="R54" s="19">
        <f>データファイル用!AG54</f>
        <v>0</v>
      </c>
      <c r="S54" s="19">
        <f>データファイル用!AH54</f>
        <v>0</v>
      </c>
      <c r="T54" s="19">
        <f>データファイル用!AI54</f>
        <v>0</v>
      </c>
      <c r="U54" s="17">
        <f>データファイル用!AJ54</f>
        <v>0.95</v>
      </c>
      <c r="V54" s="21">
        <f>データファイル用!AK54</f>
        <v>2.2999999999999998</v>
      </c>
      <c r="W54" s="18">
        <f>データファイル用!AL54</f>
        <v>-30.156749760236803</v>
      </c>
      <c r="X54" s="19">
        <f>データファイル用!AM54</f>
        <v>0</v>
      </c>
      <c r="Y54" s="19">
        <f>データファイル用!AN54</f>
        <v>0</v>
      </c>
      <c r="Z54" s="19">
        <f>データファイル用!AO54</f>
        <v>0</v>
      </c>
      <c r="AA54" s="19">
        <f>データファイル用!AP54</f>
        <v>0</v>
      </c>
      <c r="AB54" s="19">
        <f>データファイル用!AQ54</f>
        <v>0</v>
      </c>
      <c r="AC54" s="19">
        <f>データファイル用!AR54</f>
        <v>0</v>
      </c>
      <c r="AD54">
        <f t="shared" si="0"/>
        <v>2.2999999999999998</v>
      </c>
      <c r="AE54" t="str">
        <f t="shared" si="1"/>
        <v>OK</v>
      </c>
    </row>
    <row r="55" spans="1:31">
      <c r="A55">
        <v>52</v>
      </c>
      <c r="B55" s="17" t="str">
        <f>データファイル用!$B55</f>
        <v>ASHRAE Spruce</v>
      </c>
      <c r="C55" s="20">
        <f>データファイル用!R55</f>
        <v>3</v>
      </c>
      <c r="D55" s="21">
        <f>データファイル用!S55</f>
        <v>0.61</v>
      </c>
      <c r="E55" s="24">
        <f>データファイル用!T55</f>
        <v>-36.841361487904734</v>
      </c>
      <c r="F55" s="19">
        <f>データファイル用!U55</f>
        <v>0</v>
      </c>
      <c r="G55" s="19">
        <f>データファイル用!V55</f>
        <v>0</v>
      </c>
      <c r="H55" s="19">
        <f>データファイル用!W55</f>
        <v>0</v>
      </c>
      <c r="I55" s="19">
        <f>データファイル用!X55</f>
        <v>0</v>
      </c>
      <c r="J55" s="19">
        <f>データファイル用!Y55</f>
        <v>0</v>
      </c>
      <c r="K55" s="19">
        <f>データファイル用!Z55</f>
        <v>0</v>
      </c>
      <c r="L55" s="20">
        <f>データファイル用!AA55</f>
        <v>0.61</v>
      </c>
      <c r="M55" s="17">
        <f>データファイル用!AB55</f>
        <v>1.2</v>
      </c>
      <c r="N55" s="19">
        <f>データファイル用!AC55</f>
        <v>-32.384999999999998</v>
      </c>
      <c r="O55" s="19">
        <f>データファイル用!AD55</f>
        <v>4.0231000000000003</v>
      </c>
      <c r="P55" s="19">
        <f>データファイル用!AE55</f>
        <v>-0.34329999999999999</v>
      </c>
      <c r="Q55" s="19">
        <f>データファイル用!AF55</f>
        <v>0</v>
      </c>
      <c r="R55" s="19">
        <f>データファイル用!AG55</f>
        <v>0</v>
      </c>
      <c r="S55" s="19">
        <f>データファイル用!AH55</f>
        <v>0</v>
      </c>
      <c r="T55" s="19">
        <f>データファイル用!AI55</f>
        <v>0</v>
      </c>
      <c r="U55" s="17">
        <f>データファイル用!AJ55</f>
        <v>1.2</v>
      </c>
      <c r="V55" s="21">
        <f>データファイル用!AK55</f>
        <v>2.2000000000000002</v>
      </c>
      <c r="W55" s="18">
        <f>データファイル用!AL55</f>
        <v>-27.945731860768248</v>
      </c>
      <c r="X55" s="19">
        <f>データファイル用!AM55</f>
        <v>0</v>
      </c>
      <c r="Y55" s="19">
        <f>データファイル用!AN55</f>
        <v>0</v>
      </c>
      <c r="Z55" s="19">
        <f>データファイル用!AO55</f>
        <v>0</v>
      </c>
      <c r="AA55" s="19">
        <f>データファイル用!AP55</f>
        <v>0</v>
      </c>
      <c r="AB55" s="19">
        <f>データファイル用!AQ55</f>
        <v>0</v>
      </c>
      <c r="AC55" s="19">
        <f>データファイル用!AR55</f>
        <v>0</v>
      </c>
      <c r="AD55">
        <f t="shared" si="0"/>
        <v>2.2000000000000002</v>
      </c>
      <c r="AE55" t="str">
        <f t="shared" si="1"/>
        <v>OK</v>
      </c>
    </row>
    <row r="56" spans="1:31">
      <c r="A56">
        <v>53</v>
      </c>
      <c r="B56" s="17" t="str">
        <f>データファイル用!$B56</f>
        <v>ASHRAE Eastern White Pine</v>
      </c>
      <c r="C56" s="20">
        <f>データファイル用!R56</f>
        <v>3</v>
      </c>
      <c r="D56" s="21">
        <f>データファイル用!S56</f>
        <v>0.22</v>
      </c>
      <c r="E56" s="24">
        <f>データファイル用!T56</f>
        <v>-36.841361487904734</v>
      </c>
      <c r="F56" s="19">
        <f>データファイル用!U56</f>
        <v>0</v>
      </c>
      <c r="G56" s="19">
        <f>データファイル用!V56</f>
        <v>0</v>
      </c>
      <c r="H56" s="19">
        <f>データファイル用!W56</f>
        <v>0</v>
      </c>
      <c r="I56" s="19">
        <f>データファイル用!X56</f>
        <v>0</v>
      </c>
      <c r="J56" s="19">
        <f>データファイル用!Y56</f>
        <v>0</v>
      </c>
      <c r="K56" s="19">
        <f>データファイル用!Z56</f>
        <v>0</v>
      </c>
      <c r="L56" s="20">
        <f>データファイル用!AA56</f>
        <v>0.22</v>
      </c>
      <c r="M56" s="17">
        <f>データファイル用!AB56</f>
        <v>0.81</v>
      </c>
      <c r="N56" s="19">
        <f>データファイル用!AC56</f>
        <v>-29.716000000000001</v>
      </c>
      <c r="O56" s="19">
        <f>データファイル用!AD56</f>
        <v>3.9533999999999998</v>
      </c>
      <c r="P56" s="19">
        <f>データファイル用!AE56</f>
        <v>-5.1057999999999999E-2</v>
      </c>
      <c r="Q56" s="19">
        <f>データファイル用!AF56</f>
        <v>0</v>
      </c>
      <c r="R56" s="19">
        <f>データファイル用!AG56</f>
        <v>0</v>
      </c>
      <c r="S56" s="19">
        <f>データファイル用!AH56</f>
        <v>0</v>
      </c>
      <c r="T56" s="19">
        <f>データファイル用!AI56</f>
        <v>0</v>
      </c>
      <c r="U56" s="17">
        <f>データファイル用!AJ56</f>
        <v>0.81</v>
      </c>
      <c r="V56" s="21">
        <f>データファイル用!AK56</f>
        <v>1.9</v>
      </c>
      <c r="W56" s="18">
        <f>データファイル用!AL56</f>
        <v>-26.53240882726044</v>
      </c>
      <c r="X56" s="19">
        <f>データファイル用!AM56</f>
        <v>0</v>
      </c>
      <c r="Y56" s="19">
        <f>データファイル用!AN56</f>
        <v>0</v>
      </c>
      <c r="Z56" s="19">
        <f>データファイル用!AO56</f>
        <v>0</v>
      </c>
      <c r="AA56" s="19">
        <f>データファイル用!AP56</f>
        <v>0</v>
      </c>
      <c r="AB56" s="19">
        <f>データファイル用!AQ56</f>
        <v>0</v>
      </c>
      <c r="AC56" s="19">
        <f>データファイル用!AR56</f>
        <v>0</v>
      </c>
      <c r="AD56">
        <f t="shared" si="0"/>
        <v>1.9</v>
      </c>
      <c r="AE56" t="str">
        <f t="shared" si="1"/>
        <v>OK</v>
      </c>
    </row>
    <row r="57" spans="1:31">
      <c r="A57">
        <v>54</v>
      </c>
      <c r="B57" s="17" t="str">
        <f>データファイル用!$B57</f>
        <v>ASHRAE Southern Yellow Pine</v>
      </c>
      <c r="C57" s="20">
        <f>データファイル用!R57</f>
        <v>3</v>
      </c>
      <c r="D57" s="21">
        <f>データファイル用!S57</f>
        <v>0.28000000000000003</v>
      </c>
      <c r="E57" s="24">
        <f>データファイル用!T57</f>
        <v>-36.841361487904734</v>
      </c>
      <c r="F57" s="19">
        <f>データファイル用!U57</f>
        <v>0</v>
      </c>
      <c r="G57" s="19">
        <f>データファイル用!V57</f>
        <v>0</v>
      </c>
      <c r="H57" s="19">
        <f>データファイル用!W57</f>
        <v>0</v>
      </c>
      <c r="I57" s="19">
        <f>データファイル用!X57</f>
        <v>0</v>
      </c>
      <c r="J57" s="19">
        <f>データファイル用!Y57</f>
        <v>0</v>
      </c>
      <c r="K57" s="19">
        <f>データファイル用!Z57</f>
        <v>0</v>
      </c>
      <c r="L57" s="20">
        <f>データファイル用!AA57</f>
        <v>0.28000000000000003</v>
      </c>
      <c r="M57" s="17">
        <f>データファイル用!AB57</f>
        <v>0.91</v>
      </c>
      <c r="N57" s="19">
        <f>データファイル用!AC57</f>
        <v>-32.857999999999997</v>
      </c>
      <c r="O57" s="19">
        <f>データファイル用!AD57</f>
        <v>3.8816999999999999</v>
      </c>
      <c r="P57" s="19">
        <f>データファイル用!AE57</f>
        <v>0.12486</v>
      </c>
      <c r="Q57" s="19">
        <f>データファイル用!AF57</f>
        <v>0</v>
      </c>
      <c r="R57" s="19">
        <f>データファイル用!AG57</f>
        <v>0</v>
      </c>
      <c r="S57" s="19">
        <f>データファイル用!AH57</f>
        <v>0</v>
      </c>
      <c r="T57" s="19">
        <f>データファイル用!AI57</f>
        <v>0</v>
      </c>
      <c r="U57" s="17">
        <f>データファイル用!AJ57</f>
        <v>0.91</v>
      </c>
      <c r="V57" s="21">
        <f>データファイル用!AK57</f>
        <v>1.9</v>
      </c>
      <c r="W57" s="18">
        <f>データファイル用!AL57</f>
        <v>-29.240459028362647</v>
      </c>
      <c r="X57" s="19">
        <f>データファイル用!AM57</f>
        <v>0</v>
      </c>
      <c r="Y57" s="19">
        <f>データファイル用!AN57</f>
        <v>0</v>
      </c>
      <c r="Z57" s="19">
        <f>データファイル用!AO57</f>
        <v>0</v>
      </c>
      <c r="AA57" s="19">
        <f>データファイル用!AP57</f>
        <v>0</v>
      </c>
      <c r="AB57" s="19">
        <f>データファイル用!AQ57</f>
        <v>0</v>
      </c>
      <c r="AC57" s="19">
        <f>データファイル用!AR57</f>
        <v>0</v>
      </c>
      <c r="AD57">
        <f t="shared" si="0"/>
        <v>1.9</v>
      </c>
      <c r="AE57" t="str">
        <f t="shared" si="1"/>
        <v>OK</v>
      </c>
    </row>
    <row r="58" spans="1:31">
      <c r="A58">
        <v>55</v>
      </c>
      <c r="B58" s="17" t="str">
        <f>データファイル用!$B58</f>
        <v>ASHRAE Composite Wood Siding</v>
      </c>
      <c r="C58" s="20">
        <f>データファイル用!R58</f>
        <v>3</v>
      </c>
      <c r="D58" s="21">
        <f>データファイル用!S58</f>
        <v>0.19</v>
      </c>
      <c r="E58" s="24">
        <f>データファイル用!T58</f>
        <v>-36.841361487904734</v>
      </c>
      <c r="F58" s="19">
        <f>データファイル用!U58</f>
        <v>0</v>
      </c>
      <c r="G58" s="19">
        <f>データファイル用!V58</f>
        <v>0</v>
      </c>
      <c r="H58" s="19">
        <f>データファイル用!W58</f>
        <v>0</v>
      </c>
      <c r="I58" s="19">
        <f>データファイル用!X58</f>
        <v>0</v>
      </c>
      <c r="J58" s="19">
        <f>データファイル用!Y58</f>
        <v>0</v>
      </c>
      <c r="K58" s="19">
        <f>データファイル用!Z58</f>
        <v>0</v>
      </c>
      <c r="L58" s="20">
        <f>データファイル用!AA58</f>
        <v>0.19</v>
      </c>
      <c r="M58" s="17">
        <f>データファイル用!AB58</f>
        <v>0.69</v>
      </c>
      <c r="N58" s="19">
        <f>データファイル用!AC58</f>
        <v>-33.527999999999999</v>
      </c>
      <c r="O58" s="19">
        <f>データファイル用!AD58</f>
        <v>8.1243999999999996</v>
      </c>
      <c r="P58" s="19">
        <f>データファイル用!AE58</f>
        <v>0.20039999999999999</v>
      </c>
      <c r="Q58" s="19">
        <f>データファイル用!AF58</f>
        <v>0</v>
      </c>
      <c r="R58" s="19">
        <f>データファイル用!AG58</f>
        <v>0</v>
      </c>
      <c r="S58" s="19">
        <f>データファイル用!AH58</f>
        <v>0</v>
      </c>
      <c r="T58" s="19">
        <f>データファイル用!AI58</f>
        <v>0</v>
      </c>
      <c r="U58" s="17">
        <f>データファイル用!AJ58</f>
        <v>0.69</v>
      </c>
      <c r="V58" s="21">
        <f>データファイル用!AK58</f>
        <v>0.9</v>
      </c>
      <c r="W58" s="18">
        <f>データファイル用!AL58</f>
        <v>-27.841742147244201</v>
      </c>
      <c r="X58" s="19">
        <f>データファイル用!AM58</f>
        <v>0</v>
      </c>
      <c r="Y58" s="19">
        <f>データファイル用!AN58</f>
        <v>0</v>
      </c>
      <c r="Z58" s="19">
        <f>データファイル用!AO58</f>
        <v>0</v>
      </c>
      <c r="AA58" s="19">
        <f>データファイル用!AP58</f>
        <v>0</v>
      </c>
      <c r="AB58" s="19">
        <f>データファイル用!AQ58</f>
        <v>0</v>
      </c>
      <c r="AC58" s="19">
        <f>データファイル用!AR58</f>
        <v>0</v>
      </c>
      <c r="AD58">
        <f t="shared" si="0"/>
        <v>0.9</v>
      </c>
      <c r="AE58" t="str">
        <f t="shared" si="1"/>
        <v>OK</v>
      </c>
    </row>
    <row r="59" spans="1:31">
      <c r="A59">
        <v>56</v>
      </c>
      <c r="B59" s="17" t="str">
        <f>データファイル用!$B59</f>
        <v>ASHRAE Clay Brick</v>
      </c>
      <c r="C59" s="20">
        <f>データファイル用!R59</f>
        <v>3</v>
      </c>
      <c r="D59" s="21">
        <f>データファイル用!S59</f>
        <v>2.8000000000000001E-2</v>
      </c>
      <c r="E59" s="24">
        <f>データファイル用!T59</f>
        <v>-36.841361487904734</v>
      </c>
      <c r="F59" s="19">
        <f>データファイル用!U59</f>
        <v>0</v>
      </c>
      <c r="G59" s="19">
        <f>データファイル用!V59</f>
        <v>0</v>
      </c>
      <c r="H59" s="19">
        <f>データファイル用!W59</f>
        <v>0</v>
      </c>
      <c r="I59" s="19">
        <f>データファイル用!X59</f>
        <v>0</v>
      </c>
      <c r="J59" s="19">
        <f>データファイル用!Y59</f>
        <v>0</v>
      </c>
      <c r="K59" s="19">
        <f>データファイル用!Z59</f>
        <v>0</v>
      </c>
      <c r="L59" s="20">
        <f>データファイル用!AA59</f>
        <v>2.8000000000000001E-2</v>
      </c>
      <c r="M59" s="17">
        <f>データファイル用!AB59</f>
        <v>7.5999999999999998E-2</v>
      </c>
      <c r="N59" s="19">
        <f>データファイル用!AC59</f>
        <v>-18.628</v>
      </c>
      <c r="O59" s="19">
        <f>データファイル用!AD59</f>
        <v>168.62</v>
      </c>
      <c r="P59" s="19">
        <f>データファイル用!AE59</f>
        <v>-3043.5</v>
      </c>
      <c r="Q59" s="19">
        <f>データファイル用!AF59</f>
        <v>21379</v>
      </c>
      <c r="R59" s="19">
        <f>データファイル用!AG59</f>
        <v>0</v>
      </c>
      <c r="S59" s="19">
        <f>データファイル用!AH59</f>
        <v>0</v>
      </c>
      <c r="T59" s="19">
        <f>データファイル用!AI59</f>
        <v>0</v>
      </c>
      <c r="U59" s="17">
        <f>データファイル用!AJ59</f>
        <v>7.5999999999999998E-2</v>
      </c>
      <c r="V59" s="21">
        <f>データファイル用!AK59</f>
        <v>9.9000000000000005E-2</v>
      </c>
      <c r="W59" s="18">
        <f>データファイル用!AL59</f>
        <v>-13.9208710736221</v>
      </c>
      <c r="X59" s="19">
        <f>データファイル用!AM59</f>
        <v>0</v>
      </c>
      <c r="Y59" s="19">
        <f>データファイル用!AN59</f>
        <v>0</v>
      </c>
      <c r="Z59" s="19">
        <f>データファイル用!AO59</f>
        <v>0</v>
      </c>
      <c r="AA59" s="19">
        <f>データファイル用!AP59</f>
        <v>0</v>
      </c>
      <c r="AB59" s="19">
        <f>データファイル用!AQ59</f>
        <v>0</v>
      </c>
      <c r="AC59" s="19">
        <f>データファイル用!AR59</f>
        <v>0</v>
      </c>
      <c r="AD59">
        <f t="shared" si="0"/>
        <v>9.9000000000000005E-2</v>
      </c>
      <c r="AE59" t="str">
        <f t="shared" si="1"/>
        <v>OK</v>
      </c>
    </row>
    <row r="60" spans="1:31">
      <c r="A60">
        <v>57</v>
      </c>
      <c r="B60" s="17" t="str">
        <f>データファイル用!$B60</f>
        <v>ASHRAE Mortar</v>
      </c>
      <c r="C60" s="20">
        <f>データファイル用!R60</f>
        <v>2</v>
      </c>
      <c r="D60" s="21">
        <f>データファイル用!S60</f>
        <v>0.13</v>
      </c>
      <c r="E60" s="24">
        <f>データファイル用!T60</f>
        <v>-36.841361487904734</v>
      </c>
      <c r="F60" s="19">
        <f>データファイル用!U60</f>
        <v>0</v>
      </c>
      <c r="G60" s="19">
        <f>データファイル用!V60</f>
        <v>0</v>
      </c>
      <c r="H60" s="19">
        <f>データファイル用!W60</f>
        <v>0</v>
      </c>
      <c r="I60" s="19">
        <f>データファイル用!X60</f>
        <v>0</v>
      </c>
      <c r="J60" s="19">
        <f>データファイル用!Y60</f>
        <v>0</v>
      </c>
      <c r="K60" s="19">
        <f>データファイル用!Z60</f>
        <v>0</v>
      </c>
      <c r="L60" s="20">
        <f>データファイル用!AA60</f>
        <v>0.13</v>
      </c>
      <c r="M60" s="17">
        <f>データファイル用!AB60</f>
        <v>0.26</v>
      </c>
      <c r="N60" s="19">
        <f>データファイル用!AC60</f>
        <v>-21.053000000000001</v>
      </c>
      <c r="O60" s="19">
        <f>データファイル用!AD60</f>
        <v>-3.8159999999999998</v>
      </c>
      <c r="P60" s="19">
        <f>データファイル用!AE60</f>
        <v>0</v>
      </c>
      <c r="Q60" s="19">
        <f>データファイル用!AF60</f>
        <v>0</v>
      </c>
      <c r="R60" s="19">
        <f>データファイル用!AG60</f>
        <v>0</v>
      </c>
      <c r="S60" s="19">
        <f>データファイル用!AH60</f>
        <v>0</v>
      </c>
      <c r="T60" s="19">
        <f>データファイル用!AI60</f>
        <v>0</v>
      </c>
      <c r="U60" s="17">
        <f>データファイル用!AJ60</f>
        <v>0</v>
      </c>
      <c r="V60" s="21">
        <f>データファイル用!AK60</f>
        <v>0</v>
      </c>
      <c r="W60" s="18">
        <f>データファイル用!AL60</f>
        <v>0</v>
      </c>
      <c r="X60" s="19">
        <f>データファイル用!AM60</f>
        <v>0</v>
      </c>
      <c r="Y60" s="19">
        <f>データファイル用!AN60</f>
        <v>0</v>
      </c>
      <c r="Z60" s="19">
        <f>データファイル用!AO60</f>
        <v>0</v>
      </c>
      <c r="AA60" s="19">
        <f>データファイル用!AP60</f>
        <v>0</v>
      </c>
      <c r="AB60" s="19">
        <f>データファイル用!AQ60</f>
        <v>0</v>
      </c>
      <c r="AC60" s="19">
        <f>データファイル用!AR60</f>
        <v>0</v>
      </c>
      <c r="AD60">
        <f t="shared" si="0"/>
        <v>0.26</v>
      </c>
      <c r="AE60" t="str">
        <f t="shared" si="1"/>
        <v>OK</v>
      </c>
    </row>
    <row r="61" spans="1:31">
      <c r="A61">
        <v>58</v>
      </c>
      <c r="B61" s="17" t="str">
        <f>データファイル用!$B61</f>
        <v>ASHRAE Stucco</v>
      </c>
      <c r="C61" s="20">
        <f>データファイル用!R61</f>
        <v>2</v>
      </c>
      <c r="D61" s="21">
        <f>データファイル用!S61</f>
        <v>0.11</v>
      </c>
      <c r="E61" s="24">
        <f>データファイル用!T61</f>
        <v>-36.841361487904734</v>
      </c>
      <c r="F61" s="19">
        <f>データファイル用!U61</f>
        <v>0</v>
      </c>
      <c r="G61" s="19">
        <f>データファイル用!V61</f>
        <v>0</v>
      </c>
      <c r="H61" s="19">
        <f>データファイル用!W61</f>
        <v>0</v>
      </c>
      <c r="I61" s="19">
        <f>データファイル用!X61</f>
        <v>0</v>
      </c>
      <c r="J61" s="19">
        <f>データファイル用!Y61</f>
        <v>0</v>
      </c>
      <c r="K61" s="19">
        <f>データファイル用!Z61</f>
        <v>0</v>
      </c>
      <c r="L61" s="20">
        <f>データファイル用!AA61</f>
        <v>0.11</v>
      </c>
      <c r="M61" s="17">
        <f>データファイル用!AB61</f>
        <v>0.12</v>
      </c>
      <c r="N61" s="19">
        <f>データファイル用!AC61</f>
        <v>-18.988</v>
      </c>
      <c r="O61" s="19">
        <f>データファイル用!AD61</f>
        <v>-22.933</v>
      </c>
      <c r="P61" s="19">
        <f>データファイル用!AE61</f>
        <v>0</v>
      </c>
      <c r="Q61" s="19">
        <f>データファイル用!AF61</f>
        <v>0</v>
      </c>
      <c r="R61" s="19">
        <f>データファイル用!AG61</f>
        <v>0</v>
      </c>
      <c r="S61" s="19">
        <f>データファイル用!AH61</f>
        <v>0</v>
      </c>
      <c r="T61" s="19">
        <f>データファイル用!AI61</f>
        <v>0</v>
      </c>
      <c r="U61" s="17">
        <f>データファイル用!AJ61</f>
        <v>0</v>
      </c>
      <c r="V61" s="21">
        <f>データファイル用!AK61</f>
        <v>0</v>
      </c>
      <c r="W61" s="18">
        <f>データファイル用!AL61</f>
        <v>0</v>
      </c>
      <c r="X61" s="19">
        <f>データファイル用!AM61</f>
        <v>0</v>
      </c>
      <c r="Y61" s="19">
        <f>データファイル用!AN61</f>
        <v>0</v>
      </c>
      <c r="Z61" s="19">
        <f>データファイル用!AO61</f>
        <v>0</v>
      </c>
      <c r="AA61" s="19">
        <f>データファイル用!AP61</f>
        <v>0</v>
      </c>
      <c r="AB61" s="19">
        <f>データファイル用!AQ61</f>
        <v>0</v>
      </c>
      <c r="AC61" s="19">
        <f>データファイル用!AR61</f>
        <v>0</v>
      </c>
      <c r="AD61">
        <f t="shared" si="0"/>
        <v>0.12</v>
      </c>
      <c r="AE61" t="str">
        <f t="shared" si="1"/>
        <v>OK</v>
      </c>
    </row>
    <row r="62" spans="1:31">
      <c r="A62">
        <v>59</v>
      </c>
      <c r="B62" s="17" t="str">
        <f>データファイル用!$B62</f>
        <v>ASHRAE Fibre Cement Board</v>
      </c>
      <c r="C62" s="20">
        <f>データファイル用!R62</f>
        <v>2</v>
      </c>
      <c r="D62" s="21">
        <f>データファイル用!S62</f>
        <v>0.28999999999999998</v>
      </c>
      <c r="E62" s="24">
        <f>データファイル用!T62</f>
        <v>-36.841361487904734</v>
      </c>
      <c r="F62" s="19">
        <f>データファイル用!U62</f>
        <v>0</v>
      </c>
      <c r="G62" s="19">
        <f>データファイル用!V62</f>
        <v>0</v>
      </c>
      <c r="H62" s="19">
        <f>データファイル用!W62</f>
        <v>0</v>
      </c>
      <c r="I62" s="19">
        <f>データファイル用!X62</f>
        <v>0</v>
      </c>
      <c r="J62" s="19">
        <f>データファイル用!Y62</f>
        <v>0</v>
      </c>
      <c r="K62" s="19">
        <f>データファイル用!Z62</f>
        <v>0</v>
      </c>
      <c r="L62" s="20">
        <f>データファイル用!AA62</f>
        <v>0.28999999999999998</v>
      </c>
      <c r="M62" s="17">
        <f>データファイル用!AB62</f>
        <v>0.35</v>
      </c>
      <c r="N62" s="19">
        <f>データファイル用!AC62</f>
        <v>98.692999999999998</v>
      </c>
      <c r="O62" s="19">
        <f>データファイル用!AD62</f>
        <v>-1145.0999999999999</v>
      </c>
      <c r="P62" s="19">
        <f>データファイル用!AE62</f>
        <v>3685.5</v>
      </c>
      <c r="Q62" s="19">
        <f>データファイル用!AF62</f>
        <v>-3877.4</v>
      </c>
      <c r="R62" s="19">
        <f>データファイル用!AG62</f>
        <v>0</v>
      </c>
      <c r="S62" s="19">
        <f>データファイル用!AH62</f>
        <v>0</v>
      </c>
      <c r="T62" s="19">
        <f>データファイル用!AI62</f>
        <v>0</v>
      </c>
      <c r="U62" s="17">
        <f>データファイル用!AJ62</f>
        <v>0</v>
      </c>
      <c r="V62" s="21">
        <f>データファイル用!AK62</f>
        <v>0</v>
      </c>
      <c r="W62" s="18">
        <f>データファイル用!AL62</f>
        <v>0</v>
      </c>
      <c r="X62" s="19">
        <f>データファイル用!AM62</f>
        <v>0</v>
      </c>
      <c r="Y62" s="19">
        <f>データファイル用!AN62</f>
        <v>0</v>
      </c>
      <c r="Z62" s="19">
        <f>データファイル用!AO62</f>
        <v>0</v>
      </c>
      <c r="AA62" s="19">
        <f>データファイル用!AP62</f>
        <v>0</v>
      </c>
      <c r="AB62" s="19">
        <f>データファイル用!AQ62</f>
        <v>0</v>
      </c>
      <c r="AC62" s="19">
        <f>データファイル用!AR62</f>
        <v>0</v>
      </c>
      <c r="AD62">
        <f t="shared" si="0"/>
        <v>0.35</v>
      </c>
      <c r="AE62" t="str">
        <f t="shared" si="1"/>
        <v>OK</v>
      </c>
    </row>
    <row r="63" spans="1:31">
      <c r="A63">
        <v>60</v>
      </c>
      <c r="B63" s="17" t="str">
        <f>データファイル用!$B63</f>
        <v>ASHRAE Cement Board</v>
      </c>
      <c r="C63" s="20">
        <f>データファイル用!R63</f>
        <v>3</v>
      </c>
      <c r="D63" s="21">
        <f>データファイル用!S63</f>
        <v>0.1</v>
      </c>
      <c r="E63" s="24">
        <f>データファイル用!T63</f>
        <v>-36.841361487904734</v>
      </c>
      <c r="F63" s="19">
        <f>データファイル用!U63</f>
        <v>0</v>
      </c>
      <c r="G63" s="19">
        <f>データファイル用!V63</f>
        <v>0</v>
      </c>
      <c r="H63" s="19">
        <f>データファイル用!W63</f>
        <v>0</v>
      </c>
      <c r="I63" s="19">
        <f>データファイル用!X63</f>
        <v>0</v>
      </c>
      <c r="J63" s="19">
        <f>データファイル用!Y63</f>
        <v>0</v>
      </c>
      <c r="K63" s="19">
        <f>データファイル用!Z63</f>
        <v>0</v>
      </c>
      <c r="L63" s="20">
        <f>データファイル用!AA63</f>
        <v>0.1</v>
      </c>
      <c r="M63" s="17">
        <f>データファイル用!AB63</f>
        <v>0.14000000000000001</v>
      </c>
      <c r="N63" s="19">
        <f>データファイル用!AC63</f>
        <v>-13.693</v>
      </c>
      <c r="O63" s="19">
        <f>データファイル用!AD63</f>
        <v>-138</v>
      </c>
      <c r="P63" s="19">
        <f>データファイル用!AE63</f>
        <v>719.98</v>
      </c>
      <c r="Q63" s="19">
        <f>データファイル用!AF63</f>
        <v>0</v>
      </c>
      <c r="R63" s="19">
        <f>データファイル用!AG63</f>
        <v>0</v>
      </c>
      <c r="S63" s="19">
        <f>データファイル用!AH63</f>
        <v>0</v>
      </c>
      <c r="T63" s="19">
        <f>データファイル用!AI63</f>
        <v>0</v>
      </c>
      <c r="U63" s="17">
        <f>データファイル用!AJ63</f>
        <v>0.14000000000000001</v>
      </c>
      <c r="V63" s="21">
        <f>データファイル用!AK63</f>
        <v>0.43</v>
      </c>
      <c r="W63" s="18">
        <f>データファイル用!AL63</f>
        <v>-18.514991423423606</v>
      </c>
      <c r="X63" s="19">
        <f>データファイル用!AM63</f>
        <v>0</v>
      </c>
      <c r="Y63" s="19">
        <f>データファイル用!AN63</f>
        <v>0</v>
      </c>
      <c r="Z63" s="19">
        <f>データファイル用!AO63</f>
        <v>0</v>
      </c>
      <c r="AA63" s="19">
        <f>データファイル用!AP63</f>
        <v>0</v>
      </c>
      <c r="AB63" s="19">
        <f>データファイル用!AQ63</f>
        <v>0</v>
      </c>
      <c r="AC63" s="19">
        <f>データファイル用!AR63</f>
        <v>0</v>
      </c>
      <c r="AD63">
        <f t="shared" si="0"/>
        <v>0.43</v>
      </c>
      <c r="AE63" t="str">
        <f t="shared" si="1"/>
        <v>OK</v>
      </c>
    </row>
    <row r="64" spans="1:31">
      <c r="A64">
        <v>61</v>
      </c>
      <c r="B64" s="17" t="str">
        <f>データファイル用!$B64</f>
        <v>ASHRAE Lime Stone</v>
      </c>
      <c r="C64" s="20">
        <f>データファイル用!R64</f>
        <v>2</v>
      </c>
      <c r="D64" s="21">
        <f>データファイル用!S64</f>
        <v>3.7000000000000002E-3</v>
      </c>
      <c r="E64" s="24">
        <f>データファイル用!T64</f>
        <v>-36.841361487904734</v>
      </c>
      <c r="F64" s="19">
        <f>データファイル用!U64</f>
        <v>0</v>
      </c>
      <c r="G64" s="19">
        <f>データファイル用!V64</f>
        <v>0</v>
      </c>
      <c r="H64" s="19">
        <f>データファイル用!W64</f>
        <v>0</v>
      </c>
      <c r="I64" s="19">
        <f>データファイル用!X64</f>
        <v>0</v>
      </c>
      <c r="J64" s="19">
        <f>データファイル用!Y64</f>
        <v>0</v>
      </c>
      <c r="K64" s="19">
        <f>データファイル用!Z64</f>
        <v>0</v>
      </c>
      <c r="L64" s="20">
        <f>データファイル用!AA64</f>
        <v>3.7000000000000002E-3</v>
      </c>
      <c r="M64" s="17">
        <f>データファイル用!AB64</f>
        <v>1.6E-2</v>
      </c>
      <c r="N64" s="19">
        <f>データファイル用!AC64</f>
        <v>-23.382525873879189</v>
      </c>
      <c r="O64" s="19">
        <f>データファイル用!AD64</f>
        <v>0</v>
      </c>
      <c r="P64" s="19">
        <f>データファイル用!AE64</f>
        <v>0</v>
      </c>
      <c r="Q64" s="19">
        <f>データファイル用!AF64</f>
        <v>0</v>
      </c>
      <c r="R64" s="19">
        <f>データファイル用!AG64</f>
        <v>0</v>
      </c>
      <c r="S64" s="19">
        <f>データファイル用!AH64</f>
        <v>0</v>
      </c>
      <c r="T64" s="19">
        <f>データファイル用!AI64</f>
        <v>0</v>
      </c>
      <c r="U64" s="17">
        <f>データファイル用!AJ64</f>
        <v>0</v>
      </c>
      <c r="V64" s="21">
        <f>データファイル用!AK64</f>
        <v>0</v>
      </c>
      <c r="W64" s="18">
        <f>データファイル用!AL64</f>
        <v>0</v>
      </c>
      <c r="X64" s="19">
        <f>データファイル用!AM64</f>
        <v>0</v>
      </c>
      <c r="Y64" s="19">
        <f>データファイル用!AN64</f>
        <v>0</v>
      </c>
      <c r="Z64" s="19">
        <f>データファイル用!AO64</f>
        <v>0</v>
      </c>
      <c r="AA64" s="19">
        <f>データファイル用!AP64</f>
        <v>0</v>
      </c>
      <c r="AB64" s="19">
        <f>データファイル用!AQ64</f>
        <v>0</v>
      </c>
      <c r="AC64" s="19">
        <f>データファイル用!AR64</f>
        <v>0</v>
      </c>
      <c r="AD64">
        <f t="shared" si="0"/>
        <v>1.6E-2</v>
      </c>
      <c r="AE64" t="str">
        <f t="shared" si="1"/>
        <v>OK</v>
      </c>
    </row>
    <row r="65" spans="1:31">
      <c r="A65">
        <v>62</v>
      </c>
      <c r="B65" s="17" t="str">
        <f>データファイル用!$B65</f>
        <v>ASHRAE Low-density Glassfibre Batt Insulation</v>
      </c>
      <c r="C65" s="20">
        <f>データファイル用!R65</f>
        <v>2</v>
      </c>
      <c r="D65" s="21">
        <f>データファイル用!S65</f>
        <v>2.1999999999999999E-2</v>
      </c>
      <c r="E65" s="24">
        <f>データファイル用!T65</f>
        <v>-36.841361487904734</v>
      </c>
      <c r="F65" s="19">
        <f>データファイル用!U65</f>
        <v>0</v>
      </c>
      <c r="G65" s="19">
        <f>データファイル用!V65</f>
        <v>0</v>
      </c>
      <c r="H65" s="19">
        <f>データファイル用!W65</f>
        <v>0</v>
      </c>
      <c r="I65" s="19">
        <f>データファイル用!X65</f>
        <v>0</v>
      </c>
      <c r="J65" s="19">
        <f>データファイル用!Y65</f>
        <v>0</v>
      </c>
      <c r="K65" s="19">
        <f>データファイル用!Z65</f>
        <v>0</v>
      </c>
      <c r="L65" s="20">
        <f>データファイル用!AA65</f>
        <v>2.3E-2</v>
      </c>
      <c r="M65" s="17">
        <f>データファイル用!AB65</f>
        <v>87</v>
      </c>
      <c r="N65" s="19">
        <f>データファイル用!AC65</f>
        <v>-18.420680743952367</v>
      </c>
      <c r="O65" s="19">
        <f>データファイル用!AD65</f>
        <v>0</v>
      </c>
      <c r="P65" s="19">
        <f>データファイル用!AE65</f>
        <v>0</v>
      </c>
      <c r="Q65" s="19">
        <f>データファイル用!AF65</f>
        <v>0</v>
      </c>
      <c r="R65" s="19">
        <f>データファイル用!AG65</f>
        <v>0</v>
      </c>
      <c r="S65" s="19">
        <f>データファイル用!AH65</f>
        <v>0</v>
      </c>
      <c r="T65" s="19">
        <f>データファイル用!AI65</f>
        <v>0</v>
      </c>
      <c r="U65" s="17">
        <f>データファイル用!AJ65</f>
        <v>0</v>
      </c>
      <c r="V65" s="21">
        <f>データファイル用!AK65</f>
        <v>0</v>
      </c>
      <c r="W65" s="18">
        <f>データファイル用!AL65</f>
        <v>0</v>
      </c>
      <c r="X65" s="19">
        <f>データファイル用!AM65</f>
        <v>0</v>
      </c>
      <c r="Y65" s="19">
        <f>データファイル用!AN65</f>
        <v>0</v>
      </c>
      <c r="Z65" s="19">
        <f>データファイル用!AO65</f>
        <v>0</v>
      </c>
      <c r="AA65" s="19">
        <f>データファイル用!AP65</f>
        <v>0</v>
      </c>
      <c r="AB65" s="19">
        <f>データファイル用!AQ65</f>
        <v>0</v>
      </c>
      <c r="AC65" s="19">
        <f>データファイル用!AR65</f>
        <v>0</v>
      </c>
      <c r="AD65">
        <f t="shared" si="0"/>
        <v>87</v>
      </c>
      <c r="AE65" t="str">
        <f t="shared" si="1"/>
        <v>L≠D(0.023≠0.022)</v>
      </c>
    </row>
    <row r="66" spans="1:31">
      <c r="A66">
        <v>63</v>
      </c>
      <c r="B66" s="17" t="str">
        <f>データファイル用!$B66</f>
        <v>ASHRAE Cellulose Insulation</v>
      </c>
      <c r="C66" s="20">
        <f>データファイル用!R66</f>
        <v>2</v>
      </c>
      <c r="D66" s="21">
        <f>データファイル用!S66</f>
        <v>0.2</v>
      </c>
      <c r="E66" s="24">
        <f>データファイル用!T66</f>
        <v>-36.841361487904734</v>
      </c>
      <c r="F66" s="19">
        <f>データファイル用!U66</f>
        <v>0</v>
      </c>
      <c r="G66" s="19">
        <f>データファイル用!V66</f>
        <v>0</v>
      </c>
      <c r="H66" s="19">
        <f>データファイル用!W66</f>
        <v>0</v>
      </c>
      <c r="I66" s="19">
        <f>データファイル用!X66</f>
        <v>0</v>
      </c>
      <c r="J66" s="19">
        <f>データファイル用!Y66</f>
        <v>0</v>
      </c>
      <c r="K66" s="19">
        <f>データファイル用!Z66</f>
        <v>0</v>
      </c>
      <c r="L66" s="20">
        <f>データファイル用!AA66</f>
        <v>0.2</v>
      </c>
      <c r="M66" s="17">
        <f>データファイル用!AB66</f>
        <v>30</v>
      </c>
      <c r="N66" s="19">
        <f>データファイル用!AC66</f>
        <v>-13.815510557964274</v>
      </c>
      <c r="O66" s="19">
        <f>データファイル用!AD66</f>
        <v>0</v>
      </c>
      <c r="P66" s="19">
        <f>データファイル用!AE66</f>
        <v>0</v>
      </c>
      <c r="Q66" s="19">
        <f>データファイル用!AF66</f>
        <v>0</v>
      </c>
      <c r="R66" s="19">
        <f>データファイル用!AG66</f>
        <v>0</v>
      </c>
      <c r="S66" s="19">
        <f>データファイル用!AH66</f>
        <v>0</v>
      </c>
      <c r="T66" s="19">
        <f>データファイル用!AI66</f>
        <v>0</v>
      </c>
      <c r="U66" s="17">
        <f>データファイル用!AJ66</f>
        <v>0</v>
      </c>
      <c r="V66" s="21">
        <f>データファイル用!AK66</f>
        <v>0</v>
      </c>
      <c r="W66" s="18">
        <f>データファイル用!AL66</f>
        <v>0</v>
      </c>
      <c r="X66" s="19">
        <f>データファイル用!AM66</f>
        <v>0</v>
      </c>
      <c r="Y66" s="19">
        <f>データファイル用!AN66</f>
        <v>0</v>
      </c>
      <c r="Z66" s="19">
        <f>データファイル用!AO66</f>
        <v>0</v>
      </c>
      <c r="AA66" s="19">
        <f>データファイル用!AP66</f>
        <v>0</v>
      </c>
      <c r="AB66" s="19">
        <f>データファイル用!AQ66</f>
        <v>0</v>
      </c>
      <c r="AC66" s="19">
        <f>データファイル用!AR66</f>
        <v>0</v>
      </c>
      <c r="AD66">
        <f t="shared" si="0"/>
        <v>30</v>
      </c>
      <c r="AE66" t="str">
        <f t="shared" si="1"/>
        <v>OK</v>
      </c>
    </row>
    <row r="67" spans="1:31">
      <c r="A67">
        <v>64</v>
      </c>
      <c r="B67" s="17" t="str">
        <f>データファイル用!$B67</f>
        <v>ASHRAE Expanded Polystyrene Insulation</v>
      </c>
      <c r="C67" s="20">
        <f>データファイル用!R67</f>
        <v>0</v>
      </c>
      <c r="D67" s="21">
        <f>データファイル用!S67</f>
        <v>0</v>
      </c>
      <c r="E67" s="24">
        <f>データファイル用!T67</f>
        <v>-36.841361487904734</v>
      </c>
      <c r="F67" s="19">
        <f>データファイル用!U67</f>
        <v>0</v>
      </c>
      <c r="G67" s="19">
        <f>データファイル用!V67</f>
        <v>0</v>
      </c>
      <c r="H67" s="19">
        <f>データファイル用!W67</f>
        <v>0</v>
      </c>
      <c r="I67" s="19">
        <f>データファイル用!X67</f>
        <v>0</v>
      </c>
      <c r="J67" s="19">
        <f>データファイル用!Y67</f>
        <v>0</v>
      </c>
      <c r="K67" s="19">
        <f>データファイル用!Z67</f>
        <v>0</v>
      </c>
      <c r="L67" s="20">
        <f>データファイル用!AA67</f>
        <v>0</v>
      </c>
      <c r="M67" s="17">
        <f>データファイル用!AB67</f>
        <v>0</v>
      </c>
      <c r="N67" s="19">
        <f>データファイル用!AC67</f>
        <v>0</v>
      </c>
      <c r="O67" s="19">
        <f>データファイル用!AD67</f>
        <v>0</v>
      </c>
      <c r="P67" s="19">
        <f>データファイル用!AE67</f>
        <v>0</v>
      </c>
      <c r="Q67" s="19">
        <f>データファイル用!AF67</f>
        <v>0</v>
      </c>
      <c r="R67" s="19">
        <f>データファイル用!AG67</f>
        <v>0</v>
      </c>
      <c r="S67" s="19">
        <f>データファイル用!AH67</f>
        <v>0</v>
      </c>
      <c r="T67" s="19">
        <f>データファイル用!AI67</f>
        <v>0</v>
      </c>
      <c r="U67" s="17">
        <f>データファイル用!AJ67</f>
        <v>0</v>
      </c>
      <c r="V67" s="21">
        <f>データファイル用!AK67</f>
        <v>0</v>
      </c>
      <c r="W67" s="18">
        <f>データファイル用!AL67</f>
        <v>0</v>
      </c>
      <c r="X67" s="19">
        <f>データファイル用!AM67</f>
        <v>0</v>
      </c>
      <c r="Y67" s="19">
        <f>データファイル用!AN67</f>
        <v>0</v>
      </c>
      <c r="Z67" s="19">
        <f>データファイル用!AO67</f>
        <v>0</v>
      </c>
      <c r="AA67" s="19">
        <f>データファイル用!AP67</f>
        <v>0</v>
      </c>
      <c r="AB67" s="19">
        <f>データファイル用!AQ67</f>
        <v>0</v>
      </c>
      <c r="AC67" s="19">
        <f>データファイル用!AR67</f>
        <v>0</v>
      </c>
      <c r="AD67">
        <f t="shared" si="0"/>
        <v>1</v>
      </c>
      <c r="AE67" t="str">
        <f t="shared" si="1"/>
        <v>OK</v>
      </c>
    </row>
    <row r="68" spans="1:31">
      <c r="A68">
        <v>65</v>
      </c>
      <c r="B68" s="17" t="str">
        <f>データファイル用!$B68</f>
        <v>ASHRAE Extruded Polystyrene Insulation</v>
      </c>
      <c r="C68" s="20">
        <f>データファイル用!R68</f>
        <v>0</v>
      </c>
      <c r="D68" s="21">
        <f>データファイル用!S68</f>
        <v>0</v>
      </c>
      <c r="E68" s="24">
        <f>データファイル用!T68</f>
        <v>-36.841361487904734</v>
      </c>
      <c r="F68" s="19">
        <f>データファイル用!U68</f>
        <v>0</v>
      </c>
      <c r="G68" s="19">
        <f>データファイル用!V68</f>
        <v>0</v>
      </c>
      <c r="H68" s="19">
        <f>データファイル用!W68</f>
        <v>0</v>
      </c>
      <c r="I68" s="19">
        <f>データファイル用!X68</f>
        <v>0</v>
      </c>
      <c r="J68" s="19">
        <f>データファイル用!Y68</f>
        <v>0</v>
      </c>
      <c r="K68" s="19">
        <f>データファイル用!Z68</f>
        <v>0</v>
      </c>
      <c r="L68" s="20">
        <f>データファイル用!AA68</f>
        <v>0</v>
      </c>
      <c r="M68" s="17">
        <f>データファイル用!AB68</f>
        <v>0</v>
      </c>
      <c r="N68" s="19">
        <f>データファイル用!AC68</f>
        <v>0</v>
      </c>
      <c r="O68" s="19">
        <f>データファイル用!AD68</f>
        <v>0</v>
      </c>
      <c r="P68" s="19">
        <f>データファイル用!AE68</f>
        <v>0</v>
      </c>
      <c r="Q68" s="19">
        <f>データファイル用!AF68</f>
        <v>0</v>
      </c>
      <c r="R68" s="19">
        <f>データファイル用!AG68</f>
        <v>0</v>
      </c>
      <c r="S68" s="19">
        <f>データファイル用!AH68</f>
        <v>0</v>
      </c>
      <c r="T68" s="19">
        <f>データファイル用!AI68</f>
        <v>0</v>
      </c>
      <c r="U68" s="17">
        <f>データファイル用!AJ68</f>
        <v>0</v>
      </c>
      <c r="V68" s="21">
        <f>データファイル用!AK68</f>
        <v>0</v>
      </c>
      <c r="W68" s="18">
        <f>データファイル用!AL68</f>
        <v>0</v>
      </c>
      <c r="X68" s="19">
        <f>データファイル用!AM68</f>
        <v>0</v>
      </c>
      <c r="Y68" s="19">
        <f>データファイル用!AN68</f>
        <v>0</v>
      </c>
      <c r="Z68" s="19">
        <f>データファイル用!AO68</f>
        <v>0</v>
      </c>
      <c r="AA68" s="19">
        <f>データファイル用!AP68</f>
        <v>0</v>
      </c>
      <c r="AB68" s="19">
        <f>データファイル用!AQ68</f>
        <v>0</v>
      </c>
      <c r="AC68" s="19">
        <f>データファイル用!AR68</f>
        <v>0</v>
      </c>
      <c r="AD68">
        <f t="shared" si="0"/>
        <v>1</v>
      </c>
      <c r="AE68" t="str">
        <f t="shared" si="1"/>
        <v>OK</v>
      </c>
    </row>
    <row r="69" spans="1:31">
      <c r="A69">
        <v>66</v>
      </c>
      <c r="B69" s="17" t="str">
        <f>データファイル用!$B69</f>
        <v>ASHRAE Spray Polyurethane Foam Insulation</v>
      </c>
      <c r="C69" s="20">
        <f>データファイル用!R69</f>
        <v>2</v>
      </c>
      <c r="D69" s="21">
        <f>データファイル用!S69</f>
        <v>7.0999999999999994E-2</v>
      </c>
      <c r="E69" s="24">
        <f>データファイル用!T69</f>
        <v>-36.841361487904734</v>
      </c>
      <c r="F69" s="19">
        <f>データファイル用!U69</f>
        <v>0</v>
      </c>
      <c r="G69" s="19">
        <f>データファイル用!V69</f>
        <v>0</v>
      </c>
      <c r="H69" s="19">
        <f>データファイル用!W69</f>
        <v>0</v>
      </c>
      <c r="I69" s="19">
        <f>データファイル用!X69</f>
        <v>0</v>
      </c>
      <c r="J69" s="19">
        <f>データファイル用!Y69</f>
        <v>0</v>
      </c>
      <c r="K69" s="19">
        <f>データファイル用!Z69</f>
        <v>0</v>
      </c>
      <c r="L69" s="20">
        <f>データファイル用!AA69</f>
        <v>7.6999999999999999E-2</v>
      </c>
      <c r="M69" s="17">
        <f>データファイル用!AB69</f>
        <v>2.9</v>
      </c>
      <c r="N69" s="19">
        <f>データファイル用!AC69</f>
        <v>-27.631021115928547</v>
      </c>
      <c r="O69" s="19">
        <f>データファイル用!AD69</f>
        <v>0</v>
      </c>
      <c r="P69" s="19">
        <f>データファイル用!AE69</f>
        <v>0</v>
      </c>
      <c r="Q69" s="19">
        <f>データファイル用!AF69</f>
        <v>0</v>
      </c>
      <c r="R69" s="19">
        <f>データファイル用!AG69</f>
        <v>0</v>
      </c>
      <c r="S69" s="19">
        <f>データファイル用!AH69</f>
        <v>0</v>
      </c>
      <c r="T69" s="19">
        <f>データファイル用!AI69</f>
        <v>0</v>
      </c>
      <c r="U69" s="17">
        <f>データファイル用!AJ69</f>
        <v>0</v>
      </c>
      <c r="V69" s="21">
        <f>データファイル用!AK69</f>
        <v>0</v>
      </c>
      <c r="W69" s="18">
        <f>データファイル用!AL69</f>
        <v>0</v>
      </c>
      <c r="X69" s="19">
        <f>データファイル用!AM69</f>
        <v>0</v>
      </c>
      <c r="Y69" s="19">
        <f>データファイル用!AN69</f>
        <v>0</v>
      </c>
      <c r="Z69" s="19">
        <f>データファイル用!AO69</f>
        <v>0</v>
      </c>
      <c r="AA69" s="19">
        <f>データファイル用!AP69</f>
        <v>0</v>
      </c>
      <c r="AB69" s="19">
        <f>データファイル用!AQ69</f>
        <v>0</v>
      </c>
      <c r="AC69" s="19">
        <f>データファイル用!AR69</f>
        <v>0</v>
      </c>
      <c r="AD69">
        <f t="shared" ref="AD69:AD82" si="2">IF(V69&gt;0,V69,IF(M69&gt;0,M69,IF(D69&gt;0,D69,$AD$2)))</f>
        <v>2.9</v>
      </c>
      <c r="AE69" t="str">
        <f t="shared" ref="AE69:AE82" si="3">_xlfn.LET(_xlpm.err, _xlfn.TEXTJOIN(" / ", TRUE, IF(AND(C69=0, D69+L69+M69+U69+V69&lt;&gt;0), "C=0だが境界値≠0", ""), IF(AND(C69=1, D69+L69+M69+U69+V69&lt;&gt;0), "C=1だが境界値≠0", ""), IF(AND(C69&gt;=2, D69&lt;=0), "D≤0", ""), IF(AND(C69&gt;=2, ABS(L69-D69)&gt;0.00000001), "L≠D("&amp;L69&amp;"≠"&amp;D69&amp;")", ""), IF(AND(C69&gt;=2, M69&lt;=D69), "M≤D", ""), IF(AND(C69=2, OR(U69&lt;&gt;0,V69&lt;&gt;0)), "C=2だが範囲大値あり", ""), IF(AND(C69&gt;=3, ABS(U69-M69)&gt;0.00000001), "U≠M("&amp;U69&amp;"≠"&amp;M69&amp;")", ""), IF(AND(C69&gt;=3, V69&lt;=M69), "V≤M", ""), IF(C69&gt;4, "C値異常("&amp;C69&amp;")", "")), IF(_xlpm.err="","OK",_xlpm.err))</f>
        <v>L≠D(0.077≠0.071)</v>
      </c>
    </row>
    <row r="70" spans="1:31">
      <c r="A70">
        <v>67</v>
      </c>
      <c r="B70" s="17" t="str">
        <f>データファイル用!$B70</f>
        <v>ASHRAE Polyisocyanurate Insulation</v>
      </c>
      <c r="C70" s="20">
        <f>データファイル用!R70</f>
        <v>2</v>
      </c>
      <c r="D70" s="21">
        <f>データファイル用!S70</f>
        <v>8.1</v>
      </c>
      <c r="E70" s="24">
        <f>データファイル用!T70</f>
        <v>-36.841361487904734</v>
      </c>
      <c r="F70" s="19">
        <f>データファイル用!U70</f>
        <v>0</v>
      </c>
      <c r="G70" s="19">
        <f>データファイル用!V70</f>
        <v>0</v>
      </c>
      <c r="H70" s="19">
        <f>データファイル用!W70</f>
        <v>0</v>
      </c>
      <c r="I70" s="19">
        <f>データファイル用!X70</f>
        <v>0</v>
      </c>
      <c r="J70" s="19">
        <f>データファイル用!Y70</f>
        <v>0</v>
      </c>
      <c r="K70" s="19">
        <f>データファイル用!Z70</f>
        <v>0</v>
      </c>
      <c r="L70" s="20">
        <f>データファイル用!AA70</f>
        <v>9.3000000000000007</v>
      </c>
      <c r="M70" s="17">
        <f>データファイル用!AB70</f>
        <v>38</v>
      </c>
      <c r="N70" s="19">
        <f>データファイル用!AC70</f>
        <v>-27.631021115928547</v>
      </c>
      <c r="O70" s="19">
        <f>データファイル用!AD70</f>
        <v>0</v>
      </c>
      <c r="P70" s="19">
        <f>データファイル用!AE70</f>
        <v>0</v>
      </c>
      <c r="Q70" s="19">
        <f>データファイル用!AF70</f>
        <v>0</v>
      </c>
      <c r="R70" s="19">
        <f>データファイル用!AG70</f>
        <v>0</v>
      </c>
      <c r="S70" s="19">
        <f>データファイル用!AH70</f>
        <v>0</v>
      </c>
      <c r="T70" s="19">
        <f>データファイル用!AI70</f>
        <v>0</v>
      </c>
      <c r="U70" s="17">
        <f>データファイル用!AJ70</f>
        <v>0</v>
      </c>
      <c r="V70" s="21">
        <f>データファイル用!AK70</f>
        <v>0</v>
      </c>
      <c r="W70" s="18">
        <f>データファイル用!AL70</f>
        <v>0</v>
      </c>
      <c r="X70" s="19">
        <f>データファイル用!AM70</f>
        <v>0</v>
      </c>
      <c r="Y70" s="19">
        <f>データファイル用!AN70</f>
        <v>0</v>
      </c>
      <c r="Z70" s="19">
        <f>データファイル用!AO70</f>
        <v>0</v>
      </c>
      <c r="AA70" s="19">
        <f>データファイル用!AP70</f>
        <v>0</v>
      </c>
      <c r="AB70" s="19">
        <f>データファイル用!AQ70</f>
        <v>0</v>
      </c>
      <c r="AC70" s="19">
        <f>データファイル用!AR70</f>
        <v>0</v>
      </c>
      <c r="AD70">
        <f t="shared" si="2"/>
        <v>38</v>
      </c>
      <c r="AE70" t="str">
        <f t="shared" si="3"/>
        <v>L≠D(9.3≠8.1)</v>
      </c>
    </row>
    <row r="71" spans="1:31">
      <c r="A71">
        <v>68</v>
      </c>
      <c r="B71" s="17" t="str">
        <f>データファイル用!$B71</f>
        <v>ASHRAE Low-density Polyurethane Foam Insulation</v>
      </c>
      <c r="C71" s="20">
        <f>データファイル用!R71</f>
        <v>2</v>
      </c>
      <c r="D71" s="21">
        <f>データファイル用!S71</f>
        <v>0.25</v>
      </c>
      <c r="E71" s="24">
        <f>データファイル用!T71</f>
        <v>-36.841361487904734</v>
      </c>
      <c r="F71" s="19">
        <f>データファイル用!U71</f>
        <v>0</v>
      </c>
      <c r="G71" s="19">
        <f>データファイル用!V71</f>
        <v>0</v>
      </c>
      <c r="H71" s="19">
        <f>データファイル用!W71</f>
        <v>0</v>
      </c>
      <c r="I71" s="19">
        <f>データファイル用!X71</f>
        <v>0</v>
      </c>
      <c r="J71" s="19">
        <f>データファイル用!Y71</f>
        <v>0</v>
      </c>
      <c r="K71" s="19">
        <f>データファイル用!Z71</f>
        <v>0</v>
      </c>
      <c r="L71" s="20">
        <f>データファイル用!AA71</f>
        <v>0.27</v>
      </c>
      <c r="M71" s="17">
        <f>データファイル用!AB71</f>
        <v>85</v>
      </c>
      <c r="N71" s="19">
        <f>データファイル用!AC71</f>
        <v>-27.631021115928547</v>
      </c>
      <c r="O71" s="19">
        <f>データファイル用!AD71</f>
        <v>0</v>
      </c>
      <c r="P71" s="19">
        <f>データファイル用!AE71</f>
        <v>0</v>
      </c>
      <c r="Q71" s="19">
        <f>データファイル用!AF71</f>
        <v>0</v>
      </c>
      <c r="R71" s="19">
        <f>データファイル用!AG71</f>
        <v>0</v>
      </c>
      <c r="S71" s="19">
        <f>データファイル用!AH71</f>
        <v>0</v>
      </c>
      <c r="T71" s="19">
        <f>データファイル用!AI71</f>
        <v>0</v>
      </c>
      <c r="U71" s="17">
        <f>データファイル用!AJ71</f>
        <v>0</v>
      </c>
      <c r="V71" s="21">
        <f>データファイル用!AK71</f>
        <v>0</v>
      </c>
      <c r="W71" s="18">
        <f>データファイル用!AL71</f>
        <v>0</v>
      </c>
      <c r="X71" s="19">
        <f>データファイル用!AM71</f>
        <v>0</v>
      </c>
      <c r="Y71" s="19">
        <f>データファイル用!AN71</f>
        <v>0</v>
      </c>
      <c r="Z71" s="19">
        <f>データファイル用!AO71</f>
        <v>0</v>
      </c>
      <c r="AA71" s="19">
        <f>データファイル用!AP71</f>
        <v>0</v>
      </c>
      <c r="AB71" s="19">
        <f>データファイル用!AQ71</f>
        <v>0</v>
      </c>
      <c r="AC71" s="19">
        <f>データファイル用!AR71</f>
        <v>0</v>
      </c>
      <c r="AD71">
        <f t="shared" si="2"/>
        <v>85</v>
      </c>
      <c r="AE71" t="str">
        <f t="shared" si="3"/>
        <v>L≠D(0.27≠0.25)</v>
      </c>
    </row>
    <row r="72" spans="1:31">
      <c r="A72">
        <v>69</v>
      </c>
      <c r="B72" s="17" t="str">
        <f>データファイル用!$B72</f>
        <v>ASHRAE #15 Felt</v>
      </c>
      <c r="C72" s="20">
        <f>データファイル用!R72</f>
        <v>2</v>
      </c>
      <c r="D72" s="21">
        <f>データファイル用!S72</f>
        <v>0.18</v>
      </c>
      <c r="E72" s="24">
        <f>データファイル用!T72</f>
        <v>-36.841361487904734</v>
      </c>
      <c r="F72" s="19">
        <f>データファイル用!U72</f>
        <v>0</v>
      </c>
      <c r="G72" s="19">
        <f>データファイル用!V72</f>
        <v>0</v>
      </c>
      <c r="H72" s="19">
        <f>データファイル用!W72</f>
        <v>0</v>
      </c>
      <c r="I72" s="19">
        <f>データファイル用!X72</f>
        <v>0</v>
      </c>
      <c r="J72" s="19">
        <f>データファイル用!Y72</f>
        <v>0</v>
      </c>
      <c r="K72" s="19">
        <f>データファイル用!Z72</f>
        <v>0</v>
      </c>
      <c r="L72" s="20">
        <f>データファイル用!AA72</f>
        <v>0.18</v>
      </c>
      <c r="M72" s="17">
        <f>データファイル用!AB72</f>
        <v>1.1000000000000001</v>
      </c>
      <c r="N72" s="19">
        <f>データファイル用!AC72</f>
        <v>-34.639000000000003</v>
      </c>
      <c r="O72" s="19">
        <f>データファイル用!AD72</f>
        <v>7.3796999999999997</v>
      </c>
      <c r="P72" s="19">
        <f>データファイル用!AE72</f>
        <v>-0.32745000000000002</v>
      </c>
      <c r="Q72" s="19">
        <f>データファイル用!AF72</f>
        <v>0</v>
      </c>
      <c r="R72" s="19">
        <f>データファイル用!AG72</f>
        <v>0</v>
      </c>
      <c r="S72" s="19">
        <f>データファイル用!AH72</f>
        <v>0</v>
      </c>
      <c r="T72" s="19">
        <f>データファイル用!AI72</f>
        <v>0</v>
      </c>
      <c r="U72" s="17">
        <f>データファイル用!AJ72</f>
        <v>0</v>
      </c>
      <c r="V72" s="21">
        <f>データファイル用!AK72</f>
        <v>0</v>
      </c>
      <c r="W72" s="18">
        <f>データファイル用!AL72</f>
        <v>0</v>
      </c>
      <c r="X72" s="19">
        <f>データファイル用!AM72</f>
        <v>0</v>
      </c>
      <c r="Y72" s="19">
        <f>データファイル用!AN72</f>
        <v>0</v>
      </c>
      <c r="Z72" s="19">
        <f>データファイル用!AO72</f>
        <v>0</v>
      </c>
      <c r="AA72" s="19">
        <f>データファイル用!AP72</f>
        <v>0</v>
      </c>
      <c r="AB72" s="19">
        <f>データファイル用!AQ72</f>
        <v>0</v>
      </c>
      <c r="AC72" s="19">
        <f>データファイル用!AR72</f>
        <v>0</v>
      </c>
      <c r="AD72">
        <f t="shared" si="2"/>
        <v>1.1000000000000001</v>
      </c>
      <c r="AE72" t="str">
        <f t="shared" si="3"/>
        <v>OK</v>
      </c>
    </row>
    <row r="73" spans="1:31">
      <c r="A73">
        <v>70</v>
      </c>
      <c r="B73" s="17" t="str">
        <f>データファイル用!$B73</f>
        <v>ASHRAE 10 min Paper</v>
      </c>
      <c r="C73" s="20">
        <f>データファイル用!R73</f>
        <v>2</v>
      </c>
      <c r="D73" s="21">
        <f>データファイル用!S73</f>
        <v>0.18</v>
      </c>
      <c r="E73" s="24">
        <f>データファイル用!T73</f>
        <v>-36.841361487904734</v>
      </c>
      <c r="F73" s="19">
        <f>データファイル用!U73</f>
        <v>0</v>
      </c>
      <c r="G73" s="19">
        <f>データファイル用!V73</f>
        <v>0</v>
      </c>
      <c r="H73" s="19">
        <f>データファイル用!W73</f>
        <v>0</v>
      </c>
      <c r="I73" s="19">
        <f>データファイル用!X73</f>
        <v>0</v>
      </c>
      <c r="J73" s="19">
        <f>データファイル用!Y73</f>
        <v>0</v>
      </c>
      <c r="K73" s="19">
        <f>データファイル用!Z73</f>
        <v>0</v>
      </c>
      <c r="L73" s="20">
        <f>データファイル用!AA73</f>
        <v>0.18</v>
      </c>
      <c r="M73" s="17">
        <f>データファイル用!AB73</f>
        <v>1.1000000000000001</v>
      </c>
      <c r="N73" s="19">
        <f>データファイル用!AC73</f>
        <v>-33.319000000000003</v>
      </c>
      <c r="O73" s="19">
        <f>データファイル用!AD73</f>
        <v>5.3752000000000004</v>
      </c>
      <c r="P73" s="19">
        <f>データファイル用!AE73</f>
        <v>3.1280000000000001</v>
      </c>
      <c r="Q73" s="19">
        <f>データファイル用!AF73</f>
        <v>-1.8021</v>
      </c>
      <c r="R73" s="19">
        <f>データファイル用!AG73</f>
        <v>0</v>
      </c>
      <c r="S73" s="19">
        <f>データファイル用!AH73</f>
        <v>0</v>
      </c>
      <c r="T73" s="19">
        <f>データファイル用!AI73</f>
        <v>0</v>
      </c>
      <c r="U73" s="17">
        <f>データファイル用!AJ73</f>
        <v>0</v>
      </c>
      <c r="V73" s="21">
        <f>データファイル用!AK73</f>
        <v>0</v>
      </c>
      <c r="W73" s="18">
        <f>データファイル用!AL73</f>
        <v>0</v>
      </c>
      <c r="X73" s="19">
        <f>データファイル用!AM73</f>
        <v>0</v>
      </c>
      <c r="Y73" s="19">
        <f>データファイル用!AN73</f>
        <v>0</v>
      </c>
      <c r="Z73" s="19">
        <f>データファイル用!AO73</f>
        <v>0</v>
      </c>
      <c r="AA73" s="19">
        <f>データファイル用!AP73</f>
        <v>0</v>
      </c>
      <c r="AB73" s="19">
        <f>データファイル用!AQ73</f>
        <v>0</v>
      </c>
      <c r="AC73" s="19">
        <f>データファイル用!AR73</f>
        <v>0</v>
      </c>
      <c r="AD73">
        <f t="shared" si="2"/>
        <v>1.1000000000000001</v>
      </c>
      <c r="AE73" t="str">
        <f t="shared" si="3"/>
        <v>OK</v>
      </c>
    </row>
    <row r="74" spans="1:31">
      <c r="A74">
        <v>71</v>
      </c>
      <c r="B74" s="17" t="str">
        <f>データファイル用!$B74</f>
        <v>ASHRAE 30 min Paper</v>
      </c>
      <c r="C74" s="20">
        <f>データファイル用!R74</f>
        <v>2</v>
      </c>
      <c r="D74" s="21">
        <f>データファイル用!S74</f>
        <v>0.18</v>
      </c>
      <c r="E74" s="24">
        <f>データファイル用!T74</f>
        <v>-36.841361487904734</v>
      </c>
      <c r="F74" s="19">
        <f>データファイル用!U74</f>
        <v>0</v>
      </c>
      <c r="G74" s="19">
        <f>データファイル用!V74</f>
        <v>0</v>
      </c>
      <c r="H74" s="19">
        <f>データファイル用!W74</f>
        <v>0</v>
      </c>
      <c r="I74" s="19">
        <f>データファイル用!X74</f>
        <v>0</v>
      </c>
      <c r="J74" s="19">
        <f>データファイル用!Y74</f>
        <v>0</v>
      </c>
      <c r="K74" s="19">
        <f>データファイル用!Z74</f>
        <v>0</v>
      </c>
      <c r="L74" s="20">
        <f>データファイル用!AA74</f>
        <v>0.18</v>
      </c>
      <c r="M74" s="17">
        <f>データファイル用!AB74</f>
        <v>1.1000000000000001</v>
      </c>
      <c r="N74" s="19">
        <f>データファイル用!AC74</f>
        <v>-33.621000000000002</v>
      </c>
      <c r="O74" s="19">
        <f>データファイル用!AD74</f>
        <v>5.6165000000000003</v>
      </c>
      <c r="P74" s="19">
        <f>データファイル用!AE74</f>
        <v>2.7018</v>
      </c>
      <c r="Q74" s="19">
        <f>データファイル用!AF74</f>
        <v>-1.5645</v>
      </c>
      <c r="R74" s="19">
        <f>データファイル用!AG74</f>
        <v>0</v>
      </c>
      <c r="S74" s="19">
        <f>データファイル用!AH74</f>
        <v>0</v>
      </c>
      <c r="T74" s="19">
        <f>データファイル用!AI74</f>
        <v>0</v>
      </c>
      <c r="U74" s="17">
        <f>データファイル用!AJ74</f>
        <v>0</v>
      </c>
      <c r="V74" s="21">
        <f>データファイル用!AK74</f>
        <v>0</v>
      </c>
      <c r="W74" s="18">
        <f>データファイル用!AL74</f>
        <v>0</v>
      </c>
      <c r="X74" s="19">
        <f>データファイル用!AM74</f>
        <v>0</v>
      </c>
      <c r="Y74" s="19">
        <f>データファイル用!AN74</f>
        <v>0</v>
      </c>
      <c r="Z74" s="19">
        <f>データファイル用!AO74</f>
        <v>0</v>
      </c>
      <c r="AA74" s="19">
        <f>データファイル用!AP74</f>
        <v>0</v>
      </c>
      <c r="AB74" s="19">
        <f>データファイル用!AQ74</f>
        <v>0</v>
      </c>
      <c r="AC74" s="19">
        <f>データファイル用!AR74</f>
        <v>0</v>
      </c>
      <c r="AD74">
        <f t="shared" si="2"/>
        <v>1.1000000000000001</v>
      </c>
      <c r="AE74" t="str">
        <f t="shared" si="3"/>
        <v>OK</v>
      </c>
    </row>
    <row r="75" spans="1:31">
      <c r="A75">
        <v>72</v>
      </c>
      <c r="B75" s="17" t="str">
        <f>データファイル用!$B75</f>
        <v>ASHRAE 60 min Paper</v>
      </c>
      <c r="C75" s="20">
        <f>データファイル用!R75</f>
        <v>2</v>
      </c>
      <c r="D75" s="21">
        <f>データファイル用!S75</f>
        <v>0.18</v>
      </c>
      <c r="E75" s="24">
        <f>データファイル用!T75</f>
        <v>-36.841361487904734</v>
      </c>
      <c r="F75" s="19">
        <f>データファイル用!U75</f>
        <v>0</v>
      </c>
      <c r="G75" s="19">
        <f>データファイル用!V75</f>
        <v>0</v>
      </c>
      <c r="H75" s="19">
        <f>データファイル用!W75</f>
        <v>0</v>
      </c>
      <c r="I75" s="19">
        <f>データファイル用!X75</f>
        <v>0</v>
      </c>
      <c r="J75" s="19">
        <f>データファイル用!Y75</f>
        <v>0</v>
      </c>
      <c r="K75" s="19">
        <f>データファイル用!Z75</f>
        <v>0</v>
      </c>
      <c r="L75" s="20">
        <f>データファイル用!AA75</f>
        <v>0.18</v>
      </c>
      <c r="M75" s="17">
        <f>データファイル用!AB75</f>
        <v>1.1000000000000001</v>
      </c>
      <c r="N75" s="19">
        <f>データファイル用!AC75</f>
        <v>-33.113</v>
      </c>
      <c r="O75" s="19">
        <f>データファイル用!AD75</f>
        <v>5.6391999999999998</v>
      </c>
      <c r="P75" s="19">
        <f>データファイル用!AE75</f>
        <v>2.8260999999999998</v>
      </c>
      <c r="Q75" s="19">
        <f>データファイル用!AF75</f>
        <v>-1.6831</v>
      </c>
      <c r="R75" s="19">
        <f>データファイル用!AG75</f>
        <v>0</v>
      </c>
      <c r="S75" s="19">
        <f>データファイル用!AH75</f>
        <v>0</v>
      </c>
      <c r="T75" s="19">
        <f>データファイル用!AI75</f>
        <v>0</v>
      </c>
      <c r="U75" s="17">
        <f>データファイル用!AJ75</f>
        <v>0</v>
      </c>
      <c r="V75" s="21">
        <f>データファイル用!AK75</f>
        <v>0</v>
      </c>
      <c r="W75" s="18">
        <f>データファイル用!AL75</f>
        <v>0</v>
      </c>
      <c r="X75" s="19">
        <f>データファイル用!AM75</f>
        <v>0</v>
      </c>
      <c r="Y75" s="19">
        <f>データファイル用!AN75</f>
        <v>0</v>
      </c>
      <c r="Z75" s="19">
        <f>データファイル用!AO75</f>
        <v>0</v>
      </c>
      <c r="AA75" s="19">
        <f>データファイル用!AP75</f>
        <v>0</v>
      </c>
      <c r="AB75" s="19">
        <f>データファイル用!AQ75</f>
        <v>0</v>
      </c>
      <c r="AC75" s="19">
        <f>データファイル用!AR75</f>
        <v>0</v>
      </c>
      <c r="AD75">
        <f t="shared" si="2"/>
        <v>1.1000000000000001</v>
      </c>
      <c r="AE75" t="str">
        <f t="shared" si="3"/>
        <v>OK</v>
      </c>
    </row>
    <row r="76" spans="1:31">
      <c r="A76">
        <v>73</v>
      </c>
      <c r="B76" s="17" t="str">
        <f>データファイル用!$B76</f>
        <v>ASHRAE Spun Bonded Polyolefin Membrane</v>
      </c>
      <c r="C76" s="20">
        <f>データファイル用!R76</f>
        <v>2</v>
      </c>
      <c r="D76" s="21">
        <f>データファイル用!S76</f>
        <v>2.3E-2</v>
      </c>
      <c r="E76" s="24">
        <f>データファイル用!T76</f>
        <v>-36.841361487904734</v>
      </c>
      <c r="F76" s="19">
        <f>データファイル用!U76</f>
        <v>0</v>
      </c>
      <c r="G76" s="19">
        <f>データファイル用!V76</f>
        <v>0</v>
      </c>
      <c r="H76" s="19">
        <f>データファイル用!W76</f>
        <v>0</v>
      </c>
      <c r="I76" s="19">
        <f>データファイル用!X76</f>
        <v>0</v>
      </c>
      <c r="J76" s="19">
        <f>データファイル用!Y76</f>
        <v>0</v>
      </c>
      <c r="K76" s="19">
        <f>データファイル用!Z76</f>
        <v>0</v>
      </c>
      <c r="L76" s="20">
        <f>データファイル用!AA76</f>
        <v>2.3E-2</v>
      </c>
      <c r="M76" s="17">
        <f>データファイル用!AB76</f>
        <v>2.5999999999999999E-2</v>
      </c>
      <c r="N76" s="19">
        <f>データファイル用!AC76</f>
        <v>457.2</v>
      </c>
      <c r="O76" s="19">
        <f>データファイル用!AD76</f>
        <v>-59231</v>
      </c>
      <c r="P76" s="19">
        <f>データファイル用!AE76</f>
        <v>2436700</v>
      </c>
      <c r="Q76" s="19">
        <f>データファイル用!AF76</f>
        <v>-33240000</v>
      </c>
      <c r="R76" s="19">
        <f>データファイル用!AG76</f>
        <v>0</v>
      </c>
      <c r="S76" s="19">
        <f>データファイル用!AH76</f>
        <v>0</v>
      </c>
      <c r="T76" s="19">
        <f>データファイル用!AI76</f>
        <v>0</v>
      </c>
      <c r="U76" s="17">
        <f>データファイル用!AJ76</f>
        <v>0</v>
      </c>
      <c r="V76" s="21">
        <f>データファイル用!AK76</f>
        <v>0</v>
      </c>
      <c r="W76" s="18">
        <f>データファイル用!AL76</f>
        <v>0</v>
      </c>
      <c r="X76" s="19">
        <f>データファイル用!AM76</f>
        <v>0</v>
      </c>
      <c r="Y76" s="19">
        <f>データファイル用!AN76</f>
        <v>0</v>
      </c>
      <c r="Z76" s="19">
        <f>データファイル用!AO76</f>
        <v>0</v>
      </c>
      <c r="AA76" s="19">
        <f>データファイル用!AP76</f>
        <v>0</v>
      </c>
      <c r="AB76" s="19">
        <f>データファイル用!AQ76</f>
        <v>0</v>
      </c>
      <c r="AC76" s="19">
        <f>データファイル用!AR76</f>
        <v>0</v>
      </c>
      <c r="AD76">
        <f t="shared" si="2"/>
        <v>2.5999999999999999E-2</v>
      </c>
      <c r="AE76" t="str">
        <f t="shared" si="3"/>
        <v>OK</v>
      </c>
    </row>
    <row r="77" spans="1:31">
      <c r="A77">
        <v>74</v>
      </c>
      <c r="B77" s="17" t="str">
        <f>データファイル用!$B77</f>
        <v>ASHRAE Bonded Polyolefin Membrane (Crinkled )</v>
      </c>
      <c r="C77" s="20">
        <f>データファイル用!R77</f>
        <v>2</v>
      </c>
      <c r="D77" s="21">
        <f>データファイル用!S77</f>
        <v>2.5999999999999999E-2</v>
      </c>
      <c r="E77" s="24">
        <f>データファイル用!T77</f>
        <v>-36.841361487904734</v>
      </c>
      <c r="F77" s="19">
        <f>データファイル用!U77</f>
        <v>0</v>
      </c>
      <c r="G77" s="19">
        <f>データファイル用!V77</f>
        <v>0</v>
      </c>
      <c r="H77" s="19">
        <f>データファイル用!W77</f>
        <v>0</v>
      </c>
      <c r="I77" s="19">
        <f>データファイル用!X77</f>
        <v>0</v>
      </c>
      <c r="J77" s="19">
        <f>データファイル用!Y77</f>
        <v>0</v>
      </c>
      <c r="K77" s="19">
        <f>データファイル用!Z77</f>
        <v>0</v>
      </c>
      <c r="L77" s="20">
        <f>データファイル用!AA77</f>
        <v>2.5999999999999999E-2</v>
      </c>
      <c r="M77" s="17">
        <f>データファイル用!AB77</f>
        <v>2.9000000000000001E-2</v>
      </c>
      <c r="N77" s="19">
        <f>データファイル用!AC77</f>
        <v>480.32</v>
      </c>
      <c r="O77" s="19">
        <f>データファイル用!AD77</f>
        <v>-56192</v>
      </c>
      <c r="P77" s="19">
        <f>データファイル用!AE77</f>
        <v>2086500</v>
      </c>
      <c r="Q77" s="19">
        <f>データファイル用!AF77</f>
        <v>-25694000</v>
      </c>
      <c r="R77" s="19">
        <f>データファイル用!AG77</f>
        <v>0</v>
      </c>
      <c r="S77" s="19">
        <f>データファイル用!AH77</f>
        <v>0</v>
      </c>
      <c r="T77" s="19">
        <f>データファイル用!AI77</f>
        <v>0</v>
      </c>
      <c r="U77" s="17">
        <f>データファイル用!AJ77</f>
        <v>0</v>
      </c>
      <c r="V77" s="21">
        <f>データファイル用!AK77</f>
        <v>0</v>
      </c>
      <c r="W77" s="18">
        <f>データファイル用!AL77</f>
        <v>0</v>
      </c>
      <c r="X77" s="19">
        <f>データファイル用!AM77</f>
        <v>0</v>
      </c>
      <c r="Y77" s="19">
        <f>データファイル用!AN77</f>
        <v>0</v>
      </c>
      <c r="Z77" s="19">
        <f>データファイル用!AO77</f>
        <v>0</v>
      </c>
      <c r="AA77" s="19">
        <f>データファイル用!AP77</f>
        <v>0</v>
      </c>
      <c r="AB77" s="19">
        <f>データファイル用!AQ77</f>
        <v>0</v>
      </c>
      <c r="AC77" s="19">
        <f>データファイル用!AR77</f>
        <v>0</v>
      </c>
      <c r="AD77">
        <f t="shared" si="2"/>
        <v>2.9000000000000001E-2</v>
      </c>
      <c r="AE77" t="str">
        <f t="shared" si="3"/>
        <v>OK</v>
      </c>
    </row>
    <row r="78" spans="1:31">
      <c r="A78">
        <v>75</v>
      </c>
      <c r="B78" s="17" t="str">
        <f>データファイル用!$B78</f>
        <v>ASHRAE Vinyl Wallpaper</v>
      </c>
      <c r="C78" s="20">
        <f>データファイル用!R78</f>
        <v>2</v>
      </c>
      <c r="D78" s="21">
        <f>データファイル用!S78</f>
        <v>0.18</v>
      </c>
      <c r="E78" s="24">
        <f>データファイル用!T78</f>
        <v>-36.841361487904734</v>
      </c>
      <c r="F78" s="19">
        <f>データファイル用!U78</f>
        <v>0</v>
      </c>
      <c r="G78" s="19">
        <f>データファイル用!V78</f>
        <v>0</v>
      </c>
      <c r="H78" s="19">
        <f>データファイル用!W78</f>
        <v>0</v>
      </c>
      <c r="I78" s="19">
        <f>データファイル用!X78</f>
        <v>0</v>
      </c>
      <c r="J78" s="19">
        <f>データファイル用!Y78</f>
        <v>0</v>
      </c>
      <c r="K78" s="19">
        <f>データファイル用!Z78</f>
        <v>0</v>
      </c>
      <c r="L78" s="20">
        <f>データファイル用!AA78</f>
        <v>0.18</v>
      </c>
      <c r="M78" s="17">
        <f>データファイル用!AB78</f>
        <v>1.1000000000000001</v>
      </c>
      <c r="N78" s="19">
        <f>データファイル用!AC78</f>
        <v>-36.045000000000002</v>
      </c>
      <c r="O78" s="19">
        <f>データファイル用!AD78</f>
        <v>5.4901</v>
      </c>
      <c r="P78" s="19">
        <f>データファイル用!AE78</f>
        <v>2.9458000000000002</v>
      </c>
      <c r="Q78" s="19">
        <f>データファイル用!AF78</f>
        <v>-1.7077</v>
      </c>
      <c r="R78" s="19">
        <f>データファイル用!AG78</f>
        <v>0</v>
      </c>
      <c r="S78" s="19">
        <f>データファイル用!AH78</f>
        <v>0</v>
      </c>
      <c r="T78" s="19">
        <f>データファイル用!AI78</f>
        <v>0</v>
      </c>
      <c r="U78" s="17">
        <f>データファイル用!AJ78</f>
        <v>0</v>
      </c>
      <c r="V78" s="21">
        <f>データファイル用!AK78</f>
        <v>0</v>
      </c>
      <c r="W78" s="18">
        <f>データファイル用!AL78</f>
        <v>0</v>
      </c>
      <c r="X78" s="19">
        <f>データファイル用!AM78</f>
        <v>0</v>
      </c>
      <c r="Y78" s="19">
        <f>データファイル用!AN78</f>
        <v>0</v>
      </c>
      <c r="Z78" s="19">
        <f>データファイル用!AO78</f>
        <v>0</v>
      </c>
      <c r="AA78" s="19">
        <f>データファイル用!AP78</f>
        <v>0</v>
      </c>
      <c r="AB78" s="19">
        <f>データファイル用!AQ78</f>
        <v>0</v>
      </c>
      <c r="AC78" s="19">
        <f>データファイル用!AR78</f>
        <v>0</v>
      </c>
      <c r="AD78">
        <f t="shared" si="2"/>
        <v>1.1000000000000001</v>
      </c>
      <c r="AE78" t="str">
        <f t="shared" si="3"/>
        <v>OK</v>
      </c>
    </row>
    <row r="79" spans="1:31">
      <c r="A79">
        <v>76</v>
      </c>
      <c r="B79" s="17" t="str">
        <f>データファイル用!$B79</f>
        <v>ASHRAE Gypsum</v>
      </c>
      <c r="C79" s="20">
        <f>データファイル用!R79</f>
        <v>2</v>
      </c>
      <c r="D79" s="21">
        <f>データファイル用!S79</f>
        <v>0.13</v>
      </c>
      <c r="E79" s="24">
        <f>データファイル用!T79</f>
        <v>-36.841361487904734</v>
      </c>
      <c r="F79" s="19">
        <f>データファイル用!U79</f>
        <v>0</v>
      </c>
      <c r="G79" s="19">
        <f>データファイル用!V79</f>
        <v>0</v>
      </c>
      <c r="H79" s="19">
        <f>データファイル用!W79</f>
        <v>0</v>
      </c>
      <c r="I79" s="19">
        <f>データファイル用!X79</f>
        <v>0</v>
      </c>
      <c r="J79" s="19">
        <f>データファイル用!Y79</f>
        <v>0</v>
      </c>
      <c r="K79" s="19">
        <f>データファイル用!Z79</f>
        <v>0</v>
      </c>
      <c r="L79" s="20">
        <f>データファイル用!AA79</f>
        <v>0.15</v>
      </c>
      <c r="M79" s="17">
        <f>データファイル用!AB79</f>
        <v>0.56999999999999995</v>
      </c>
      <c r="N79" s="19">
        <f>データファイル用!AC79</f>
        <v>-30.443999999999999</v>
      </c>
      <c r="O79" s="19">
        <f>データファイル用!AD79</f>
        <v>11.259</v>
      </c>
      <c r="P79" s="19">
        <f>データファイル用!AE79</f>
        <v>5.7655000000000003</v>
      </c>
      <c r="Q79" s="19">
        <f>データファイル用!AF79</f>
        <v>-5.3673000000000002</v>
      </c>
      <c r="R79" s="19">
        <f>データファイル用!AG79</f>
        <v>0</v>
      </c>
      <c r="S79" s="19">
        <f>データファイル用!AH79</f>
        <v>0</v>
      </c>
      <c r="T79" s="19">
        <f>データファイル用!AI79</f>
        <v>0</v>
      </c>
      <c r="U79" s="17">
        <f>データファイル用!AJ79</f>
        <v>0</v>
      </c>
      <c r="V79" s="21">
        <f>データファイル用!AK79</f>
        <v>0</v>
      </c>
      <c r="W79" s="18">
        <f>データファイル用!AL79</f>
        <v>0</v>
      </c>
      <c r="X79" s="19">
        <f>データファイル用!AM79</f>
        <v>0</v>
      </c>
      <c r="Y79" s="19">
        <f>データファイル用!AN79</f>
        <v>0</v>
      </c>
      <c r="Z79" s="19">
        <f>データファイル用!AO79</f>
        <v>0</v>
      </c>
      <c r="AA79" s="19">
        <f>データファイル用!AP79</f>
        <v>0</v>
      </c>
      <c r="AB79" s="19">
        <f>データファイル用!AQ79</f>
        <v>0</v>
      </c>
      <c r="AC79" s="19">
        <f>データファイル用!AR79</f>
        <v>0</v>
      </c>
      <c r="AD79">
        <f t="shared" si="2"/>
        <v>0.56999999999999995</v>
      </c>
      <c r="AE79" t="str">
        <f t="shared" si="3"/>
        <v>L≠D(0.15≠0.13)</v>
      </c>
    </row>
    <row r="80" spans="1:31">
      <c r="A80">
        <v>77</v>
      </c>
      <c r="B80" s="17" t="str">
        <f>データファイル用!$B80</f>
        <v>ASHRAE Gypsum + Primer</v>
      </c>
      <c r="C80" s="20">
        <f>データファイル用!R80</f>
        <v>2</v>
      </c>
      <c r="D80" s="21">
        <f>データファイル用!S80</f>
        <v>0.13</v>
      </c>
      <c r="E80" s="24">
        <f>データファイル用!T80</f>
        <v>-36.841361487904734</v>
      </c>
      <c r="F80" s="19">
        <f>データファイル用!U80</f>
        <v>0</v>
      </c>
      <c r="G80" s="19">
        <f>データファイル用!V80</f>
        <v>0</v>
      </c>
      <c r="H80" s="19">
        <f>データファイル用!W80</f>
        <v>0</v>
      </c>
      <c r="I80" s="19">
        <f>データファイル用!X80</f>
        <v>0</v>
      </c>
      <c r="J80" s="19">
        <f>データファイル用!Y80</f>
        <v>0</v>
      </c>
      <c r="K80" s="19">
        <f>データファイル用!Z80</f>
        <v>0</v>
      </c>
      <c r="L80" s="20">
        <f>データファイル用!AA80</f>
        <v>0.15</v>
      </c>
      <c r="M80" s="17">
        <f>データファイル用!AB80</f>
        <v>0.56999999999999995</v>
      </c>
      <c r="N80" s="19">
        <f>データファイル用!AC80</f>
        <v>-30.64</v>
      </c>
      <c r="O80" s="19">
        <f>データファイル用!AD80</f>
        <v>13.912000000000001</v>
      </c>
      <c r="P80" s="19">
        <f>データファイル用!AE80</f>
        <v>-1.5253000000000001</v>
      </c>
      <c r="Q80" s="19">
        <f>データファイル用!AF80</f>
        <v>0.84153999999999995</v>
      </c>
      <c r="R80" s="19">
        <f>データファイル用!AG80</f>
        <v>0</v>
      </c>
      <c r="S80" s="19">
        <f>データファイル用!AH80</f>
        <v>0</v>
      </c>
      <c r="T80" s="19">
        <f>データファイル用!AI80</f>
        <v>0</v>
      </c>
      <c r="U80" s="17">
        <f>データファイル用!AJ80</f>
        <v>0</v>
      </c>
      <c r="V80" s="21">
        <f>データファイル用!AK80</f>
        <v>0</v>
      </c>
      <c r="W80" s="18">
        <f>データファイル用!AL80</f>
        <v>0</v>
      </c>
      <c r="X80" s="19">
        <f>データファイル用!AM80</f>
        <v>0</v>
      </c>
      <c r="Y80" s="19">
        <f>データファイル用!AN80</f>
        <v>0</v>
      </c>
      <c r="Z80" s="19">
        <f>データファイル用!AO80</f>
        <v>0</v>
      </c>
      <c r="AA80" s="19">
        <f>データファイル用!AP80</f>
        <v>0</v>
      </c>
      <c r="AB80" s="19">
        <f>データファイル用!AQ80</f>
        <v>0</v>
      </c>
      <c r="AC80" s="19">
        <f>データファイル用!AR80</f>
        <v>0</v>
      </c>
      <c r="AD80">
        <f t="shared" si="2"/>
        <v>0.56999999999999995</v>
      </c>
      <c r="AE80" t="str">
        <f t="shared" si="3"/>
        <v>L≠D(0.15≠0.13)</v>
      </c>
    </row>
    <row r="81" spans="1:31">
      <c r="A81">
        <v>78</v>
      </c>
      <c r="B81" s="17" t="str">
        <f>データファイル用!$B81</f>
        <v>ASHRAE Gypsum + Primer + Latex</v>
      </c>
      <c r="C81" s="20">
        <f>データファイル用!R81</f>
        <v>2</v>
      </c>
      <c r="D81" s="21">
        <f>データファイル用!S81</f>
        <v>0.13</v>
      </c>
      <c r="E81" s="24">
        <f>データファイル用!T81</f>
        <v>-36.841361487904734</v>
      </c>
      <c r="F81" s="19">
        <f>データファイル用!U81</f>
        <v>0</v>
      </c>
      <c r="G81" s="19">
        <f>データファイル用!V81</f>
        <v>0</v>
      </c>
      <c r="H81" s="19">
        <f>データファイル用!W81</f>
        <v>0</v>
      </c>
      <c r="I81" s="19">
        <f>データファイル用!X81</f>
        <v>0</v>
      </c>
      <c r="J81" s="19">
        <f>データファイル用!Y81</f>
        <v>0</v>
      </c>
      <c r="K81" s="19">
        <f>データファイル用!Z81</f>
        <v>0</v>
      </c>
      <c r="L81" s="20">
        <f>データファイル用!AA81</f>
        <v>0.15</v>
      </c>
      <c r="M81" s="17">
        <f>データファイル用!AB81</f>
        <v>0.56999999999999995</v>
      </c>
      <c r="N81" s="19">
        <f>データファイル用!AC81</f>
        <v>-31.073</v>
      </c>
      <c r="O81" s="19">
        <f>データファイル用!AD81</f>
        <v>13.814</v>
      </c>
      <c r="P81" s="19">
        <f>データファイル用!AE81</f>
        <v>-1.1346000000000001</v>
      </c>
      <c r="Q81" s="19">
        <f>データファイル用!AF81</f>
        <v>0.30691000000000002</v>
      </c>
      <c r="R81" s="19">
        <f>データファイル用!AG81</f>
        <v>0</v>
      </c>
      <c r="S81" s="19">
        <f>データファイル用!AH81</f>
        <v>0</v>
      </c>
      <c r="T81" s="19">
        <f>データファイル用!AI81</f>
        <v>0</v>
      </c>
      <c r="U81" s="17">
        <f>データファイル用!AJ81</f>
        <v>0</v>
      </c>
      <c r="V81" s="21">
        <f>データファイル用!AK81</f>
        <v>0</v>
      </c>
      <c r="W81" s="18">
        <f>データファイル用!AL81</f>
        <v>0</v>
      </c>
      <c r="X81" s="19">
        <f>データファイル用!AM81</f>
        <v>0</v>
      </c>
      <c r="Y81" s="19">
        <f>データファイル用!AN81</f>
        <v>0</v>
      </c>
      <c r="Z81" s="19">
        <f>データファイル用!AO81</f>
        <v>0</v>
      </c>
      <c r="AA81" s="19">
        <f>データファイル用!AP81</f>
        <v>0</v>
      </c>
      <c r="AB81" s="19">
        <f>データファイル用!AQ81</f>
        <v>0</v>
      </c>
      <c r="AC81" s="19">
        <f>データファイル用!AR81</f>
        <v>0</v>
      </c>
      <c r="AD81">
        <f t="shared" si="2"/>
        <v>0.56999999999999995</v>
      </c>
      <c r="AE81" t="str">
        <f t="shared" si="3"/>
        <v>L≠D(0.15≠0.13)</v>
      </c>
    </row>
    <row r="82" spans="1:31">
      <c r="A82">
        <v>79</v>
      </c>
      <c r="B82" s="17" t="str">
        <f>データファイル用!$B82</f>
        <v>ASHRAE EIFS Base Coat and Finish Coat</v>
      </c>
      <c r="C82" s="20">
        <f>データファイル用!R82</f>
        <v>2</v>
      </c>
      <c r="D82" s="21">
        <f>データファイル用!S82</f>
        <v>4.8000000000000001E-2</v>
      </c>
      <c r="E82" s="24">
        <f>データファイル用!T82</f>
        <v>-36.841361487904734</v>
      </c>
      <c r="F82" s="19">
        <f>データファイル用!U82</f>
        <v>0</v>
      </c>
      <c r="G82" s="19">
        <f>データファイル用!V82</f>
        <v>0</v>
      </c>
      <c r="H82" s="19">
        <f>データファイル用!W82</f>
        <v>0</v>
      </c>
      <c r="I82" s="19">
        <f>データファイル用!X82</f>
        <v>0</v>
      </c>
      <c r="J82" s="19">
        <f>データファイル用!Y82</f>
        <v>0</v>
      </c>
      <c r="K82" s="19">
        <f>データファイル用!Z82</f>
        <v>0</v>
      </c>
      <c r="L82" s="20">
        <f>データファイル用!AA82</f>
        <v>4.8000000000000001E-2</v>
      </c>
      <c r="M82" s="17">
        <f>データファイル用!AB82</f>
        <v>0.09</v>
      </c>
      <c r="N82" s="19">
        <f>データファイル用!AC82</f>
        <v>-30.156749760236803</v>
      </c>
      <c r="O82" s="19">
        <f>データファイル用!AD82</f>
        <v>0</v>
      </c>
      <c r="P82" s="19">
        <f>データファイル用!AE82</f>
        <v>0</v>
      </c>
      <c r="Q82" s="19">
        <f>データファイル用!AF82</f>
        <v>0</v>
      </c>
      <c r="R82" s="19">
        <f>データファイル用!AG82</f>
        <v>0</v>
      </c>
      <c r="S82" s="19">
        <f>データファイル用!AH82</f>
        <v>0</v>
      </c>
      <c r="T82" s="19">
        <f>データファイル用!AI82</f>
        <v>0</v>
      </c>
      <c r="U82" s="17">
        <f>データファイル用!AJ82</f>
        <v>0</v>
      </c>
      <c r="V82" s="21">
        <f>データファイル用!AK82</f>
        <v>0</v>
      </c>
      <c r="W82" s="18">
        <f>データファイル用!AL82</f>
        <v>0</v>
      </c>
      <c r="X82" s="19">
        <f>データファイル用!AM82</f>
        <v>0</v>
      </c>
      <c r="Y82" s="19">
        <f>データファイル用!AN82</f>
        <v>0</v>
      </c>
      <c r="Z82" s="19">
        <f>データファイル用!AO82</f>
        <v>0</v>
      </c>
      <c r="AA82" s="19">
        <f>データファイル用!AP82</f>
        <v>0</v>
      </c>
      <c r="AB82" s="19">
        <f>データファイル用!AQ82</f>
        <v>0</v>
      </c>
      <c r="AC82" s="19">
        <f>データファイル用!AR82</f>
        <v>0</v>
      </c>
      <c r="AD82">
        <f t="shared" si="2"/>
        <v>0.09</v>
      </c>
      <c r="AE82" t="str">
        <f t="shared" si="3"/>
        <v>OK</v>
      </c>
    </row>
    <row r="84" spans="1:31">
      <c r="A84" t="s">
        <v>124</v>
      </c>
    </row>
    <row r="85" spans="1:31">
      <c r="A85" t="s">
        <v>122</v>
      </c>
      <c r="B85" t="s">
        <v>123</v>
      </c>
    </row>
    <row r="86" spans="1:31">
      <c r="A86">
        <v>1</v>
      </c>
      <c r="B86" t="str" cm="1">
        <f t="array" ref="B86">INDEX($B$4:$B$82,A86)</f>
        <v>MEWS Aerated Concrete</v>
      </c>
      <c r="C86" cm="1">
        <f t="array" ref="C86">INDEX(C$4:C$82,$A86)</f>
        <v>3</v>
      </c>
      <c r="D86" cm="1">
        <f t="array" ref="D86">INDEX(D$4:D$82,$A86)</f>
        <v>8.6999999999999994E-2</v>
      </c>
      <c r="E86" cm="1">
        <f t="array" ref="E86">INDEX(E$4:E$82,$A86)</f>
        <v>-18.559942811285872</v>
      </c>
      <c r="F86" cm="1">
        <f t="array" ref="F86">INDEX(F$4:F$82,$A86)</f>
        <v>0</v>
      </c>
      <c r="G86" cm="1">
        <f t="array" ref="G86">INDEX(G$4:G$82,$A86)</f>
        <v>0</v>
      </c>
      <c r="H86" cm="1">
        <f t="array" ref="H86">INDEX(H$4:H$82,$A86)</f>
        <v>0</v>
      </c>
      <c r="I86" cm="1">
        <f t="array" ref="I86">INDEX(I$4:I$82,$A86)</f>
        <v>0</v>
      </c>
      <c r="J86" cm="1">
        <f t="array" ref="J86">INDEX(J$4:J$82,$A86)</f>
        <v>0</v>
      </c>
      <c r="K86" cm="1">
        <f t="array" ref="K86">INDEX(K$4:K$82,$A86)</f>
        <v>0</v>
      </c>
      <c r="L86" cm="1">
        <f t="array" ref="L86">INDEX(L$4:L$82,$A86)</f>
        <v>8.6999999999999994E-2</v>
      </c>
      <c r="M86" cm="1">
        <f t="array" ref="M86">INDEX(M$4:M$82,$A86)</f>
        <v>0.54</v>
      </c>
      <c r="N86" cm="1">
        <f t="array" ref="N86">INDEX(N$4:N$82,$A86)</f>
        <v>-15.073</v>
      </c>
      <c r="O86" cm="1">
        <f t="array" ref="O86">INDEX(O$4:O$82,$A86)</f>
        <v>-63.311999999999998</v>
      </c>
      <c r="P86" cm="1">
        <f t="array" ref="P86">INDEX(P$4:P$82,$A86)</f>
        <v>324.95999999999998</v>
      </c>
      <c r="Q86" cm="1">
        <f t="array" ref="Q86">INDEX(Q$4:Q$82,$A86)</f>
        <v>-731.86</v>
      </c>
      <c r="R86" cm="1">
        <f t="array" ref="R86">INDEX(R$4:R$82,$A86)</f>
        <v>623.29999999999995</v>
      </c>
      <c r="S86" cm="1">
        <f t="array" ref="S86">INDEX(S$4:S$82,$A86)</f>
        <v>0</v>
      </c>
      <c r="T86" cm="1">
        <f t="array" ref="T86">INDEX(T$4:T$82,$A86)</f>
        <v>0</v>
      </c>
      <c r="U86" cm="1">
        <f t="array" ref="U86">INDEX(U$4:U$82,$A86)</f>
        <v>0.54</v>
      </c>
      <c r="V86" cm="1">
        <f t="array" ref="V86">INDEX(V$4:V$82,$A86)</f>
        <v>1.3</v>
      </c>
      <c r="W86" cm="1">
        <f t="array" ref="W86">INDEX(W$4:W$82,$A86)</f>
        <v>-16.772022118364983</v>
      </c>
      <c r="X86" cm="1">
        <f t="array" ref="X86">INDEX(X$4:X$82,$A86)</f>
        <v>0</v>
      </c>
      <c r="Y86" cm="1">
        <f t="array" ref="Y86">INDEX(Y$4:Y$82,$A86)</f>
        <v>0</v>
      </c>
      <c r="Z86" cm="1">
        <f t="array" ref="Z86">INDEX(Z$4:Z$82,$A86)</f>
        <v>0</v>
      </c>
      <c r="AA86" cm="1">
        <f t="array" ref="AA86">INDEX(AA$4:AA$82,$A86)</f>
        <v>0</v>
      </c>
      <c r="AB86" cm="1">
        <f t="array" ref="AB86">INDEX(AB$4:AB$82,$A86)</f>
        <v>0</v>
      </c>
      <c r="AC86" cm="1">
        <f t="array" ref="AC86">INDEX(AC$4:AC$82,$A86)</f>
        <v>0</v>
      </c>
    </row>
    <row r="87" spans="1:31">
      <c r="A87">
        <v>43</v>
      </c>
      <c r="B87" t="str" cm="1">
        <f t="array" ref="B87">INDEX($B$4:$B$82,A87)</f>
        <v>ASHRAE OSB -1</v>
      </c>
      <c r="C87" cm="1">
        <f t="array" ref="C87">INDEX(C$4:C$82,$A87)</f>
        <v>3</v>
      </c>
      <c r="D87" cm="1">
        <f t="array" ref="D87">INDEX(D$4:D$82,$A87)</f>
        <v>0.31</v>
      </c>
      <c r="E87" cm="1">
        <f t="array" ref="E87">INDEX(E$4:E$82,$A87)</f>
        <v>-36.841361487904734</v>
      </c>
      <c r="F87" cm="1">
        <f t="array" ref="F87">INDEX(F$4:F$82,$A87)</f>
        <v>0</v>
      </c>
      <c r="G87" cm="1">
        <f t="array" ref="G87">INDEX(G$4:G$82,$A87)</f>
        <v>0</v>
      </c>
      <c r="H87" cm="1">
        <f t="array" ref="H87">INDEX(H$4:H$82,$A87)</f>
        <v>0</v>
      </c>
      <c r="I87" cm="1">
        <f t="array" ref="I87">INDEX(I$4:I$82,$A87)</f>
        <v>0</v>
      </c>
      <c r="J87" cm="1">
        <f t="array" ref="J87">INDEX(J$4:J$82,$A87)</f>
        <v>0</v>
      </c>
      <c r="K87" cm="1">
        <f t="array" ref="K87">INDEX(K$4:K$82,$A87)</f>
        <v>0</v>
      </c>
      <c r="L87" cm="1">
        <f t="array" ref="L87">INDEX(L$4:L$82,$A87)</f>
        <v>0.31</v>
      </c>
      <c r="M87" cm="1">
        <f t="array" ref="M87">INDEX(M$4:M$82,$A87)</f>
        <v>0.52</v>
      </c>
      <c r="N87" cm="1">
        <f t="array" ref="N87">INDEX(N$4:N$82,$A87)</f>
        <v>-32.75</v>
      </c>
      <c r="O87" cm="1">
        <f t="array" ref="O87">INDEX(O$4:O$82,$A87)</f>
        <v>6.6252000000000004</v>
      </c>
      <c r="P87" cm="1">
        <f t="array" ref="P87">INDEX(P$4:P$82,$A87)</f>
        <v>-1.3444</v>
      </c>
      <c r="Q87" cm="1">
        <f t="array" ref="Q87">INDEX(Q$4:Q$82,$A87)</f>
        <v>0</v>
      </c>
      <c r="R87" cm="1">
        <f t="array" ref="R87">INDEX(R$4:R$82,$A87)</f>
        <v>0</v>
      </c>
      <c r="S87" cm="1">
        <f t="array" ref="S87">INDEX(S$4:S$82,$A87)</f>
        <v>0</v>
      </c>
      <c r="T87" cm="1">
        <f t="array" ref="T87">INDEX(T$4:T$82,$A87)</f>
        <v>0</v>
      </c>
      <c r="U87" cm="1">
        <f t="array" ref="U87">INDEX(U$4:U$82,$A87)</f>
        <v>0.52</v>
      </c>
      <c r="V87" cm="1">
        <f t="array" ref="V87">INDEX(V$4:V$82,$A87)</f>
        <v>1.4</v>
      </c>
      <c r="W87" cm="1">
        <f t="array" ref="W87">INDEX(W$4:W$82,$A87)</f>
        <v>-29.597133972301382</v>
      </c>
      <c r="X87" cm="1">
        <f t="array" ref="X87">INDEX(X$4:X$82,$A87)</f>
        <v>0</v>
      </c>
      <c r="Y87" cm="1">
        <f t="array" ref="Y87">INDEX(Y$4:Y$82,$A87)</f>
        <v>0</v>
      </c>
      <c r="Z87" cm="1">
        <f t="array" ref="Z87">INDEX(Z$4:Z$82,$A87)</f>
        <v>0</v>
      </c>
      <c r="AA87" cm="1">
        <f t="array" ref="AA87">INDEX(AA$4:AA$82,$A87)</f>
        <v>0</v>
      </c>
      <c r="AB87" cm="1">
        <f t="array" ref="AB87">INDEX(AB$4:AB$82,$A87)</f>
        <v>0</v>
      </c>
      <c r="AC87" cm="1">
        <f t="array" ref="AC87">INDEX(AC$4:AC$82,$A87)</f>
        <v>0</v>
      </c>
    </row>
    <row r="88" spans="1:31">
      <c r="A88">
        <v>61</v>
      </c>
      <c r="B88" t="str" cm="1">
        <f t="array" ref="B88">INDEX($B$4:$B$82,A88)</f>
        <v>ASHRAE Lime Stone</v>
      </c>
      <c r="C88" cm="1">
        <f t="array" ref="C88">INDEX(C$4:C$82,$A88)</f>
        <v>2</v>
      </c>
      <c r="D88" cm="1">
        <f t="array" ref="D88">INDEX(D$4:D$82,$A88)</f>
        <v>3.7000000000000002E-3</v>
      </c>
      <c r="E88" cm="1">
        <f t="array" ref="E88">INDEX(E$4:E$82,$A88)</f>
        <v>-36.841361487904734</v>
      </c>
      <c r="F88" cm="1">
        <f t="array" ref="F88">INDEX(F$4:F$82,$A88)</f>
        <v>0</v>
      </c>
      <c r="G88" cm="1">
        <f t="array" ref="G88">INDEX(G$4:G$82,$A88)</f>
        <v>0</v>
      </c>
      <c r="H88" cm="1">
        <f t="array" ref="H88">INDEX(H$4:H$82,$A88)</f>
        <v>0</v>
      </c>
      <c r="I88" cm="1">
        <f t="array" ref="I88">INDEX(I$4:I$82,$A88)</f>
        <v>0</v>
      </c>
      <c r="J88" cm="1">
        <f t="array" ref="J88">INDEX(J$4:J$82,$A88)</f>
        <v>0</v>
      </c>
      <c r="K88" cm="1">
        <f t="array" ref="K88">INDEX(K$4:K$82,$A88)</f>
        <v>0</v>
      </c>
      <c r="L88" cm="1">
        <f t="array" ref="L88">INDEX(L$4:L$82,$A88)</f>
        <v>3.7000000000000002E-3</v>
      </c>
      <c r="M88" cm="1">
        <f t="array" ref="M88">INDEX(M$4:M$82,$A88)</f>
        <v>1.6E-2</v>
      </c>
      <c r="N88" cm="1">
        <f t="array" ref="N88">INDEX(N$4:N$82,$A88)</f>
        <v>-23.382525873879189</v>
      </c>
      <c r="O88" cm="1">
        <f t="array" ref="O88">INDEX(O$4:O$82,$A88)</f>
        <v>0</v>
      </c>
      <c r="P88" cm="1">
        <f t="array" ref="P88">INDEX(P$4:P$82,$A88)</f>
        <v>0</v>
      </c>
      <c r="Q88" cm="1">
        <f t="array" ref="Q88">INDEX(Q$4:Q$82,$A88)</f>
        <v>0</v>
      </c>
      <c r="R88" cm="1">
        <f t="array" ref="R88">INDEX(R$4:R$82,$A88)</f>
        <v>0</v>
      </c>
      <c r="S88" cm="1">
        <f t="array" ref="S88">INDEX(S$4:S$82,$A88)</f>
        <v>0</v>
      </c>
      <c r="T88" cm="1">
        <f t="array" ref="T88">INDEX(T$4:T$82,$A88)</f>
        <v>0</v>
      </c>
      <c r="U88" cm="1">
        <f t="array" ref="U88">INDEX(U$4:U$82,$A88)</f>
        <v>0</v>
      </c>
      <c r="V88" cm="1">
        <f t="array" ref="V88">INDEX(V$4:V$82,$A88)</f>
        <v>0</v>
      </c>
      <c r="W88" cm="1">
        <f t="array" ref="W88">INDEX(W$4:W$82,$A88)</f>
        <v>0</v>
      </c>
      <c r="X88" cm="1">
        <f t="array" ref="X88">INDEX(X$4:X$82,$A88)</f>
        <v>0</v>
      </c>
      <c r="Y88" cm="1">
        <f t="array" ref="Y88">INDEX(Y$4:Y$82,$A88)</f>
        <v>0</v>
      </c>
      <c r="Z88" cm="1">
        <f t="array" ref="Z88">INDEX(Z$4:Z$82,$A88)</f>
        <v>0</v>
      </c>
      <c r="AA88" cm="1">
        <f t="array" ref="AA88">INDEX(AA$4:AA$82,$A88)</f>
        <v>0</v>
      </c>
      <c r="AB88" cm="1">
        <f t="array" ref="AB88">INDEX(AB$4:AB$82,$A88)</f>
        <v>0</v>
      </c>
      <c r="AC88" cm="1">
        <f t="array" ref="AC88">INDEX(AC$4:AC$82,$A88)</f>
        <v>0</v>
      </c>
    </row>
    <row r="89" spans="1:31">
      <c r="A89">
        <v>66</v>
      </c>
      <c r="B89" t="str" cm="1">
        <f t="array" ref="B89">INDEX($B$4:$B$82,A89)</f>
        <v>ASHRAE Spray Polyurethane Foam Insulation</v>
      </c>
      <c r="C89" cm="1">
        <f t="array" ref="C89">INDEX(C$4:C$82,$A89)</f>
        <v>2</v>
      </c>
      <c r="D89" cm="1">
        <f t="array" ref="D89">INDEX(D$4:D$82,$A89)</f>
        <v>7.0999999999999994E-2</v>
      </c>
      <c r="E89" cm="1">
        <f t="array" ref="E89">INDEX(E$4:E$82,$A89)</f>
        <v>-36.841361487904734</v>
      </c>
      <c r="F89" cm="1">
        <f t="array" ref="F89">INDEX(F$4:F$82,$A89)</f>
        <v>0</v>
      </c>
      <c r="G89" cm="1">
        <f t="array" ref="G89">INDEX(G$4:G$82,$A89)</f>
        <v>0</v>
      </c>
      <c r="H89" cm="1">
        <f t="array" ref="H89">INDEX(H$4:H$82,$A89)</f>
        <v>0</v>
      </c>
      <c r="I89" cm="1">
        <f t="array" ref="I89">INDEX(I$4:I$82,$A89)</f>
        <v>0</v>
      </c>
      <c r="J89" cm="1">
        <f t="array" ref="J89">INDEX(J$4:J$82,$A89)</f>
        <v>0</v>
      </c>
      <c r="K89" cm="1">
        <f t="array" ref="K89">INDEX(K$4:K$82,$A89)</f>
        <v>0</v>
      </c>
      <c r="L89" cm="1">
        <f t="array" ref="L89">INDEX(L$4:L$82,$A89)</f>
        <v>7.6999999999999999E-2</v>
      </c>
      <c r="M89" cm="1">
        <f t="array" ref="M89">INDEX(M$4:M$82,$A89)</f>
        <v>2.9</v>
      </c>
      <c r="N89" cm="1">
        <f t="array" ref="N89">INDEX(N$4:N$82,$A89)</f>
        <v>-27.631021115928547</v>
      </c>
      <c r="O89" cm="1">
        <f t="array" ref="O89">INDEX(O$4:O$82,$A89)</f>
        <v>0</v>
      </c>
      <c r="P89" cm="1">
        <f t="array" ref="P89">INDEX(P$4:P$82,$A89)</f>
        <v>0</v>
      </c>
      <c r="Q89" cm="1">
        <f t="array" ref="Q89">INDEX(Q$4:Q$82,$A89)</f>
        <v>0</v>
      </c>
      <c r="R89" cm="1">
        <f t="array" ref="R89">INDEX(R$4:R$82,$A89)</f>
        <v>0</v>
      </c>
      <c r="S89" cm="1">
        <f t="array" ref="S89">INDEX(S$4:S$82,$A89)</f>
        <v>0</v>
      </c>
      <c r="T89" cm="1">
        <f t="array" ref="T89">INDEX(T$4:T$82,$A89)</f>
        <v>0</v>
      </c>
      <c r="U89" cm="1">
        <f t="array" ref="U89">INDEX(U$4:U$82,$A89)</f>
        <v>0</v>
      </c>
      <c r="V89" cm="1">
        <f t="array" ref="V89">INDEX(V$4:V$82,$A89)</f>
        <v>0</v>
      </c>
      <c r="W89" cm="1">
        <f t="array" ref="W89">INDEX(W$4:W$82,$A89)</f>
        <v>0</v>
      </c>
      <c r="X89" cm="1">
        <f t="array" ref="X89">INDEX(X$4:X$82,$A89)</f>
        <v>0</v>
      </c>
      <c r="Y89" cm="1">
        <f t="array" ref="Y89">INDEX(Y$4:Y$82,$A89)</f>
        <v>0</v>
      </c>
      <c r="Z89" cm="1">
        <f t="array" ref="Z89">INDEX(Z$4:Z$82,$A89)</f>
        <v>0</v>
      </c>
      <c r="AA89" cm="1">
        <f t="array" ref="AA89">INDEX(AA$4:AA$82,$A89)</f>
        <v>0</v>
      </c>
      <c r="AB89" cm="1">
        <f t="array" ref="AB89">INDEX(AB$4:AB$82,$A89)</f>
        <v>0</v>
      </c>
      <c r="AC89" cm="1">
        <f t="array" ref="AC89">INDEX(AC$4:AC$82,$A89)</f>
        <v>0</v>
      </c>
    </row>
    <row r="90" spans="1:31">
      <c r="A90">
        <v>57</v>
      </c>
      <c r="B90" t="str" cm="1">
        <f t="array" ref="B90">INDEX($B$4:$B$82,A90)</f>
        <v>ASHRAE Mortar</v>
      </c>
      <c r="C90" cm="1">
        <f t="array" ref="C90">INDEX(C$4:C$82,$A90)</f>
        <v>2</v>
      </c>
      <c r="D90" cm="1">
        <f t="array" ref="D90">INDEX(D$4:D$82,$A90)</f>
        <v>0.13</v>
      </c>
      <c r="E90" cm="1">
        <f t="array" ref="E90">INDEX(E$4:E$82,$A90)</f>
        <v>-36.841361487904734</v>
      </c>
      <c r="F90" cm="1">
        <f t="array" ref="F90">INDEX(F$4:F$82,$A90)</f>
        <v>0</v>
      </c>
      <c r="G90" cm="1">
        <f t="array" ref="G90">INDEX(G$4:G$82,$A90)</f>
        <v>0</v>
      </c>
      <c r="H90" cm="1">
        <f t="array" ref="H90">INDEX(H$4:H$82,$A90)</f>
        <v>0</v>
      </c>
      <c r="I90" cm="1">
        <f t="array" ref="I90">INDEX(I$4:I$82,$A90)</f>
        <v>0</v>
      </c>
      <c r="J90" cm="1">
        <f t="array" ref="J90">INDEX(J$4:J$82,$A90)</f>
        <v>0</v>
      </c>
      <c r="K90" cm="1">
        <f t="array" ref="K90">INDEX(K$4:K$82,$A90)</f>
        <v>0</v>
      </c>
      <c r="L90" cm="1">
        <f t="array" ref="L90">INDEX(L$4:L$82,$A90)</f>
        <v>0.13</v>
      </c>
      <c r="M90" cm="1">
        <f t="array" ref="M90">INDEX(M$4:M$82,$A90)</f>
        <v>0.26</v>
      </c>
      <c r="N90" cm="1">
        <f t="array" ref="N90">INDEX(N$4:N$82,$A90)</f>
        <v>-21.053000000000001</v>
      </c>
      <c r="O90" cm="1">
        <f t="array" ref="O90">INDEX(O$4:O$82,$A90)</f>
        <v>-3.8159999999999998</v>
      </c>
      <c r="P90" cm="1">
        <f t="array" ref="P90">INDEX(P$4:P$82,$A90)</f>
        <v>0</v>
      </c>
      <c r="Q90" cm="1">
        <f t="array" ref="Q90">INDEX(Q$4:Q$82,$A90)</f>
        <v>0</v>
      </c>
      <c r="R90" cm="1">
        <f t="array" ref="R90">INDEX(R$4:R$82,$A90)</f>
        <v>0</v>
      </c>
      <c r="S90" cm="1">
        <f t="array" ref="S90">INDEX(S$4:S$82,$A90)</f>
        <v>0</v>
      </c>
      <c r="T90" cm="1">
        <f t="array" ref="T90">INDEX(T$4:T$82,$A90)</f>
        <v>0</v>
      </c>
      <c r="U90" cm="1">
        <f t="array" ref="U90">INDEX(U$4:U$82,$A90)</f>
        <v>0</v>
      </c>
      <c r="V90" cm="1">
        <f t="array" ref="V90">INDEX(V$4:V$82,$A90)</f>
        <v>0</v>
      </c>
      <c r="W90" cm="1">
        <f t="array" ref="W90">INDEX(W$4:W$82,$A90)</f>
        <v>0</v>
      </c>
      <c r="X90" cm="1">
        <f t="array" ref="X90">INDEX(X$4:X$82,$A90)</f>
        <v>0</v>
      </c>
      <c r="Y90" cm="1">
        <f t="array" ref="Y90">INDEX(Y$4:Y$82,$A90)</f>
        <v>0</v>
      </c>
      <c r="Z90" cm="1">
        <f t="array" ref="Z90">INDEX(Z$4:Z$82,$A90)</f>
        <v>0</v>
      </c>
      <c r="AA90" cm="1">
        <f t="array" ref="AA90">INDEX(AA$4:AA$82,$A90)</f>
        <v>0</v>
      </c>
      <c r="AB90" cm="1">
        <f t="array" ref="AB90">INDEX(AB$4:AB$82,$A90)</f>
        <v>0</v>
      </c>
      <c r="AC90" cm="1">
        <f t="array" ref="AC90">INDEX(AC$4:AC$82,$A90)</f>
        <v>0</v>
      </c>
    </row>
    <row r="92" spans="1:31">
      <c r="E92"/>
    </row>
    <row r="93" spans="1:31">
      <c r="E93"/>
    </row>
    <row r="94" spans="1:31">
      <c r="E94"/>
    </row>
    <row r="95" spans="1:31">
      <c r="E95"/>
    </row>
    <row r="96" spans="1:31">
      <c r="E96"/>
    </row>
    <row r="97" spans="5:5">
      <c r="E97"/>
    </row>
    <row r="98" spans="5:5">
      <c r="E98"/>
    </row>
    <row r="99" spans="5:5">
      <c r="E99"/>
    </row>
    <row r="100" spans="5:5">
      <c r="E100"/>
    </row>
    <row r="101" spans="5:5">
      <c r="E101"/>
    </row>
    <row r="102" spans="5:5">
      <c r="E102"/>
    </row>
    <row r="103" spans="5:5">
      <c r="E103"/>
    </row>
    <row r="104" spans="5:5">
      <c r="E104"/>
    </row>
  </sheetData>
  <phoneticPr fontId="1"/>
  <conditionalFormatting sqref="AE4:AE82">
    <cfRule type="cellIs" dxfId="2" priority="1" operator="notEqual">
      <formula>"OK"</formula>
    </cfRule>
  </conditionalFormatting>
  <pageMargins left="0.75" right="0.75" top="1" bottom="1" header="0.51200000000000001" footer="0.51200000000000001"/>
  <pageSetup paperSize="9" scale="60" orientation="portrait" horizontalDpi="4294967293" verticalDpi="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データファイル用</vt:lpstr>
      <vt:lpstr>湿気伝導率</vt:lpstr>
      <vt:lpstr>平衡含水率</vt:lpstr>
      <vt:lpstr>拡散係数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佐藤弘康</dc:creator>
  <cp:lastModifiedBy>Hisashi MIURA</cp:lastModifiedBy>
  <cp:lastPrinted>2005-02-03T01:12:02Z</cp:lastPrinted>
  <dcterms:created xsi:type="dcterms:W3CDTF">2005-01-24T06:44:59Z</dcterms:created>
  <dcterms:modified xsi:type="dcterms:W3CDTF">2026-07-07T14:38:04Z</dcterms:modified>
</cp:coreProperties>
</file>